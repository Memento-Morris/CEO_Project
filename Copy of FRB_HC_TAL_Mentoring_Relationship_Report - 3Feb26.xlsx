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hidePivotFieldList="1"/>
  <mc:AlternateContent xmlns:mc="http://schemas.openxmlformats.org/markup-compatibility/2006">
    <mc:Choice Requires="x15">
      <x15ac:absPath xmlns:x15ac="http://schemas.microsoft.com/office/spreadsheetml/2010/11/ac" url="https://firstrandgroup-my.sharepoint.com/personal/f8876703_fnb_co_za/Documents/Documents/2026/SuperStart Mentorship Initative/Data/"/>
    </mc:Choice>
  </mc:AlternateContent>
  <xr:revisionPtr revIDLastSave="0" documentId="8_{8BBBA939-7DC8-4B02-9EE6-80900B585FDF}" xr6:coauthVersionLast="47" xr6:coauthVersionMax="47" xr10:uidLastSave="{00000000-0000-0000-0000-000000000000}"/>
  <bookViews>
    <workbookView xWindow="-108" yWindow="-108" windowWidth="23256" windowHeight="12456" firstSheet="2" xr2:uid="{00000000-000D-0000-FFFF-FFFF00000000}"/>
  </bookViews>
  <sheets>
    <sheet name="FRB_HC TAL Mentoring Relationsh" sheetId="1" r:id="rId1"/>
    <sheet name="Sheet3" sheetId="4" r:id="rId2"/>
    <sheet name="Nolu" sheetId="2" r:id="rId3"/>
  </sheets>
  <definedNames>
    <definedName name="Slicer_Employee">#N/A</definedName>
    <definedName name="Slicer_Mentee">#N/A</definedName>
    <definedName name="Slicer_Mentor">#N/A</definedName>
  </definedNames>
  <calcPr calcId="191028"/>
  <pivotCaches>
    <pivotCache cacheId="5391" r:id="rId4"/>
    <pivotCache cacheId="5392" r:id="rId5"/>
    <pivotCache cacheId="5393"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7" i="2" l="1"/>
  <c r="I8" i="2"/>
  <c r="I9" i="2"/>
  <c r="I10" i="2"/>
  <c r="I11" i="2"/>
  <c r="I12" i="2"/>
  <c r="I13" i="2"/>
  <c r="I14" i="2"/>
  <c r="I15" i="2"/>
  <c r="I6" i="2"/>
  <c r="C42" i="2"/>
  <c r="A52" i="2"/>
  <c r="A50" i="2" l="1"/>
</calcChain>
</file>

<file path=xl/sharedStrings.xml><?xml version="1.0" encoding="utf-8"?>
<sst xmlns="http://schemas.openxmlformats.org/spreadsheetml/2006/main" count="19558" uniqueCount="5239">
  <si>
    <t>Mentor ID</t>
  </si>
  <si>
    <t>Mentor</t>
  </si>
  <si>
    <t>Purpose</t>
  </si>
  <si>
    <t>Mentor Type</t>
  </si>
  <si>
    <t>Mentor Employee Type</t>
  </si>
  <si>
    <t>Mentor Race</t>
  </si>
  <si>
    <t>Mentor Gender</t>
  </si>
  <si>
    <t>Mentor Age Group</t>
  </si>
  <si>
    <t>Mentor Supervisory Organization</t>
  </si>
  <si>
    <t>Mentor Location Country</t>
  </si>
  <si>
    <t>Mentor Franchise</t>
  </si>
  <si>
    <t>Mentor Cost Centre</t>
  </si>
  <si>
    <t>Mentor Job Title</t>
  </si>
  <si>
    <t>Mentor Tenure</t>
  </si>
  <si>
    <t>Mentor Job Family Group</t>
  </si>
  <si>
    <t>Mentee ID</t>
  </si>
  <si>
    <t>Mentee</t>
  </si>
  <si>
    <t>Mentee Employee Type</t>
  </si>
  <si>
    <t>Mentee Race</t>
  </si>
  <si>
    <t>Mentee Gender</t>
  </si>
  <si>
    <t>Mentee Age Group</t>
  </si>
  <si>
    <t>Mentee Supervisory Organization</t>
  </si>
  <si>
    <t>Mentee Location Country</t>
  </si>
  <si>
    <t>Mentee Franchise</t>
  </si>
  <si>
    <t>Mentee Cost Centre</t>
  </si>
  <si>
    <t>Mentee Job Title</t>
  </si>
  <si>
    <t>Mentee Tenure</t>
  </si>
  <si>
    <t>Mentee Job Family Group</t>
  </si>
  <si>
    <t>Mentorship Events</t>
  </si>
  <si>
    <t>Start Date</t>
  </si>
  <si>
    <t>End Date</t>
  </si>
  <si>
    <t>Close Mentorship Reason</t>
  </si>
  <si>
    <t>3246388</t>
  </si>
  <si>
    <t>Phetso Ntsowe</t>
  </si>
  <si>
    <t>Develop your team leadership and self-leadership skills
Train to be an effective leader</t>
  </si>
  <si>
    <t>Leadership Mentor</t>
  </si>
  <si>
    <t>Full Time Employee</t>
  </si>
  <si>
    <t>Female</t>
  </si>
  <si>
    <t>40 - 49</t>
  </si>
  <si>
    <t>FNB Botswana Retail Banking (Boniface Seane)</t>
  </si>
  <si>
    <t>Botswana</t>
  </si>
  <si>
    <t>FNB</t>
  </si>
  <si>
    <t>5010292200 FNB Botswana Channels Head Office</t>
  </si>
  <si>
    <t>Risk Manager</t>
  </si>
  <si>
    <t>16 - 20 Years</t>
  </si>
  <si>
    <t>Operational Risk</t>
  </si>
  <si>
    <t>3509672</t>
  </si>
  <si>
    <t>Banyatsi Seeme</t>
  </si>
  <si>
    <t>African (Botswana)</t>
  </si>
  <si>
    <t>30 - 39</t>
  </si>
  <si>
    <t>FNB Botswana Enterprise Risk Management (Kagiso Patrick)</t>
  </si>
  <si>
    <t>5010401100 FNB Botswana Mogoditshane Branch</t>
  </si>
  <si>
    <t>Migration Official</t>
  </si>
  <si>
    <t>11 -15 Years</t>
  </si>
  <si>
    <t>Client Experience and Value Management</t>
  </si>
  <si>
    <t>Close Mentorship Event for Banyatsi Seeme with Phetso Ntsowe
Create Mentorship Event for Banyatsi Seeme with Phetso Ntsowe
Edit Mentorship Event for Banyatsi Seeme with Phetso Ntsowe</t>
  </si>
  <si>
    <t>Mentee Withdrawal - Availability</t>
  </si>
  <si>
    <t>5495989</t>
  </si>
  <si>
    <t>Bonolo Molebatsi</t>
  </si>
  <si>
    <t>Career Mentor</t>
  </si>
  <si>
    <t>FNB Botswana Channels (Mpho Nthutang)</t>
  </si>
  <si>
    <t>501071600 FNB Botswana Kanye Branch</t>
  </si>
  <si>
    <t>Sales and Service Consultant</t>
  </si>
  <si>
    <t>3 - 5 Years</t>
  </si>
  <si>
    <t>Direct Sales</t>
  </si>
  <si>
    <t>5549248</t>
  </si>
  <si>
    <t>Boago Thomas</t>
  </si>
  <si>
    <t>FNB Botswana Channels (Lorato Mothibi)</t>
  </si>
  <si>
    <t>5010401300 FNB Botswana Mochudi Branch</t>
  </si>
  <si>
    <t>&lt;1 Year</t>
  </si>
  <si>
    <t>Create Mentorship Event for Boago Thomas with Bonolo Molebatsi</t>
  </si>
  <si>
    <t>5599199</t>
  </si>
  <si>
    <t>Thuto Kofi (Terminated)</t>
  </si>
  <si>
    <t>20 - 29</t>
  </si>
  <si>
    <t>Close Mentorship Event for Thuto Kofi (Terminated) with Phetso Ntsowe
Create Mentorship Event for Thuto Kofi (Terminated) with Phetso Ntsowe
Edit Mentorship Event for Thuto Kofi (Terminated) with Phetso Ntsowe</t>
  </si>
  <si>
    <t>3244121</t>
  </si>
  <si>
    <t>Udah Otukile (Terminated)</t>
  </si>
  <si>
    <t>To help the employee in navigating their growth in the organisation as well as exploring various opportunities.</t>
  </si>
  <si>
    <t>50 - 59</t>
  </si>
  <si>
    <t>6 - 10 Years</t>
  </si>
  <si>
    <t>5389836</t>
  </si>
  <si>
    <t>Kabelo Sekoto</t>
  </si>
  <si>
    <t>Male</t>
  </si>
  <si>
    <t>FNB Rand Merchant Bank Botswana (Therisanyo Masuga)</t>
  </si>
  <si>
    <t>5010168800 FNB Botswana Corporate Segments</t>
  </si>
  <si>
    <t>Product Analyst</t>
  </si>
  <si>
    <t>Product Support, Development and Analysis</t>
  </si>
  <si>
    <t>Create Mentorship Event for Kabelo Sekoto with Udah Otukile (Terminated)</t>
  </si>
  <si>
    <t>5066220</t>
  </si>
  <si>
    <t>Jj Jongman</t>
  </si>
  <si>
    <t>To help ascend to a Managerial role or change portfolio from the current Premier Banker which is overwhelming.</t>
  </si>
  <si>
    <t>FNB Botswana Human Capital (Kaone Kopi)</t>
  </si>
  <si>
    <t>5010152800 FNB Botswana Human Capital</t>
  </si>
  <si>
    <t>Human Capital Business Partner</t>
  </si>
  <si>
    <t>Business Human Capital</t>
  </si>
  <si>
    <t>5124387</t>
  </si>
  <si>
    <t>Pamela Ndlovu</t>
  </si>
  <si>
    <t>FNB Botswana Premier (Kelebogile Disang)</t>
  </si>
  <si>
    <t>5010160210 FNB Botswana Retail Smart and Gold Sales</t>
  </si>
  <si>
    <t>Premier Banker</t>
  </si>
  <si>
    <t>Client Relationship Management</t>
  </si>
  <si>
    <t>Create Mentorship Event for Pamela Ndlovu with Jj Jongman
Edit Mentorship Event for Pamela Ndlovu with Jj Jongman
Edit Mentorship Event for Pamela Ndlovu with Jj Jongman</t>
  </si>
  <si>
    <t>Career guidance
Relationship building and networking.
Manage a career transition.
Develop leadership skills.</t>
  </si>
  <si>
    <t>5179564</t>
  </si>
  <si>
    <t>Kefilwe Samson</t>
  </si>
  <si>
    <t>FNB Botswana Channels (Lebelelang Mabeo)</t>
  </si>
  <si>
    <t>5010164100 FNB Botswana Call Centre</t>
  </si>
  <si>
    <t>Sales Consultant</t>
  </si>
  <si>
    <t>Close Mentorship Event for Kefilwe Samson with Phetso Ntsowe
Create Mentorship Event for Kefilwe Samson with Phetso Ntsowe
Edit Mentorship Event for Kefilwe Samson with Phetso Ntsowe
Edit Mentorship Event for Kefilwe Samson with Phetso Ntsowe</t>
  </si>
  <si>
    <t>Mentor Withdrawal - Availability</t>
  </si>
  <si>
    <t>To take me the right department</t>
  </si>
  <si>
    <t>4773829</t>
  </si>
  <si>
    <t>Otlaadisa Mogosane</t>
  </si>
  <si>
    <t>FNB Botswana Channels (Nametsegang Muchina)</t>
  </si>
  <si>
    <t>501073700 FNB Botswana Broadhurst Branch</t>
  </si>
  <si>
    <t>Teller</t>
  </si>
  <si>
    <t>Client Services Support and Delivery</t>
  </si>
  <si>
    <t>Create Mentorship Event for Otlaadisa Mogosane with Bonolo Molebatsi</t>
  </si>
  <si>
    <t>2700069</t>
  </si>
  <si>
    <t>Bontle Maeco</t>
  </si>
  <si>
    <t>FNB Botswana Channels (Rose Selema)</t>
  </si>
  <si>
    <t>501071400 FNB Botswana Lobatse Branch</t>
  </si>
  <si>
    <t>Teller Coordinator</t>
  </si>
  <si>
    <t>&gt;20 Years</t>
  </si>
  <si>
    <t>Close Mentorship Event for Bontle Maeco with Phetso Ntsowe
Create Mentorship Event for Bontle Maeco with Phetso Ntsowe
Edit Mentorship Event for Bontle Maeco with Phetso Ntsowe</t>
  </si>
  <si>
    <t>5042070</t>
  </si>
  <si>
    <t>Ivy Letus</t>
  </si>
  <si>
    <t>Coloured (Botswana)</t>
  </si>
  <si>
    <t>FNB Botswana Channels (Fiona Kasese)</t>
  </si>
  <si>
    <t>5010150200 FNB Botswana Riverwalk Branch</t>
  </si>
  <si>
    <t>Service Consultant</t>
  </si>
  <si>
    <t>Close Mentorship Event for Ivy Letus with Phetso Ntsowe
Create Mentorship Event for Ivy Letus with Phetso Ntsowe
Edit Mentorship Event for Ivy Letus with Phetso Ntsowe</t>
  </si>
  <si>
    <t>Transition Mentor</t>
  </si>
  <si>
    <t>Close Mentorship Event for Otlaadisa Mogosane with Phetso Ntsowe
Create Mentorship Event for Otlaadisa Mogosane with Phetso Ntsowe</t>
  </si>
  <si>
    <t>MENTORSHIP</t>
  </si>
  <si>
    <t>3506878</t>
  </si>
  <si>
    <t>Maipelo Daman</t>
  </si>
  <si>
    <t>FNB Botswana Channels (Mable Motsumi)</t>
  </si>
  <si>
    <t>5010160300 FNB Botswana Airport Junction</t>
  </si>
  <si>
    <t>Branch Delivery Sales and Service Team Leader</t>
  </si>
  <si>
    <t>Close Mentorship Event for Maipelo Daman with Phetso Ntsowe
Create Mentorship Event for Maipelo Daman with Phetso Ntsowe</t>
  </si>
  <si>
    <t>mentorship</t>
  </si>
  <si>
    <t>5000181</t>
  </si>
  <si>
    <t>Maureen Lucas</t>
  </si>
  <si>
    <t>FNB Botswana Channels (Onneile Mogotsi)</t>
  </si>
  <si>
    <t>501079200 FNB Botswana Kgale Branch</t>
  </si>
  <si>
    <t>Close Mentorship Event for Maureen Lucas with Phetso Ntsowe
Create Mentorship Event for Maureen Lucas with Phetso Ntsowe</t>
  </si>
  <si>
    <t>3245489</t>
  </si>
  <si>
    <t>Masego Basupang</t>
  </si>
  <si>
    <t>5010209700 FNB Botswana Premier</t>
  </si>
  <si>
    <t>Close Mentorship Event for Masego Basupang with Phetso Ntsowe
Create Mentorship Event for Masego Basupang with Phetso Ntsowe</t>
  </si>
  <si>
    <t>2815966</t>
  </si>
  <si>
    <t>Kelebogile Disang</t>
  </si>
  <si>
    <t>Career guidance.
Better integration into a team/business unit.
Deal with diversity and inclusion challenges.</t>
  </si>
  <si>
    <t>FNB Botswana Wealth (Tshepiso Scheffers)</t>
  </si>
  <si>
    <t>Senior Premier Manager</t>
  </si>
  <si>
    <t>5598613</t>
  </si>
  <si>
    <t>Kaone Malete</t>
  </si>
  <si>
    <t>FNB Botswana Channels (Lorato Mothibi (Inherited))</t>
  </si>
  <si>
    <t>Create Mentorship Event for Kaone Malete with Kelebogile Disang</t>
  </si>
  <si>
    <t>4972279</t>
  </si>
  <si>
    <t>Prince Mopipi (Terminated)</t>
  </si>
  <si>
    <t>Close Mentorship Event for Prince Mopipi (Terminated) with Phetso Ntsowe
Create Mentorship Event for Prince Mopipi (Terminated) with Phetso Ntsowe</t>
  </si>
  <si>
    <t>Mentee Resigned</t>
  </si>
  <si>
    <t>3243990</t>
  </si>
  <si>
    <t>Gaongalelwe Ikaneng</t>
  </si>
  <si>
    <t>FNB Botswana Channels (Kgotso Morei)</t>
  </si>
  <si>
    <t>5010167100 FNB Botswana Main Branch</t>
  </si>
  <si>
    <t>Multi Skilled Consultant</t>
  </si>
  <si>
    <t>Close Mentorship Event for Gaongalelwe Ikaneng with Phetso Ntsowe
Create Mentorship Event for Gaongalelwe Ikaneng with Phetso Ntsowe</t>
  </si>
  <si>
    <t>5367891</t>
  </si>
  <si>
    <t>Tebogo Sebobi</t>
  </si>
  <si>
    <t>FNB Botswana Channels (Kgomotso Wetshootsile)</t>
  </si>
  <si>
    <t>Close Mentorship Event for Tebogo Sebobi with Phetso Ntsowe
Create Mentorship Event for Tebogo Sebobi with Phetso Ntsowe</t>
  </si>
  <si>
    <t>3505766</t>
  </si>
  <si>
    <t>Amongie Kewakae</t>
  </si>
  <si>
    <t>Close Mentorship Event for Amongie Kewakae with Phetso Ntsowe
Create Mentorship Event for Amongie Kewakae with Phetso Ntsowe</t>
  </si>
  <si>
    <t>3330370</t>
  </si>
  <si>
    <t>Likenkeng Lylian Morojele</t>
  </si>
  <si>
    <t>I would like to learn more leadership skills in branches.</t>
  </si>
  <si>
    <t>African (Lesotho)</t>
  </si>
  <si>
    <t>FNB Lesotho (Fusi Sefatsane)</t>
  </si>
  <si>
    <t>Lesotho</t>
  </si>
  <si>
    <t>51800001851 FNB Lesotho Kingway Branch</t>
  </si>
  <si>
    <t>Branch Manager</t>
  </si>
  <si>
    <t>3869865</t>
  </si>
  <si>
    <t>Mapule Mosiuoa</t>
  </si>
  <si>
    <t>FNB Lesotho (Mamahao Andronicah Makhoa)</t>
  </si>
  <si>
    <t>51800002929 FNB Lesotho Retail</t>
  </si>
  <si>
    <t>Schemes Coordinator</t>
  </si>
  <si>
    <t>Create Mentorship Event for Mapule Mosiuoa with Likenkeng Lylian Morojele</t>
  </si>
  <si>
    <t>4946073</t>
  </si>
  <si>
    <t>Patrick Bontsibokae</t>
  </si>
  <si>
    <t>Career guidance
Broaden organizational knowledge
Innovation</t>
  </si>
  <si>
    <t>Create Mentorship Event for Kaone Malete with Patrick Bontsibokae</t>
  </si>
  <si>
    <t>4778561</t>
  </si>
  <si>
    <t>Mike Nyimbili</t>
  </si>
  <si>
    <t>FNB Zambia Retail Segment (Njavwa Nakapizye)</t>
  </si>
  <si>
    <t>Zambia</t>
  </si>
  <si>
    <t>55300003645 FNB Zambia Kasama Branch</t>
  </si>
  <si>
    <t>Branch Administrator</t>
  </si>
  <si>
    <t>Administration</t>
  </si>
  <si>
    <t>5173353</t>
  </si>
  <si>
    <t>Miyoba Moonga</t>
  </si>
  <si>
    <t>FNB Zambia Retail Segment (Nancy Simutowe)</t>
  </si>
  <si>
    <t>55300009278 FNB Zambia Industrial Branch</t>
  </si>
  <si>
    <t>Counter Support Coordinator</t>
  </si>
  <si>
    <t>Create Mentorship Event for Miyoba Moonga with Mike Nyimbili</t>
  </si>
  <si>
    <t>3511480</t>
  </si>
  <si>
    <t>Kagiso Tlhase (Terminated)</t>
  </si>
  <si>
    <t>TO LEARN.</t>
  </si>
  <si>
    <t>5595541</t>
  </si>
  <si>
    <t>LILLIAN K EZEKIEL</t>
  </si>
  <si>
    <t>Fixed Term Contractor</t>
  </si>
  <si>
    <t>FNB Botswana Executive Suite (Onkarabile Kono)</t>
  </si>
  <si>
    <t>5010160800 FNB Botswana Retail Operations</t>
  </si>
  <si>
    <t>Administration Assistant</t>
  </si>
  <si>
    <t>Create Mentorship Event for LILLIAN K EZEKIEL with Kagiso Tlhase (Terminated)</t>
  </si>
  <si>
    <t>5084725</t>
  </si>
  <si>
    <t>Manuel Motabatshindi</t>
  </si>
  <si>
    <t>Transition to Systems Analyst job</t>
  </si>
  <si>
    <t>African (South Africa)</t>
  </si>
  <si>
    <t>CDO Kernel Integrations (Rudzani Nemusombori)</t>
  </si>
  <si>
    <t>South Africa</t>
  </si>
  <si>
    <t>79000005315 CDO Kernel Integrations</t>
  </si>
  <si>
    <t>Systems Analyst</t>
  </si>
  <si>
    <t>Business/Systems Analysis</t>
  </si>
  <si>
    <t>5309697</t>
  </si>
  <si>
    <t>Sifisosakhe Dube</t>
  </si>
  <si>
    <t>FNB Private Banking and Advisory (Kurt Schurbohm)</t>
  </si>
  <si>
    <t>34100007232 PB&amp;A Service Suite Advisor Engagement</t>
  </si>
  <si>
    <t>Private Service Advisor</t>
  </si>
  <si>
    <t>Close Mentorship Event for Sifisosakhe Dube with Manuel Motabatshindi
Create Mentorship Event for Sifisosakhe Dube with Manuel Motabatshindi</t>
  </si>
  <si>
    <t>Mentoring Needs Fulfilled</t>
  </si>
  <si>
    <t>7552793</t>
  </si>
  <si>
    <t>Theo Ngoma</t>
  </si>
  <si>
    <t>To fast-track career progression.
To improve stakeholder engagement
To assist in peer coaching and skills transfer.
To align career path and skills training, learning and development.</t>
  </si>
  <si>
    <t>CDO Infrastructure and Security Services (Ntswaki Lecage)</t>
  </si>
  <si>
    <t>20700005266 CDO Infrastructure and Security Services Command Centre</t>
  </si>
  <si>
    <t>Enterprise Systems Manager</t>
  </si>
  <si>
    <t>System Design and Administration</t>
  </si>
  <si>
    <t>5238730</t>
  </si>
  <si>
    <t>Tebogo Moorosi (Terminated)</t>
  </si>
  <si>
    <t>Create Mentorship Event for Tebogo Moorosi (Terminated) with Theo Ngoma</t>
  </si>
  <si>
    <t>4942027</t>
  </si>
  <si>
    <t>Shantal Reddy</t>
  </si>
  <si>
    <t>Programme duration is 7 months from Aug – Feb 24 (considering Dec/Jan holidays)
Mentees are expected to meet with their mentors at least once a month.
Also, an additional 1 day “leave no action” a month aimed at job shadowing virtually or face to face.
Mentees are expected to take lead and ensure that sessions are booked on time and alternatives are taken if need be.
Mentees are expected let their managers know of their whereabouts during the period where they would be job shadowing or attending masterclasses
Kindly sign the NDA and the Agreement attached to the email and send back to me ( Agreement needs your mentor to sign as well so you can get that back to me once you have your introduction session.)
Please use the Development Plan to keep track of all the activities and learning you will be doing with your mentor.</t>
  </si>
  <si>
    <t>Indian (South Africa)</t>
  </si>
  <si>
    <t>FNB Retail COO (Tara Cabion)</t>
  </si>
  <si>
    <t>69000006171 FNB Retail Enterprise Project Management Office</t>
  </si>
  <si>
    <t>Programme Manager</t>
  </si>
  <si>
    <t>Programme and Project Management</t>
  </si>
  <si>
    <t>4860098</t>
  </si>
  <si>
    <t>Stephanie Bezuidenhout</t>
  </si>
  <si>
    <t>Coloured (South Africa)</t>
  </si>
  <si>
    <t>REMS Real Estate Management Services (Hanifah Khan)</t>
  </si>
  <si>
    <t>22300008588 REMS Property</t>
  </si>
  <si>
    <t>Property Administrator</t>
  </si>
  <si>
    <t>Create Mentorship Event for Stephanie Bezuidenhout with Shantal Reddy</t>
  </si>
  <si>
    <t>5266106</t>
  </si>
  <si>
    <t>Alison Felix-Lodewyk</t>
  </si>
  <si>
    <t>Career guidance
Manage a career transition.
Better integration into a team/business unit</t>
  </si>
  <si>
    <t>FNB Personal Human Capital (Shalini John)</t>
  </si>
  <si>
    <t>84900003961 FNB ConnectMe EXCO</t>
  </si>
  <si>
    <t>Human Capital Manager</t>
  </si>
  <si>
    <t>5183855</t>
  </si>
  <si>
    <t>Chizoba Mkhwanazi</t>
  </si>
  <si>
    <t>DirectAxis (Adiela April)</t>
  </si>
  <si>
    <t>99700015102 DA Solutions Delivery</t>
  </si>
  <si>
    <t>Implementation Manager</t>
  </si>
  <si>
    <t>Operations</t>
  </si>
  <si>
    <t>Create Mentorship Event for Chizoba Mkhwanazi with Alison Felix-Lodewyk</t>
  </si>
  <si>
    <t>2285681</t>
  </si>
  <si>
    <t>Eddie Roodt</t>
  </si>
  <si>
    <t>White (South Africa)</t>
  </si>
  <si>
    <t>FNB International SA (Tsholofelo Mosito)</t>
  </si>
  <si>
    <t>83200009889 FNB International SA Learning and Development</t>
  </si>
  <si>
    <t>Learning Consultant</t>
  </si>
  <si>
    <t>Experience Architecting</t>
  </si>
  <si>
    <t>5516307</t>
  </si>
  <si>
    <t>Mahlori Chauke (Terminated)</t>
  </si>
  <si>
    <t>1 Year</t>
  </si>
  <si>
    <t>Create Mentorship Event for Mahlori Chauke (Terminated) with Eddie Roodt</t>
  </si>
  <si>
    <t>5467845</t>
  </si>
  <si>
    <t>Emmanuel Tsiame (Terminated)</t>
  </si>
  <si>
    <t>2 Years</t>
  </si>
  <si>
    <t>5573874</t>
  </si>
  <si>
    <t>Refilwe Leburu</t>
  </si>
  <si>
    <t>FNB Private Banking and Advisory (Caswill Koert)</t>
  </si>
  <si>
    <t>Create Mentorship Event for Refilwe Leburu with Emmanuel Tsiame (Terminated)</t>
  </si>
  <si>
    <t>2053527</t>
  </si>
  <si>
    <t>Adnaan Rayned</t>
  </si>
  <si>
    <t>FNB Commercial Sales Cape (Stephan Claassen)</t>
  </si>
  <si>
    <t>34300005001 FNB Commercial Growth Cape Head Office</t>
  </si>
  <si>
    <t>Regional Head</t>
  </si>
  <si>
    <t>Sales Management</t>
  </si>
  <si>
    <t>5114713</t>
  </si>
  <si>
    <t>Yusuf Ahmed</t>
  </si>
  <si>
    <t>FNB Commercial Projects and Operations (Gavilan Barnes)</t>
  </si>
  <si>
    <t>34200005337 FNB Commercial Security Access Management</t>
  </si>
  <si>
    <t>Information Security Administrator</t>
  </si>
  <si>
    <t>IT Security</t>
  </si>
  <si>
    <t>Create Mentorship Event for Yusuf Ahmed with Adnaan Rayned</t>
  </si>
  <si>
    <t>5478960</t>
  </si>
  <si>
    <t>Henry Lesar</t>
  </si>
  <si>
    <t>CDO Kernel Customer IT (Craig Coombs)</t>
  </si>
  <si>
    <t>79000005746 CDO Kernel CIS</t>
  </si>
  <si>
    <t>Application Development Manager</t>
  </si>
  <si>
    <t>IT Development</t>
  </si>
  <si>
    <t>5498783</t>
  </si>
  <si>
    <t>Thaveshni Govender</t>
  </si>
  <si>
    <t>CDO Kernel iNterfaceX (Chris Bolle)</t>
  </si>
  <si>
    <t>21800001994 CDO Kernel iNterfaceX Tech App and Mobile Dev App</t>
  </si>
  <si>
    <t>Developer</t>
  </si>
  <si>
    <t>Create Mentorship Event for Thaveshni Govender with Henry Lesar</t>
  </si>
  <si>
    <t>2404028</t>
  </si>
  <si>
    <t>Debbie Maloney</t>
  </si>
  <si>
    <t>Growth and guidance</t>
  </si>
  <si>
    <t>FNB Points of Presence (Edmar Topkin)</t>
  </si>
  <si>
    <t>771027100 FNB POP Branch Delivery Koffiefontein</t>
  </si>
  <si>
    <t>Associate</t>
  </si>
  <si>
    <t>4793854</t>
  </si>
  <si>
    <t>Makoae 		 Lawrence Mothibe (Terminated)</t>
  </si>
  <si>
    <t>Create Mentorship Event for Makoae 		 Lawrence Mothibe (Terminated) with Debbie Maloney</t>
  </si>
  <si>
    <t>2010879</t>
  </si>
  <si>
    <t>Dave Aitken (Terminated)</t>
  </si>
  <si>
    <t>2627388</t>
  </si>
  <si>
    <t>Fred Du Plessis</t>
  </si>
  <si>
    <t>FNB Commercial Sales Gauteng North (Andile Ncoyini)</t>
  </si>
  <si>
    <t>34200006503 FNB Commercial Sales Gauteng Midrand 10 to 60M</t>
  </si>
  <si>
    <t>Sales Head</t>
  </si>
  <si>
    <t>Create Mentorship Event for Fred Du Plessis with Dave Aitken (Terminated)</t>
  </si>
  <si>
    <t>4610016</t>
  </si>
  <si>
    <t>Gareth Kin</t>
  </si>
  <si>
    <t>Gareth is assisting Ayanda with Career Development</t>
  </si>
  <si>
    <t>FNB Private Segment (Philani Phakamani Potwana)</t>
  </si>
  <si>
    <t>41200007842 FNB Private Core Banking Exco</t>
  </si>
  <si>
    <t>Product Head</t>
  </si>
  <si>
    <t>Product Management</t>
  </si>
  <si>
    <t>5522633</t>
  </si>
  <si>
    <t>Ayanda Dubazana</t>
  </si>
  <si>
    <t>FNB Retail Marketing (Sifiso Mahlangu)</t>
  </si>
  <si>
    <t>85500006598 FNB Retail Marketing</t>
  </si>
  <si>
    <t>Marketing Portfolio Manager</t>
  </si>
  <si>
    <t>Marketing, Advertising and Media (incl. digital)</t>
  </si>
  <si>
    <t>Create Mentorship Event for Ayanda Dubazana with Gareth Kin</t>
  </si>
  <si>
    <t>4792718</t>
  </si>
  <si>
    <t>Grant Ravno (Terminated)</t>
  </si>
  <si>
    <t>Technical Mentor</t>
  </si>
  <si>
    <t>4765745</t>
  </si>
  <si>
    <t>Tsholofelo Kgwele (Terminated)</t>
  </si>
  <si>
    <t>Create Mentorship Event for Tsholofelo Kgwele (Terminated) with Grant Ravno (Terminated)</t>
  </si>
  <si>
    <t>3486850</t>
  </si>
  <si>
    <t>Ilyas Patel</t>
  </si>
  <si>
    <t>Shahida is looking for exposure in total reward</t>
  </si>
  <si>
    <t>Group Human Capital (Zama Lamla)</t>
  </si>
  <si>
    <t>FirstRand Corporate Centre</t>
  </si>
  <si>
    <t>20200003706 Group Reward</t>
  </si>
  <si>
    <t>Reward Head FCC and Group Shares</t>
  </si>
  <si>
    <t>3614263</t>
  </si>
  <si>
    <t>Shahida Begg</t>
  </si>
  <si>
    <t>FNB Points of Presence (Charlene Calleja)</t>
  </si>
  <si>
    <t>7710644300 FNB POP HC Operations and Talent Management</t>
  </si>
  <si>
    <t>Operations Manager</t>
  </si>
  <si>
    <t>Create Mentorship Event for Shahida Begg with Ilyas Patel
Edit Mentorship Event for Shahida Begg with Ilyas Patel</t>
  </si>
  <si>
    <t>3355268</t>
  </si>
  <si>
    <t>Josh Minyuku (Terminated)</t>
  </si>
  <si>
    <t>Leadership in Branch programme</t>
  </si>
  <si>
    <t>4788540</t>
  </si>
  <si>
    <t>Kgaugelo Kulube</t>
  </si>
  <si>
    <t>FNB Points of Presence (Abednigo Chauke)</t>
  </si>
  <si>
    <t>7710693500 FNB POP Branch Delivery Zebediela Plaza</t>
  </si>
  <si>
    <t>Branch Controller</t>
  </si>
  <si>
    <t>Create Mentorship Event for Kgaugelo Kulube with Josh Minyuku (Terminated)</t>
  </si>
  <si>
    <t>5235049</t>
  </si>
  <si>
    <t>Rialivhuwa Mudau</t>
  </si>
  <si>
    <t>The purpose of the mentorship is to Learn about different careers and fields.
Provide guidance and support during difficult times, and in narrowing what to study to archive my career goals. Clarify and narrow down my unique strengths and journey</t>
  </si>
  <si>
    <t>FNB Personal Segment Advisory and Suites (Devesh Naidoo)</t>
  </si>
  <si>
    <t>97200005382 PSAS Stratco</t>
  </si>
  <si>
    <t>Risk Head</t>
  </si>
  <si>
    <t>5246628</t>
  </si>
  <si>
    <t>Anelisa Singanzi</t>
  </si>
  <si>
    <t>FNB Loans (Prolene Louw)</t>
  </si>
  <si>
    <t>79100003305 FNB Consumer Loans Internal Collections</t>
  </si>
  <si>
    <t>Collections Advisor</t>
  </si>
  <si>
    <t>Collections and Recoveries</t>
  </si>
  <si>
    <t>Create Mentorship Event for Anelisa Singanzi with Rialivhuwa Mudau</t>
  </si>
  <si>
    <t>3054829</t>
  </si>
  <si>
    <t>Crystal Brown</t>
  </si>
  <si>
    <t>The 12th of December will mark my first year again since re-joining the Bank. I will identify gaps in Leadership development and enroll where applicable, job shadow and skills development.</t>
  </si>
  <si>
    <t>FNB Commercial Sales Cape (Philip Poole)</t>
  </si>
  <si>
    <t>34200009138 FNB Commercial Agriculture Western Cape</t>
  </si>
  <si>
    <t>Relationship Analyst</t>
  </si>
  <si>
    <t>3054241</t>
  </si>
  <si>
    <t>Laetitia Kay</t>
  </si>
  <si>
    <t>FNB Points of Presence (Clinton Barthus)</t>
  </si>
  <si>
    <t>771038000 FNB POP Branch Delivery Strand</t>
  </si>
  <si>
    <t>Create Mentorship Event for Laetitia Kay with Crystal Brown</t>
  </si>
  <si>
    <t>4873033</t>
  </si>
  <si>
    <t>Collen Tshebo</t>
  </si>
  <si>
    <t>FNB Botswana Business Support WesBank (Goeme Ganetsang)</t>
  </si>
  <si>
    <t>5010394500 FNB Botswana Business Support</t>
  </si>
  <si>
    <t>Client Portfolio Analyst</t>
  </si>
  <si>
    <t>Create Mentorship Event for Thuto Kofi (Terminated) with Collen Tshebo</t>
  </si>
  <si>
    <t>4617444</t>
  </si>
  <si>
    <t>Riana Prins</t>
  </si>
  <si>
    <t>FNB Commercial National Sales and Service (Jurgens Boshoff)</t>
  </si>
  <si>
    <t>34300007707 FNB Financial Advisory Business Central</t>
  </si>
  <si>
    <t>Financial Advisory Channel Head</t>
  </si>
  <si>
    <t>Investor Services</t>
  </si>
  <si>
    <t>5128218</t>
  </si>
  <si>
    <t>Waldo Visagie</t>
  </si>
  <si>
    <t>Commission With Fixed Pay</t>
  </si>
  <si>
    <t>FNB Commercial National Sales and Service (Riana Prins)</t>
  </si>
  <si>
    <t>34300004503 FNB Financial Advisory Business Western Cape</t>
  </si>
  <si>
    <t>Business Financial Advisor</t>
  </si>
  <si>
    <t>Create Mentorship Event for Waldo Visagie with Riana Prins</t>
  </si>
  <si>
    <t>2746573</t>
  </si>
  <si>
    <t>Himal Parbhoo</t>
  </si>
  <si>
    <t>FNB Private Segment (Sizwe Nxedlana)</t>
  </si>
  <si>
    <t>85500008551 FNB Retail Exco</t>
  </si>
  <si>
    <t>Chief Executive Officer Cash Investments Retail</t>
  </si>
  <si>
    <t>5320763</t>
  </si>
  <si>
    <t>Balesh Raniga</t>
  </si>
  <si>
    <t>FNB Private Core Banking (Daryl Rajah)</t>
  </si>
  <si>
    <t>41200003615 FNB Private Core Banking Private Clients</t>
  </si>
  <si>
    <t>Product Portfolio Manager</t>
  </si>
  <si>
    <t>Create Mentorship Event for Balesh Raniga with Himal Parbhoo</t>
  </si>
  <si>
    <t>3818748</t>
  </si>
  <si>
    <t>Hlamalani Mashaba</t>
  </si>
  <si>
    <t>FNB Chief Finance Office iFinance (Parmasivan Pillay)</t>
  </si>
  <si>
    <t>20200011041 FRCC Group Project Management Office</t>
  </si>
  <si>
    <t>Capability Lead</t>
  </si>
  <si>
    <t>5256984</t>
  </si>
  <si>
    <t>Thomas Tonga</t>
  </si>
  <si>
    <t>FNB Chief Risk Office IT (Paul Hazelton)</t>
  </si>
  <si>
    <t>39400008197 FNB Chief Risk Office IT</t>
  </si>
  <si>
    <t>Small and Medium Enterprise Development Head</t>
  </si>
  <si>
    <t>Create Mentorship Event for Thomas Tonga with Hlamalani Mashaba</t>
  </si>
  <si>
    <t>5004608</t>
  </si>
  <si>
    <t>Maleseli Lorraine Chefa</t>
  </si>
  <si>
    <t>FNB Lesotho (Daniel Mohau)</t>
  </si>
  <si>
    <t>51800001852 FNB Lesotho OPC</t>
  </si>
  <si>
    <t>Team Leader Back Office</t>
  </si>
  <si>
    <t>5365732</t>
  </si>
  <si>
    <t>Ikaneng Francina Setlhotlelo</t>
  </si>
  <si>
    <t>FNB Lesotho (Mamokheseng Mokheseng)</t>
  </si>
  <si>
    <t>51800008847 FNBL Finance</t>
  </si>
  <si>
    <t>Procurement Coordinator</t>
  </si>
  <si>
    <t>Procurement and Supply Chain Management</t>
  </si>
  <si>
    <t>Close Mentorship Event for Ikaneng Francina Setlhotlelo with Maleseli Lorraine Chefa
Create Mentorship Event for Ikaneng Francina Setlhotlelo with Maleseli Lorraine Chefa</t>
  </si>
  <si>
    <t>5087112</t>
  </si>
  <si>
    <t>Betty Moabelo</t>
  </si>
  <si>
    <t>I SEEK TO BE TAKEN THROUGH ON THE MERCHANT JOUNEY ON THE FULFILMENT ASPECTS AS I LOOK AT JOINING THE MERCHANT SERVICE TEAM IN THE NEAR FUTURE.</t>
  </si>
  <si>
    <t>FNB Commercial Merchant Services (Netsai Ngidi)</t>
  </si>
  <si>
    <t>22800004061 FNB Commercial Merchant Services Product and Solutions</t>
  </si>
  <si>
    <t>Industry Manager</t>
  </si>
  <si>
    <t>4632893</t>
  </si>
  <si>
    <t>Chipande Shisala</t>
  </si>
  <si>
    <t>FNB Zambia Operations (Mubukwanu Mutiti (Inherited))</t>
  </si>
  <si>
    <t>55300003086 FNB Zambia Operations</t>
  </si>
  <si>
    <t>Create Mentorship Event for Chipande Shisala with Betty Moabelo</t>
  </si>
  <si>
    <t>7538677</t>
  </si>
  <si>
    <t>Carol Dlamini (Terminated)</t>
  </si>
  <si>
    <t>I’m seeing myself as a branch administrator for the bank . I also want to broaden my knowledge and experience in the banking world. My future is in the financial sector and I want to learn more about the banking system and development myself gradually to make a difference in FNB. I believe it is my time to show my skills, knowledge and passion for the brand.</t>
  </si>
  <si>
    <t>3426416</t>
  </si>
  <si>
    <t>Mandla Mathipa</t>
  </si>
  <si>
    <t>OBR With Fixed Pay</t>
  </si>
  <si>
    <t>FNB Points of Presence (Xolani Nkosi)</t>
  </si>
  <si>
    <t>7710115300 FNB POP Branch Delivery Village Horizon</t>
  </si>
  <si>
    <t>Branch Advisor FAIS</t>
  </si>
  <si>
    <t>Close Mentorship Event for Mandla Mathipa with Carol Dlamini (Terminated)
Create Mentorship Event for Mandla Mathipa with Carol Dlamini (Terminated)</t>
  </si>
  <si>
    <t>1989413</t>
  </si>
  <si>
    <t>Marlene Van Nel (Terminated)</t>
  </si>
  <si>
    <t>To improve my leadership skills and groom me for future management positions.</t>
  </si>
  <si>
    <t>60 - 64</t>
  </si>
  <si>
    <t>2475960</t>
  </si>
  <si>
    <t>Igna Kirsten</t>
  </si>
  <si>
    <t>FNB Points of Presence (Reece Brown)</t>
  </si>
  <si>
    <t>771027700 FNB POP Branch Delivery Kuruman</t>
  </si>
  <si>
    <t>Local Market Operations Manager</t>
  </si>
  <si>
    <t>Create Mentorship Event for Igna Kirsten with Marlene Van Nel (Terminated)</t>
  </si>
  <si>
    <t>4878922</t>
  </si>
  <si>
    <t>Fridah Maake-Gumede</t>
  </si>
  <si>
    <t>FNB Points of Presence (Angela Nathoo)</t>
  </si>
  <si>
    <t>7710179200 FNB POP Branch Delivery Middelburg Mall</t>
  </si>
  <si>
    <t>Local Market Manager</t>
  </si>
  <si>
    <t>4912233</t>
  </si>
  <si>
    <t>Maltilda Sonopo</t>
  </si>
  <si>
    <t>FNB Points of Presence (Linda Sequeira)</t>
  </si>
  <si>
    <t>771013700 FNB POP Branch Delivery Nigel</t>
  </si>
  <si>
    <t>Create Mentorship Event for Maltilda Sonopo with Fridah Maake-Gumede</t>
  </si>
  <si>
    <t>4633369</t>
  </si>
  <si>
    <t>Chipo Mwenya</t>
  </si>
  <si>
    <t>FNB Zambia Retail Segment (Jeremiah Namitondo)</t>
  </si>
  <si>
    <t>55300009179 FNB Zambia Choma Branch</t>
  </si>
  <si>
    <t>4931181</t>
  </si>
  <si>
    <t>Eugine Hatyoka</t>
  </si>
  <si>
    <t>FNB Zambia Retail Segment (Jason Silwamba)</t>
  </si>
  <si>
    <t>55300001894 FNB Zambia Kabwe Branch</t>
  </si>
  <si>
    <t>Create Mentorship Event for Eugine Hatyoka with Chipo Mwenya</t>
  </si>
  <si>
    <t>4535286</t>
  </si>
  <si>
    <t>Athena Botha</t>
  </si>
  <si>
    <t>FNB Commercial Analytics Insights Data (Patrick Motshweni)</t>
  </si>
  <si>
    <t>34300005518 FNB Commercial Data Office</t>
  </si>
  <si>
    <t>Information Architect Head</t>
  </si>
  <si>
    <t>Data Management, Maintenance and Security</t>
  </si>
  <si>
    <t>3678482</t>
  </si>
  <si>
    <t>Jermaine Varnicker</t>
  </si>
  <si>
    <t>FNB Commercial Cash (Andries Vermaak)</t>
  </si>
  <si>
    <t>25200006132 FNB Commercial IT Application Development Cash</t>
  </si>
  <si>
    <t>Data Analyst</t>
  </si>
  <si>
    <t>Create Mentorship Event for Jermaine Varnicker with Athena Botha</t>
  </si>
  <si>
    <t>2860538</t>
  </si>
  <si>
    <t>Lou-Ann Oosthuizen</t>
  </si>
  <si>
    <t>To empower and provide On the job training</t>
  </si>
  <si>
    <t>FNB Points of Presence (Hein Hoffman)</t>
  </si>
  <si>
    <t>771044800 FNB POP Branch Delivery Hyde Park</t>
  </si>
  <si>
    <t>3719138</t>
  </si>
  <si>
    <t>Caroline Nkuna</t>
  </si>
  <si>
    <t>FNB Points of Presence (Kobus Steenkamp)</t>
  </si>
  <si>
    <t>771042500 FNB POP Branch Delivery Wepener</t>
  </si>
  <si>
    <t>Create Mentorship Event for Caroline Nkuna with Lou-Ann Oosthuizen</t>
  </si>
  <si>
    <t>Leadership</t>
  </si>
  <si>
    <t>3384292</t>
  </si>
  <si>
    <t>Annastasia Williams</t>
  </si>
  <si>
    <t>Racially disadvantaged (Namibia)</t>
  </si>
  <si>
    <t>FNB Namibia Limited (Wiann Mans)</t>
  </si>
  <si>
    <t>Namibia</t>
  </si>
  <si>
    <t>302031B9D555 FNB Namibia Human Capital</t>
  </si>
  <si>
    <t>Learning and Development Manager</t>
  </si>
  <si>
    <t>3388115</t>
  </si>
  <si>
    <t>Beata Kalola</t>
  </si>
  <si>
    <t>FNB Namibia Limited (Margareth Dawid)</t>
  </si>
  <si>
    <t>302000001454 FNB Namibia Commercial Clusters</t>
  </si>
  <si>
    <t>Relationship Analyst Clusters</t>
  </si>
  <si>
    <t>Create Mentorship Event for Beata Kalola with Annastasia Williams</t>
  </si>
  <si>
    <t>3377326</t>
  </si>
  <si>
    <t>Yamillah Katjirua</t>
  </si>
  <si>
    <t>as agreed between Yamilla and Prudence, this mentorship is to assist Prudence in developing herself and growing her care</t>
  </si>
  <si>
    <t>FNB Namibia Limited (Emmanuel Murwira)</t>
  </si>
  <si>
    <t>846000004213 Ashburton Investment Managers (Pty) Ltd</t>
  </si>
  <si>
    <t>Compliance Head</t>
  </si>
  <si>
    <t>Compliance</t>
  </si>
  <si>
    <t>5071429</t>
  </si>
  <si>
    <t>Prudence Motha (Terminated)</t>
  </si>
  <si>
    <t>Create Mentorship Event for Prudence Motha (Terminated) with Yamillah Katjirua</t>
  </si>
  <si>
    <t>3252396</t>
  </si>
  <si>
    <t>Diran Gajoo</t>
  </si>
  <si>
    <t>FNB Chief Risk Office Executive (Brandon Olivier)</t>
  </si>
  <si>
    <t>39400004555 FNB Chief Risk Office Screening Services COO</t>
  </si>
  <si>
    <t>Operations Head</t>
  </si>
  <si>
    <t>5463130</t>
  </si>
  <si>
    <t>Nish Chinappa</t>
  </si>
  <si>
    <t>FNB Private Core Banking (Nico Oosthuizen)</t>
  </si>
  <si>
    <t>41200003546 FNB Private Core Banking Operations Support</t>
  </si>
  <si>
    <t>Business Intelligence Analyst</t>
  </si>
  <si>
    <t>Business Intelligence</t>
  </si>
  <si>
    <t>Create Mentorship Event for Nish Chinappa with Diran Gajoo</t>
  </si>
  <si>
    <t>To be guided on how to maneuver through the transition of the coporate world to be a better leader and more equiped with skills and knowledge</t>
  </si>
  <si>
    <t>4856945</t>
  </si>
  <si>
    <t>Lucky Phiri</t>
  </si>
  <si>
    <t>FNB Points of Presence (Innocent Radebe)</t>
  </si>
  <si>
    <t>7710841400 FNB POP External Sales Local Market</t>
  </si>
  <si>
    <t>External Sales and Service Advisor Lead OBR</t>
  </si>
  <si>
    <t>Create Mentorship Event for Lucky Phiri with Fred Du Plessis</t>
  </si>
  <si>
    <t>4696549</t>
  </si>
  <si>
    <t>Fortune Boois-Mafwila</t>
  </si>
  <si>
    <t>FNB Namibia Limited (Sandi Isaacs)</t>
  </si>
  <si>
    <t>302000006866 FNB Namibia Compliance</t>
  </si>
  <si>
    <t>Financial Crime Operations Manager</t>
  </si>
  <si>
    <t>Fraud Risk</t>
  </si>
  <si>
    <t>Create Mentorship Event for Fortune Boois-Mafwila with Yamillah Katjirua</t>
  </si>
  <si>
    <t>3803821</t>
  </si>
  <si>
    <t>Sabata Chomane</t>
  </si>
  <si>
    <t>771028000 FNB POP Branch Delivery Ladybrand</t>
  </si>
  <si>
    <t>3716333</t>
  </si>
  <si>
    <t>Mohlekaze Hlubi</t>
  </si>
  <si>
    <t>FNB Points of Presence (Lee Ainslie)</t>
  </si>
  <si>
    <t>771032600 FNB POP Branch Delivery Parys</t>
  </si>
  <si>
    <t>Create Mentorship Event for Mohlekaze Hlubi with Sabata Chomane</t>
  </si>
  <si>
    <t>7527403</t>
  </si>
  <si>
    <t>Daren Moodley (Terminated)</t>
  </si>
  <si>
    <t>Contract 2024</t>
  </si>
  <si>
    <t>3253759</t>
  </si>
  <si>
    <t>Vikash Mahabally</t>
  </si>
  <si>
    <t>FNB Points of Presence (Musa Vukeya)</t>
  </si>
  <si>
    <t>7710405800 FNB POP Commercial Collaboration</t>
  </si>
  <si>
    <t>Key Accounts Manager</t>
  </si>
  <si>
    <t>Create Mentorship Event for Vikash Mahabally with Daren Moodley (Terminated)</t>
  </si>
  <si>
    <t>3902161</t>
  </si>
  <si>
    <t>Mariska Walkerley</t>
  </si>
  <si>
    <t>To guide and monitor success.</t>
  </si>
  <si>
    <t>Workplace  Buddy</t>
  </si>
  <si>
    <t>FNB Wealth and Investments (Malebo Selepe)</t>
  </si>
  <si>
    <t>46700006629 FNB WI IT Dev</t>
  </si>
  <si>
    <t>Applications Developer</t>
  </si>
  <si>
    <t>4921151</t>
  </si>
  <si>
    <t>Nokwazi Mabaso</t>
  </si>
  <si>
    <t>FNB Points of Presence (Nomfundo Favourite Chili)</t>
  </si>
  <si>
    <t>771007900 FNB POP Branch Delivery Durban North</t>
  </si>
  <si>
    <t>Create Mentorship Event for Nokwazi Mabaso with Mariska Walkerley</t>
  </si>
  <si>
    <t>4654641</t>
  </si>
  <si>
    <t>Kgotlelelo Makeke (Terminated)</t>
  </si>
  <si>
    <t>Create Mentorship Event for Kgotlelelo Makeke (Terminated) with Fridah Maake-Gumede</t>
  </si>
  <si>
    <t>3837157</t>
  </si>
  <si>
    <t>Sibongile Dhlamini</t>
  </si>
  <si>
    <t>FNB Points of Presence (Reuben Diphoko)</t>
  </si>
  <si>
    <t>771037200 FNB POP Branch Delivery Standerton</t>
  </si>
  <si>
    <t>Create Mentorship Event for Sibongile Dhlamini with Fridah Maake-Gumede</t>
  </si>
  <si>
    <t>4741617</t>
  </si>
  <si>
    <t>Bina Rowjee</t>
  </si>
  <si>
    <t>I wanted a mentor to help me navigate my career as I am new in this corporate world</t>
  </si>
  <si>
    <t>FNB Central Finance RMB Technology (Stelios Herodotou)</t>
  </si>
  <si>
    <t>39400003431 FNB Finance BI</t>
  </si>
  <si>
    <t>Application Development Team Leader</t>
  </si>
  <si>
    <t>5605040</t>
  </si>
  <si>
    <t>Mbali Ohlson</t>
  </si>
  <si>
    <t>FNB Retail CDAO (Jaysha Singh)</t>
  </si>
  <si>
    <t>34100003373 PB&amp;A BI &amp; Data Analytics</t>
  </si>
  <si>
    <t>Close Mentorship Event for Mbali Ohlson with Bina Rowjee
Create Mentorship Event for Mbali Ohlson with Bina Rowjee</t>
  </si>
  <si>
    <t>5455030</t>
  </si>
  <si>
    <t>Mologadi Monakhisi (Terminated)</t>
  </si>
  <si>
    <t>Create Mentorship Event for Mologadi Monakhisi (Terminated) with Hlamalani Mashaba</t>
  </si>
  <si>
    <t>4805062</t>
  </si>
  <si>
    <t>Zaheer Ismail</t>
  </si>
  <si>
    <t>Group Human Capital (Dudu Moloko)</t>
  </si>
  <si>
    <t>20200007954 FRCC People Governance Learning Compliance</t>
  </si>
  <si>
    <t>Leadership Development Specialist</t>
  </si>
  <si>
    <t>4528204</t>
  </si>
  <si>
    <t>Yoshini Naidoo (Terminated)</t>
  </si>
  <si>
    <t>Close Mentorship Event for Yoshini Naidoo (Terminated) with Zaheer Ismail
Create Mentorship Event for Yoshini Naidoo (Terminated) with Zaheer Ismail</t>
  </si>
  <si>
    <t>Mentee Withdrawal - Change in Mentoring Needs</t>
  </si>
  <si>
    <t>upskilling.</t>
  </si>
  <si>
    <t>2421143</t>
  </si>
  <si>
    <t>Daya Govender</t>
  </si>
  <si>
    <t>Create Mentorship Event for Daya Govender with Daren Moodley (Terminated)</t>
  </si>
  <si>
    <t>4771281</t>
  </si>
  <si>
    <t>Mitchell Ncube</t>
  </si>
  <si>
    <t>Career alignment and guidance</t>
  </si>
  <si>
    <t>FNB Personal Core Banking (Jolandi Jansen Van Vuuren)</t>
  </si>
  <si>
    <t>28100006605 RCB Risk Management Gauteng</t>
  </si>
  <si>
    <t>Credit Portfolio Management Head</t>
  </si>
  <si>
    <t>Credit Risk</t>
  </si>
  <si>
    <t>4815793</t>
  </si>
  <si>
    <t>Sandra Mnyoni</t>
  </si>
  <si>
    <t>FNB Personal Segment Advisory and Suites (Nicole Greeves)</t>
  </si>
  <si>
    <t>97200010975 PSAS Case Management</t>
  </si>
  <si>
    <t>Service and Sales Advisor</t>
  </si>
  <si>
    <t>Create Mentorship Event for Sandra Mnyoni with Mitchell Ncube</t>
  </si>
  <si>
    <t>Overall achievement of Goals and Measures as set out in agreed Points of Presence Staffing Solutions Key Account Manager
Overall achievement of Goals and Measures as set out in agreed Points of Presence Staffing Solutions Operations Manager Contract
Overall achievement of Goals and Measures as set out in agreed Points of Presence Staffing Solutions Administrator Contract</t>
  </si>
  <si>
    <t>Upskilling to gain experience so as to advance further in my career.</t>
  </si>
  <si>
    <t>3472892</t>
  </si>
  <si>
    <t>Nozipho Duma</t>
  </si>
  <si>
    <t>Leadership, individual branding, career development</t>
  </si>
  <si>
    <t>FNB Broader Africa (Bydon Longwe)</t>
  </si>
  <si>
    <t>83200009887 FNB International SA Exco</t>
  </si>
  <si>
    <t>Chief Data and Analytics Officer</t>
  </si>
  <si>
    <t>Analytics</t>
  </si>
  <si>
    <t>5098858</t>
  </si>
  <si>
    <t>Veronika Jacobsz</t>
  </si>
  <si>
    <t>FNB Dynamic Decisioning Project Delivery (Cindy John)</t>
  </si>
  <si>
    <t>23900006144 FNB Dynamic Decisioning Project Delivery</t>
  </si>
  <si>
    <t>Project Management Office Portfolio Manager</t>
  </si>
  <si>
    <t>Close Mentorship Event for Veronika Jacobsz with Nozipho Duma
Create Mentorship Event for Veronika Jacobsz with Nozipho Duma</t>
  </si>
  <si>
    <t>2423243</t>
  </si>
  <si>
    <t>Bongi Tshabangu</t>
  </si>
  <si>
    <t>FNB Points of Presence (Reuben Fernandez)</t>
  </si>
  <si>
    <t>7710237600 FNB POP Regional Office Mpumalanga</t>
  </si>
  <si>
    <t>Regional Operations Manager</t>
  </si>
  <si>
    <t>5121159</t>
  </si>
  <si>
    <t>Naledi Modipane (Terminated)</t>
  </si>
  <si>
    <t>Create Mentorship Event for Naledi Modipane (Terminated) with Bongi Tshabangu</t>
  </si>
  <si>
    <t>4838734</t>
  </si>
  <si>
    <t>Reuben Diphoko</t>
  </si>
  <si>
    <t>FNB Points of Presence (Makarabo Mahlomotja)</t>
  </si>
  <si>
    <t>Create Mentorship Event for Reuben Diphoko with Fridah Maake-Gumede</t>
  </si>
  <si>
    <t>4868463</t>
  </si>
  <si>
    <t>Makarabo Mahlomotja</t>
  </si>
  <si>
    <t>Create Mentorship Event for Makarabo Mahlomotja with Fridah Maake-Gumede</t>
  </si>
  <si>
    <t>4692497</t>
  </si>
  <si>
    <t>Sihle Ncedani-Madlebe</t>
  </si>
  <si>
    <t>FNB Points of Presence (Zukisa Gabela)</t>
  </si>
  <si>
    <t>771034000 FNB POP Branch Delivery Port Alfred</t>
  </si>
  <si>
    <t>Universal Advisor Lead</t>
  </si>
  <si>
    <t>Create Mentorship Event for Sihle Ncedani-Madlebe with Theo Ngoma</t>
  </si>
  <si>
    <t>Actuarial Science Mentoring Programme</t>
  </si>
  <si>
    <t>Z2-Programme Mentor (HC Managed)</t>
  </si>
  <si>
    <t>5608627</t>
  </si>
  <si>
    <t>Neo Hlalele</t>
  </si>
  <si>
    <t>FNB International SA Retail Credit (Drikus Conradie)</t>
  </si>
  <si>
    <t>83200005888 FNB International SA Retail Credit</t>
  </si>
  <si>
    <t>Data Scientist</t>
  </si>
  <si>
    <t>Create Mentorship Event for Neo Hlalele with Himal Parbhoo</t>
  </si>
  <si>
    <t>3477428</t>
  </si>
  <si>
    <t>Shalati Ngobeni</t>
  </si>
  <si>
    <t>FNB Points of Presence (Barry Kuhn)</t>
  </si>
  <si>
    <t>7710299500 FNB Points of Presence Sales and Collaboration</t>
  </si>
  <si>
    <t>Leadership Coach</t>
  </si>
  <si>
    <t>Process and Business Analysis</t>
  </si>
  <si>
    <t>7547463</t>
  </si>
  <si>
    <t>Stephana Tshehla</t>
  </si>
  <si>
    <t>FNB Points of Presence (Reineth Mpondwane)</t>
  </si>
  <si>
    <t>7710248400 FNB POP Branch Delivery Centurion Mall</t>
  </si>
  <si>
    <t>Create Mentorship Event for Stephana Tshehla with Shalati Ngobeni</t>
  </si>
  <si>
    <t>3082644</t>
  </si>
  <si>
    <t>Pontsho Njoro</t>
  </si>
  <si>
    <t>The purpose of this mentorship is for me to acquire a skill set that will help me move and excel in the commercial space specifically commercial property finance and all other surrounding disciplines.</t>
  </si>
  <si>
    <t>FNB Commercial Sales Inland (Regita Lawrence)</t>
  </si>
  <si>
    <t>34200006563 FNB Commercial Sales North West Enterprise</t>
  </si>
  <si>
    <t>Client Portfolio Executive</t>
  </si>
  <si>
    <t>3862674</t>
  </si>
  <si>
    <t>Nomthandazo Rapodile</t>
  </si>
  <si>
    <t>FNB Commercial Sales Inland (Kammie Coetzee)</t>
  </si>
  <si>
    <t>Create Mentorship Event for Nomthandazo Rapodile with Pontsho Njoro</t>
  </si>
  <si>
    <t>7500262</t>
  </si>
  <si>
    <t>Wilma Masilo</t>
  </si>
  <si>
    <t>BA</t>
  </si>
  <si>
    <t>FNB Points of Presence (Bernice O Reilly)</t>
  </si>
  <si>
    <t>7710669900 FNB POP Branch Finance</t>
  </si>
  <si>
    <t>Regional Financial Manager</t>
  </si>
  <si>
    <t>Financial Management</t>
  </si>
  <si>
    <t>5110092</t>
  </si>
  <si>
    <t>Sibusiso Khumalo</t>
  </si>
  <si>
    <t>FNB Points of Presence (Delisiwe Chilwane)</t>
  </si>
  <si>
    <t>7710452300 FNB POP Nelspruit Crossing Centre</t>
  </si>
  <si>
    <t>Create Mentorship Event for Sibusiso Khumalo with Wilma Masilo</t>
  </si>
  <si>
    <t>3773531</t>
  </si>
  <si>
    <t>Louise Labuschagne</t>
  </si>
  <si>
    <t>FR Life Assurance (Dash Naidoo)</t>
  </si>
  <si>
    <t>61500010304 FR Insure and Invest Distribution</t>
  </si>
  <si>
    <t>Data Science Head</t>
  </si>
  <si>
    <t>5617391</t>
  </si>
  <si>
    <t>Danika Ramalingum</t>
  </si>
  <si>
    <t>Funding and Liquidity Management (Cameron Gough)</t>
  </si>
  <si>
    <t>78200000SFE Structured Finance</t>
  </si>
  <si>
    <t>Quantitative Analyst</t>
  </si>
  <si>
    <t>Create Mentorship Event for Danika Ramalingum with Louise Labuschagne</t>
  </si>
  <si>
    <t>3795446</t>
  </si>
  <si>
    <t>Willem-Dirk Van'T Zand</t>
  </si>
  <si>
    <t>FCC Risk Management (Lindy Riphagen)</t>
  </si>
  <si>
    <t>78200000FDD FCC Risk Management</t>
  </si>
  <si>
    <t>Risk Production and Modelling Head</t>
  </si>
  <si>
    <t>Asset Management</t>
  </si>
  <si>
    <t>5611474</t>
  </si>
  <si>
    <t>Matthew Gerrish (Terminated)</t>
  </si>
  <si>
    <t>Create Mentorship Event for Matthew Gerrish (Terminated) with Willem-Dirk Van'T Zand</t>
  </si>
  <si>
    <t>4762762</t>
  </si>
  <si>
    <t>Shailesh Pillay</t>
  </si>
  <si>
    <t>FRCC ERM CRO Office (Mine Van Zyl)</t>
  </si>
  <si>
    <t>20200008665 FRCC ERM Model Risk Management</t>
  </si>
  <si>
    <t>Model Risk Management Head</t>
  </si>
  <si>
    <t>Legal</t>
  </si>
  <si>
    <t>5605911</t>
  </si>
  <si>
    <t>Salmaan Mukhtar (Terminated)</t>
  </si>
  <si>
    <t>Create Mentorship Event for Salmaan Mukhtar (Terminated) with Shailesh Pillay</t>
  </si>
  <si>
    <t>5277264</t>
  </si>
  <si>
    <t>Thabo Mahlaba</t>
  </si>
  <si>
    <t>For guidance on sales and service role</t>
  </si>
  <si>
    <t>FNB Points of Presence (Nontobeko Kunene)</t>
  </si>
  <si>
    <t>771079400 FNB POP Branch Delivery Nelspruit Pinnacle</t>
  </si>
  <si>
    <t>5489091</t>
  </si>
  <si>
    <t>Mphumuzi Khoza</t>
  </si>
  <si>
    <t>Create Mentorship Event for Mphumuzi Khoza with Thabo Mahlaba</t>
  </si>
  <si>
    <t>3835057</t>
  </si>
  <si>
    <t>Nhlamulo Thosi (Terminated)</t>
  </si>
  <si>
    <t>5300312</t>
  </si>
  <si>
    <t>Gift Rathekoane</t>
  </si>
  <si>
    <t>FNB Points of Presence (Bulelwa Sikrweqe (Inherited))</t>
  </si>
  <si>
    <t>7710248500 FNB POP Branch Delivery Diepkloof Square</t>
  </si>
  <si>
    <t>Create Mentorship Event for Gift Rathekoane with Nhlamulo Thosi (Terminated)</t>
  </si>
  <si>
    <t>5156270</t>
  </si>
  <si>
    <t>Kevin Myers</t>
  </si>
  <si>
    <t>FNB Retail Financial Resource Management (Anina Siriram)</t>
  </si>
  <si>
    <t>85500002046 FNB Retail Financial Resource Management</t>
  </si>
  <si>
    <t>Financial Resources Analyst</t>
  </si>
  <si>
    <t>Financial Resources Management</t>
  </si>
  <si>
    <t>5609305</t>
  </si>
  <si>
    <t>Hugh Bouwer</t>
  </si>
  <si>
    <t>RMBSA Global Markets Technical Risk Advisory (Gareth Schumann)</t>
  </si>
  <si>
    <t>RMB</t>
  </si>
  <si>
    <t>77800000THR RMBSA Global Markets Technical Risk Advisory</t>
  </si>
  <si>
    <t>Quantitative Risk Analyst</t>
  </si>
  <si>
    <t>Create Mentorship Event for Hugh Bouwer with Kevin Myers</t>
  </si>
  <si>
    <t>4643321</t>
  </si>
  <si>
    <t>Kevin Hu</t>
  </si>
  <si>
    <t>Group ERM Credit Risk Control (Engelbert Meyer)</t>
  </si>
  <si>
    <t>20200006711 FRCC ERM Credit Risk Control</t>
  </si>
  <si>
    <t>Credit Model Standards and Governance Lead</t>
  </si>
  <si>
    <t>5612144</t>
  </si>
  <si>
    <t>Diaan Dietrichsen (Terminated)</t>
  </si>
  <si>
    <t>Create Mentorship Event for Diaan Dietrichsen (Terminated) with Kevin Hu</t>
  </si>
  <si>
    <t>5535093</t>
  </si>
  <si>
    <t>Maggie Nkoana</t>
  </si>
  <si>
    <t>FNB Chief Risk Office PMO (Olwethu Vuyo Nkosi Bodlani)</t>
  </si>
  <si>
    <t>39400008595 FNB Chief Risk Office PMO</t>
  </si>
  <si>
    <t>Business Analyst</t>
  </si>
  <si>
    <t>Create Mentorship Event for Maggie Nkoana with Henry Lesar</t>
  </si>
  <si>
    <t>3475697</t>
  </si>
  <si>
    <t>Nomvuselelo Ntuli</t>
  </si>
  <si>
    <t>FNB Points of Presence (Noma Bozwana)</t>
  </si>
  <si>
    <t>Create Mentorship Event for Nomvuselelo Ntuli with Theo Ngoma</t>
  </si>
  <si>
    <t>4844777</t>
  </si>
  <si>
    <t>Amanda Mene</t>
  </si>
  <si>
    <t>Create Mentorship Event for Amanda Mene with Theo Ngoma</t>
  </si>
  <si>
    <t>3354423</t>
  </si>
  <si>
    <t>Dorah Mohlopi</t>
  </si>
  <si>
    <t>performance goal</t>
  </si>
  <si>
    <t>FNB Personal Core Banking (Malesela Rankapole)</t>
  </si>
  <si>
    <t>48100003462 FNB Personal Core Banking Retail Sales</t>
  </si>
  <si>
    <t>Growth Specialist</t>
  </si>
  <si>
    <t>Business Development</t>
  </si>
  <si>
    <t>7547056</t>
  </si>
  <si>
    <t>Pitsi Mnguni</t>
  </si>
  <si>
    <t>FNB Points of Presence (Phumzile Mbele)</t>
  </si>
  <si>
    <t>771079500 FNB POP Branch Delivery Bryanston</t>
  </si>
  <si>
    <t>Create Mentorship Event for Pitsi Mnguni with Dorah Mohlopi</t>
  </si>
  <si>
    <t>3560643</t>
  </si>
  <si>
    <t>Andries Shuping</t>
  </si>
  <si>
    <t>I want to be able to lead a highly motivated team which is always hungry for success.</t>
  </si>
  <si>
    <t>FNB Points of Presence (Brian Wellsted)</t>
  </si>
  <si>
    <t>771042800 FNB POP Branch Delivery White River</t>
  </si>
  <si>
    <t>3556611</t>
  </si>
  <si>
    <t>Sandile Nkosi</t>
  </si>
  <si>
    <t>7710102900 FNB POP Branch Delivery Elukwatini</t>
  </si>
  <si>
    <t>Create Mentorship Event for Sandile Nkosi with Andries Shuping</t>
  </si>
  <si>
    <t>3105857</t>
  </si>
  <si>
    <t>Nomvula Luphoko</t>
  </si>
  <si>
    <t>To help me navigate in to the new role, especially with sales and service. And for my branch not to peform below 400.</t>
  </si>
  <si>
    <t>FNB Points of Presence (Tshwarelo Malele)</t>
  </si>
  <si>
    <t>7710110800 FNB POP Branch Delivery Kabokweni Plaza</t>
  </si>
  <si>
    <t>4717082</t>
  </si>
  <si>
    <t>Delisiwe Chilwane</t>
  </si>
  <si>
    <t>FNB Points of Presence (Nondumiso Mthembu)</t>
  </si>
  <si>
    <t>Create Mentorship Event for Delisiwe Chilwane with Nomvula Luphoko</t>
  </si>
  <si>
    <t>2966794</t>
  </si>
  <si>
    <t>Avashni Singh</t>
  </si>
  <si>
    <t>FNB Points of Presence (Pam Pitout)</t>
  </si>
  <si>
    <t>771006200 FNB POP Branch Delivery Pine Crest</t>
  </si>
  <si>
    <t>2221543</t>
  </si>
  <si>
    <t>Fazila Khan</t>
  </si>
  <si>
    <t>FNB Points of Presence (Avashni Singh)</t>
  </si>
  <si>
    <t>771083500 FNB POP Branch Delivery The Pavilion</t>
  </si>
  <si>
    <t>Create Mentorship Event for Fazila Khan with Avashni Singh</t>
  </si>
  <si>
    <t>3221776</t>
  </si>
  <si>
    <t>Bomikazi Sekoala</t>
  </si>
  <si>
    <t>771043400 FNB POP Branch Delivery Zastron</t>
  </si>
  <si>
    <t>5393639</t>
  </si>
  <si>
    <t>Madika Makgeletsi</t>
  </si>
  <si>
    <t>FNB Points of Presence (Thabiso Kutwane)</t>
  </si>
  <si>
    <t>7710993900 FNB POP BRANCH DELIVERY PALM SPRINGS MALL</t>
  </si>
  <si>
    <t>Create Mentorship Event for Madika Makgeletsi with Bomikazi Sekoala</t>
  </si>
  <si>
    <t>3561372</t>
  </si>
  <si>
    <t>Thuthu Mnyandu</t>
  </si>
  <si>
    <t>FNB Points of Presence (Susan Naicker)</t>
  </si>
  <si>
    <t>771045100 FNB POP Branch Delivery New Germany</t>
  </si>
  <si>
    <t>Create Mentorship Event for Thuthu Mnyandu with Avashni Singh</t>
  </si>
  <si>
    <t>3418626</t>
  </si>
  <si>
    <t>Pieter Smit</t>
  </si>
  <si>
    <t>In training</t>
  </si>
  <si>
    <t>FNB Points of Presence (Frans Esterhuyse)</t>
  </si>
  <si>
    <t>7710959900 FNB POP Risk In Branch Monitoring Team</t>
  </si>
  <si>
    <t>Process and Risk Manager</t>
  </si>
  <si>
    <t>2733994</t>
  </si>
  <si>
    <t>Anna Van Pletzen</t>
  </si>
  <si>
    <t>Create Mentorship Event for Anna Van Pletzen with Pieter Smit</t>
  </si>
  <si>
    <t>3572323</t>
  </si>
  <si>
    <t>Maserame Makwakwa (Terminated)</t>
  </si>
  <si>
    <t>5056268</t>
  </si>
  <si>
    <t>Ruth Raseemela</t>
  </si>
  <si>
    <t>FNB Point of Presence (Dineo Mbalati)</t>
  </si>
  <si>
    <t>771025000 FNB POP Branch Delivery Festival Mall</t>
  </si>
  <si>
    <t>Create Mentorship Event for Ruth Raseemela with Maserame Makwakwa (Terminated)</t>
  </si>
  <si>
    <t>3555933</t>
  </si>
  <si>
    <t>Tshidiso Noge</t>
  </si>
  <si>
    <t>FNB Points of Presence (Ntombi Matshinye)</t>
  </si>
  <si>
    <t>7710248700 FNB POP Branch Delivery Cosmo Mall</t>
  </si>
  <si>
    <t>3716422</t>
  </si>
  <si>
    <t>Bongani Kgoedi</t>
  </si>
  <si>
    <t>FNB Points of Presence (Paballo Kgolane)</t>
  </si>
  <si>
    <t>771063300 FNB POP Branch Delivery Jane Furse</t>
  </si>
  <si>
    <t>Create Mentorship Event for Bongani Kgoedi with Tshidiso Noge</t>
  </si>
  <si>
    <t>2416824</t>
  </si>
  <si>
    <t>Charles Thulani Nkosi</t>
  </si>
  <si>
    <t>FNB Points of Presence (Dima Thaba)</t>
  </si>
  <si>
    <t>7710237800 FNB POP Regional Office Gauteng North</t>
  </si>
  <si>
    <t>Area Manager</t>
  </si>
  <si>
    <t>3769984</t>
  </si>
  <si>
    <t>Siyabonga Mzimela</t>
  </si>
  <si>
    <t>Create Mentorship Event for Siyabonga Mzimela with Charles Thulani Nkosi</t>
  </si>
  <si>
    <t>3694119</t>
  </si>
  <si>
    <t>Yure Haripersad</t>
  </si>
  <si>
    <t>Help develop and mentor in the operational of the business</t>
  </si>
  <si>
    <t>FNB Points of Presence (Poovan Pillay)</t>
  </si>
  <si>
    <t>771064900 FNB POP Branch Delivery Phoenix Plaza</t>
  </si>
  <si>
    <t>2787237</t>
  </si>
  <si>
    <t>Vanessa Naicker</t>
  </si>
  <si>
    <t>FNB Points of Presence (Deno Govender)</t>
  </si>
  <si>
    <t>771009100 FNB POP Branch Delivery Verulam</t>
  </si>
  <si>
    <t>Create Mentorship Event for Vanessa Naicker with Yure Haripersad</t>
  </si>
  <si>
    <t>3465195</t>
  </si>
  <si>
    <t>Thabiso Nyawose</t>
  </si>
  <si>
    <t>Move up to a band C. Local Market Operations Manager.</t>
  </si>
  <si>
    <t>7710105300 FNB POP Branch Delivery Gateway</t>
  </si>
  <si>
    <t>3015122</t>
  </si>
  <si>
    <t>Claude Govender</t>
  </si>
  <si>
    <t>FNB Points of Presence (Thobani Kobela)</t>
  </si>
  <si>
    <t>7710104400 FNB POP Branch Delivery Bridge City</t>
  </si>
  <si>
    <t>Create Mentorship Event for Claude Govender with Thabiso Nyawose</t>
  </si>
  <si>
    <t>2667509</t>
  </si>
  <si>
    <t>Dwan Steyn</t>
  </si>
  <si>
    <t>Financial Manager</t>
  </si>
  <si>
    <t>3264920</t>
  </si>
  <si>
    <t>Regina Ntholeng (Terminated)</t>
  </si>
  <si>
    <t>Create Mentorship Event for Regina Ntholeng (Terminated) with Dwan Steyn</t>
  </si>
  <si>
    <t>4989171</t>
  </si>
  <si>
    <t>Borethe Mogwe</t>
  </si>
  <si>
    <t>A CAREEER GUIDANCE IN THE BANKING INDUSTRY</t>
  </si>
  <si>
    <t>5010160500 FNB Botswana Consumer Banking</t>
  </si>
  <si>
    <t>Customer Value Proposition Manager</t>
  </si>
  <si>
    <t>Product Development</t>
  </si>
  <si>
    <t>5013046</t>
  </si>
  <si>
    <t>Kenanao Kombani</t>
  </si>
  <si>
    <t>Create Mentorship Event for Kenanao Kombani with Borethe Mogwe</t>
  </si>
  <si>
    <t>To grow personally and in career</t>
  </si>
  <si>
    <t>5065623</t>
  </si>
  <si>
    <t>Asezile Figlan</t>
  </si>
  <si>
    <t>Create Mentorship Event for Asezile Figlan with Maserame Makwakwa (Terminated)</t>
  </si>
  <si>
    <t>3577430</t>
  </si>
  <si>
    <t>Sarah Janks (Terminated)</t>
  </si>
  <si>
    <t>4911296</t>
  </si>
  <si>
    <t>Candice Lee Kondominas</t>
  </si>
  <si>
    <t>FNB Wealth and Investment Fiduciary Locan and Offshore (Aneesa Razack)</t>
  </si>
  <si>
    <t>85500004208 FNB Private Global Solutions</t>
  </si>
  <si>
    <t>Create Mentorship Event for Candice Lee Kondominas with Sarah Janks (Terminated)</t>
  </si>
  <si>
    <t>3511847</t>
  </si>
  <si>
    <t>Amantle Mphoeng</t>
  </si>
  <si>
    <t>CAREER GUIDE IN THE BANKING INDUSTRY</t>
  </si>
  <si>
    <t>FNB Botswana Operations (Lesego Tamajobe)</t>
  </si>
  <si>
    <t>Service Manager</t>
  </si>
  <si>
    <t>Create Mentorship Event for Kenanao Kombani with Amantle Mphoeng</t>
  </si>
  <si>
    <t>For personal and career growth</t>
  </si>
  <si>
    <t>4793064</t>
  </si>
  <si>
    <t>Matee Malete</t>
  </si>
  <si>
    <t>FNB Point of Presence (Kenotshi Dlamini)</t>
  </si>
  <si>
    <t>771013200 FNB POP Branch Delivery Sandton City</t>
  </si>
  <si>
    <t>Create Mentorship Event for Matee Malete with Maserame Makwakwa (Terminated)</t>
  </si>
  <si>
    <t>4615956</t>
  </si>
  <si>
    <t>Kreneshen Moodley</t>
  </si>
  <si>
    <t>RMB Private Bank (Malcolm Horn)</t>
  </si>
  <si>
    <t>34100003205 RMBPB JHB Affluent</t>
  </si>
  <si>
    <t>Sales and Service Manager</t>
  </si>
  <si>
    <t>5347440</t>
  </si>
  <si>
    <t>Tshepo Huma (Terminated)</t>
  </si>
  <si>
    <t>Create Mentorship Event for Tshepo Huma (Terminated) with Kreneshen Moodley</t>
  </si>
  <si>
    <t>4659872</t>
  </si>
  <si>
    <t>Cornel Du Toit</t>
  </si>
  <si>
    <t>FNB Retail Cash Investments Chief Executive Office (Himal Parbhoo)</t>
  </si>
  <si>
    <t>65100003691 FNB Cash Investments Pricing &amp; Analytics</t>
  </si>
  <si>
    <t>5603757</t>
  </si>
  <si>
    <t>George Lambiris (Terminated)</t>
  </si>
  <si>
    <t>Create Mentorship Event for George Lambiris (Terminated) with Cornel Du Toit</t>
  </si>
  <si>
    <t>4818865</t>
  </si>
  <si>
    <t>Mmamodise Tiro</t>
  </si>
  <si>
    <t>FNB Points of Presence (Nikita Govender)</t>
  </si>
  <si>
    <t>Support Advisor FAIS</t>
  </si>
  <si>
    <t>2733978</t>
  </si>
  <si>
    <t>Melanie Malan</t>
  </si>
  <si>
    <t>FNB Points of Presence (Flora Moreroa)</t>
  </si>
  <si>
    <t>771036000 FNB POP Branch Delivery Rustenburg</t>
  </si>
  <si>
    <t>Create Mentorship Event for Melanie Malan with Mmamodise Tiro</t>
  </si>
  <si>
    <t>4727231</t>
  </si>
  <si>
    <t>Tshepo Motsei (Terminated)</t>
  </si>
  <si>
    <t>do well in Sales</t>
  </si>
  <si>
    <t>2839717</t>
  </si>
  <si>
    <t>Kgomotso Matshoba</t>
  </si>
  <si>
    <t>Create Mentorship Event for Kgomotso Matshoba with Tshepo Motsei (Terminated)</t>
  </si>
  <si>
    <t>3192814</t>
  </si>
  <si>
    <t>Paul Erasmus (Terminated)</t>
  </si>
  <si>
    <t>5603935</t>
  </si>
  <si>
    <t>Sean Christoph</t>
  </si>
  <si>
    <t>FNB Loans (Joshua Maduna)</t>
  </si>
  <si>
    <t>79100009082 FNB Consumer Loans Support Credit</t>
  </si>
  <si>
    <t>Create Mentorship Event for Sean Christoph with Paul Erasmus (Terminated)</t>
  </si>
  <si>
    <t>2152649</t>
  </si>
  <si>
    <t>Shane French</t>
  </si>
  <si>
    <t>Better integration into a team/business unit
Bridging the gap for graduates and first-time joiners to the workplace
Broaden organisational knowledge
Career guidance
Deal with diversity and inclusion challenges
Develop leadership skills
Disruptive technologies
Innovation
Learn how to navigate the system
Manage a career transition
Relationship building and networking</t>
  </si>
  <si>
    <t>Chief Operating Officer</t>
  </si>
  <si>
    <t>4987063</t>
  </si>
  <si>
    <t>Mpho Sephetho</t>
  </si>
  <si>
    <t>FNB Private Banking and Advisory (Morne Welgemoed)</t>
  </si>
  <si>
    <t>Create Mentorship Event for Mpho Sephetho with Shane French
Edit Mentorship Event for Mpho Sephetho with Shane French</t>
  </si>
  <si>
    <t>4630211</t>
  </si>
  <si>
    <t>Lamla Gege</t>
  </si>
  <si>
    <t>FNB Commercial Core Juristic Platform (Dustin Blyth)</t>
  </si>
  <si>
    <t>34200009026 FNB Commercial CJP IT Development</t>
  </si>
  <si>
    <t>Information Technology Head</t>
  </si>
  <si>
    <t>4630351</t>
  </si>
  <si>
    <t>Thembani Mashao</t>
  </si>
  <si>
    <t>FNB Commercial Core Juristic Platform (Lamla Gege)</t>
  </si>
  <si>
    <t>Java Developer</t>
  </si>
  <si>
    <t>Close Mentorship Event for Thembani Mashao with Lamla Gege
Create Mentorship Event for Thembani Mashao with Lamla Gege</t>
  </si>
  <si>
    <t>4739116</t>
  </si>
  <si>
    <t>Rethabile Tsekedi</t>
  </si>
  <si>
    <t>- Provide career development guidance
- Prepare mentee for new leadership opportunities</t>
  </si>
  <si>
    <t>FNB R&amp;C Chief Information Office (La-Cell Mouton)</t>
  </si>
  <si>
    <t>20200002266 CDO Banking Finxact</t>
  </si>
  <si>
    <t>Chief Information Officer</t>
  </si>
  <si>
    <t>5600952</t>
  </si>
  <si>
    <t>Nombuso Mkhize</t>
  </si>
  <si>
    <t>FNB nav Home (Winnie Masina)</t>
  </si>
  <si>
    <t>39400003192 FNB nav Head Office</t>
  </si>
  <si>
    <t>Product Manager</t>
  </si>
  <si>
    <t>Create Mentorship Event for Nombuso Mkhize with Rethabile Tsekedi</t>
  </si>
  <si>
    <t>5660491</t>
  </si>
  <si>
    <t>Tuyeimo Penehafo Nghiholiwe</t>
  </si>
  <si>
    <t>FNB Namibia Limited (Lazarus Nghidimbwa)</t>
  </si>
  <si>
    <t>302000001499 FNB Namibia Far North Area Office Eenhana</t>
  </si>
  <si>
    <t>Service Host</t>
  </si>
  <si>
    <t>Create Mentorship Event for Tuyeimo Penehafo Nghiholiwe with Annastasia Williams</t>
  </si>
  <si>
    <t>3349098</t>
  </si>
  <si>
    <t>Lusanda Sombinge</t>
  </si>
  <si>
    <t>FNB Commercial Sales Cape (Monwabisi Poswa)</t>
  </si>
  <si>
    <t>34300009158 FNB Commercial Growth Eastern Cape Country</t>
  </si>
  <si>
    <t>Business Manager</t>
  </si>
  <si>
    <t>3050262</t>
  </si>
  <si>
    <t>Lazola Gubevu</t>
  </si>
  <si>
    <t>FNB Points of Presence (Lizo Dlamini)</t>
  </si>
  <si>
    <t>771039900 FNB POP Branch Delivery Mthatha</t>
  </si>
  <si>
    <t>Customer Experience Advisor</t>
  </si>
  <si>
    <t>Create Mentorship Event for Lazola Gubevu with Lusanda Sombinge</t>
  </si>
  <si>
    <t>·        Career guidance
I am a systems Analyst with 6 years experience. I have an interest to transition in a BI Manager or Insight and Analystics Manager role. I would like guidance on what courses to take to best prepare and how to best do the transition.
·        Develop leadership skills
I believe i am a leader and ready to step up to lead role, i need assistance on how to best develop and show case these skills.
·        Relationship building and networking
I would like assistance on how do i broaden my network and grow in my career.</t>
  </si>
  <si>
    <t>5409624</t>
  </si>
  <si>
    <t>Nosivuno September (Terminated)</t>
  </si>
  <si>
    <t>Create Mentorship Event for Nosivuno September (Terminated) with Athena Botha</t>
  </si>
  <si>
    <t>Develop leadership skills.
Learn how to navigate the system.
Relationship building and networking.</t>
  </si>
  <si>
    <t>5498112</t>
  </si>
  <si>
    <t>Hitjiza Kamupingene</t>
  </si>
  <si>
    <t>FNB Namibia Limited (Lucky Shindume)</t>
  </si>
  <si>
    <t>Compliance Monitoring Specialist</t>
  </si>
  <si>
    <t>Create Mentorship Event for Hitjiza Kamupingene with Yamillah Katjirua</t>
  </si>
  <si>
    <t>7540361</t>
  </si>
  <si>
    <t>Brian Sithole</t>
  </si>
  <si>
    <t>FNB Points of Presence (Disebo Motsapi)</t>
  </si>
  <si>
    <t>771012600 FNB POP Branch Delivery Randfontein</t>
  </si>
  <si>
    <t>Create Mentorship Event for Brian Sithole with Hlamalani Mashaba</t>
  </si>
  <si>
    <t>3504840</t>
  </si>
  <si>
    <t>Thuto Chabane</t>
  </si>
  <si>
    <t>FNB Points of Presence (Awelani Mafune)</t>
  </si>
  <si>
    <t>7710110500 FNB POP Branch Delivery Highveld Mall</t>
  </si>
  <si>
    <t>5327172</t>
  </si>
  <si>
    <t>Lebo Mohlala</t>
  </si>
  <si>
    <t>FNB Points of Presence (Naume Khalane)</t>
  </si>
  <si>
    <t>7710101100 FNB POP Branch Delivery KG Mall</t>
  </si>
  <si>
    <t>Create Mentorship Event for Lebo Mohlala with Thuto Chabane</t>
  </si>
  <si>
    <t>Being a better OBR consultant</t>
  </si>
  <si>
    <t>5551528</t>
  </si>
  <si>
    <t>Sekoala Lenkoane</t>
  </si>
  <si>
    <t>FNB Points of Presence (Sandra Du Randt)</t>
  </si>
  <si>
    <t>771050700 FNB POP Branch Delivery College Square</t>
  </si>
  <si>
    <t>Branch External Sales and Service Advisor OBR</t>
  </si>
  <si>
    <t>Create Mentorship Event for Sekoala Lenkoane with Bomikazi Sekoala</t>
  </si>
  <si>
    <t>for me to complete my assessments</t>
  </si>
  <si>
    <t>5490316</t>
  </si>
  <si>
    <t>Siziphiwe Tyebisa</t>
  </si>
  <si>
    <t>FNB Points of Presence (Masixole Baduza)</t>
  </si>
  <si>
    <t>Create Mentorship Event for Siziphiwe Tyebisa with Lusanda Sombinge</t>
  </si>
  <si>
    <t>Understand the role</t>
  </si>
  <si>
    <t>3835375</t>
  </si>
  <si>
    <t>Yanda Kupiso</t>
  </si>
  <si>
    <t>771024500 FNB POP Branch Delivery Heilbron</t>
  </si>
  <si>
    <t>Create Mentorship Event for Yanda Kupiso with Lusanda Sombinge</t>
  </si>
  <si>
    <t>3354202</t>
  </si>
  <si>
    <t>Refilwe Makgala</t>
  </si>
  <si>
    <t>FNB Points of Presence (Sam Letshwene)</t>
  </si>
  <si>
    <t>Create Mentorship Event for Refilwe Makgala with Mmamodise Tiro</t>
  </si>
  <si>
    <t>achieve my goals</t>
  </si>
  <si>
    <t>5635365</t>
  </si>
  <si>
    <t>Tumeka Mbombo</t>
  </si>
  <si>
    <t>Create Mentorship Event for Tumeka Mbombo with Lusanda Sombinge</t>
  </si>
  <si>
    <t>4913930</t>
  </si>
  <si>
    <t>Bheki Cele</t>
  </si>
  <si>
    <t>Through this mentorship programme i would like to be assisted to elevate my career to a role in Data Science/Analysis. I would like to find out more about the role and how I can be a successful candidate whenever there is an opening.</t>
  </si>
  <si>
    <t>FNB Commercial TxP Analytics (Mark Van Der Westhuizen)</t>
  </si>
  <si>
    <t>39800005521 FNB Commercial TxP Analytics</t>
  </si>
  <si>
    <t>Data Science Manager</t>
  </si>
  <si>
    <t>5621135</t>
  </si>
  <si>
    <t>Phil Nkosi</t>
  </si>
  <si>
    <t>FirstRand Short Term Insurance (Andile Matomela)</t>
  </si>
  <si>
    <t>90700004633 ST Personal Comp Sales</t>
  </si>
  <si>
    <t>Short Term Insurance Sales Consultant</t>
  </si>
  <si>
    <t>Create Mentorship Event for Phil Nkosi with Bheki Cele</t>
  </si>
  <si>
    <t>5182859</t>
  </si>
  <si>
    <t>Sudeshni Gounden</t>
  </si>
  <si>
    <t>Mentorship Journey</t>
  </si>
  <si>
    <t>Group Lead Learning and Development</t>
  </si>
  <si>
    <t>5642582</t>
  </si>
  <si>
    <t>Mary Simujayangombe</t>
  </si>
  <si>
    <t>FNB Zambia Human Capital (Musyani Siwelwa)</t>
  </si>
  <si>
    <t>55300003076 FNB Zambia Human Capital</t>
  </si>
  <si>
    <t>Learning Specialist</t>
  </si>
  <si>
    <t>Create Mentorship Event for Mary Simujayangombe with Sudeshni Gounden</t>
  </si>
  <si>
    <t>I'm signing up for Shaun to be my mentor, coaching on industry and to better prepare for the future of banking, the compliance and laws associated with the future.</t>
  </si>
  <si>
    <t>2905914</t>
  </si>
  <si>
    <t>Gibson Mostert (Terminated)</t>
  </si>
  <si>
    <t>Racially advantaged (Namibia)</t>
  </si>
  <si>
    <t>Create Mentorship Event for Gibson Mostert (Terminated) with Yamillah Katjirua</t>
  </si>
  <si>
    <t>3353036</t>
  </si>
  <si>
    <t>Lindeni Temba</t>
  </si>
  <si>
    <t>FNB Points of Presence (Ignatia Monyai)</t>
  </si>
  <si>
    <t>Create Mentorship Event for Lindeni Temba with Maserame Makwakwa (Terminated)</t>
  </si>
  <si>
    <t>4655516</t>
  </si>
  <si>
    <t>Abdul Raheem Karim</t>
  </si>
  <si>
    <t>Provide guidance, motivation, emotional support and role modelling.</t>
  </si>
  <si>
    <t>FNB Wealth (Dickson Naidoo)</t>
  </si>
  <si>
    <t>Team Leader</t>
  </si>
  <si>
    <t>3224546</t>
  </si>
  <si>
    <t>Yvonne Mofokeng</t>
  </si>
  <si>
    <t>FNB Points of Presence (Lindi Mahlangu)</t>
  </si>
  <si>
    <t>7710247500 FNB POP Branch Delivery Eyethu Orange Farm Mall</t>
  </si>
  <si>
    <t>Create Mentorship Event for Yvonne Mofokeng with Abdul Raheem Karim</t>
  </si>
  <si>
    <t>3974510</t>
  </si>
  <si>
    <t>Dimpho Thupayakgosi</t>
  </si>
  <si>
    <t>FNB Points of Presence (Neill C. Van Wyk)</t>
  </si>
  <si>
    <t>771018100 FNB POP Branch Delivery Brits</t>
  </si>
  <si>
    <t>5269059</t>
  </si>
  <si>
    <t>Benjamin Mguzulwa</t>
  </si>
  <si>
    <t>FNB Points of Presence (Chantel Pretorius)</t>
  </si>
  <si>
    <t>771032100 FNB POP Branch Delivery Orkney</t>
  </si>
  <si>
    <t>Create Mentorship Event for Benjamin Mguzulwa with Dimpho Thupayakgosi</t>
  </si>
  <si>
    <t>I would like to be a business manager</t>
  </si>
  <si>
    <t>7581998</t>
  </si>
  <si>
    <t>Yanga Mbadu</t>
  </si>
  <si>
    <t>FNB Points of Presence (Shoeshoe Matlhabe)</t>
  </si>
  <si>
    <t>771003700 FNB POP Branch Delivery Rosebank</t>
  </si>
  <si>
    <t>Create Mentorship Event for Yanga Mbadu with Dorah Mohlopi
Edit Mentorship Event for Yanga Mbadu with Dorah Mohlopi</t>
  </si>
  <si>
    <t>5235103</t>
  </si>
  <si>
    <t>Nomgqibelo Msimango</t>
  </si>
  <si>
    <t>Good day, I am looking for someone who will guide me in my career and be able grow. A person which I feel I can learn from and also be in a position possibly to impart some knowledge to them also. I wanna use this opportunity to also get out of my comfort zone and learn about other people and the things they do and how it all contributes to this one big goal the bank also has for itself.</t>
  </si>
  <si>
    <t>FNB Personal Segment Advisory and Suites (Mocheko Chaka)</t>
  </si>
  <si>
    <t>97200011017 FNB PSAS - Suite Exco</t>
  </si>
  <si>
    <t>Business Support Head</t>
  </si>
  <si>
    <t>5290511</t>
  </si>
  <si>
    <t>Mpho Baloyi</t>
  </si>
  <si>
    <t>FNB ConnectMe (Sivuyile Ngxabazi)</t>
  </si>
  <si>
    <t>84900001599 FNB ConnectMe Finance</t>
  </si>
  <si>
    <t>Cost Accountant</t>
  </si>
  <si>
    <t>Accounting and Financial Intelligence</t>
  </si>
  <si>
    <t>Create Mentorship Event for Mpho Baloyi with Nomgqibelo Msimango</t>
  </si>
  <si>
    <t>5076234</t>
  </si>
  <si>
    <t>Tsami Motaung</t>
  </si>
  <si>
    <t>To be a branch Controller</t>
  </si>
  <si>
    <t>771027600 FNB POP Branch Delivery Kroonstad</t>
  </si>
  <si>
    <t>4946537</t>
  </si>
  <si>
    <t>Kamohelo Mokotjomela (Terminated)</t>
  </si>
  <si>
    <t>Create Mentorship Event for Kamohelo Mokotjomela (Terminated) with Tsami Motaung</t>
  </si>
  <si>
    <t>Career development support</t>
  </si>
  <si>
    <t>5588073</t>
  </si>
  <si>
    <t>Gabriel Mosiane</t>
  </si>
  <si>
    <t>FNB Points of Presence (Mpilonhle Segale)</t>
  </si>
  <si>
    <t>771066900 FNB POP Branch Delivery Key West</t>
  </si>
  <si>
    <t>Create Mentorship Event for Gabriel Mosiane with Dorah Mohlopi</t>
  </si>
  <si>
    <t>To coach me into her responsibilities and duties of being a team leader.</t>
  </si>
  <si>
    <t>5339650</t>
  </si>
  <si>
    <t>Lindiwe Tshabalala</t>
  </si>
  <si>
    <t>FNB Lesotho (Maleseli Lorraine Chefa)</t>
  </si>
  <si>
    <t>Team Member Back Office</t>
  </si>
  <si>
    <t>Create Mentorship Event for Lindiwe Tshabalala with Maleseli Lorraine Chefa</t>
  </si>
  <si>
    <t>2073889</t>
  </si>
  <si>
    <t>Catharina Harmse</t>
  </si>
  <si>
    <t>Learn more about sales, service and operations</t>
  </si>
  <si>
    <t>FNB Points of Presence (Chantell Holder)</t>
  </si>
  <si>
    <t>771096300 FNB POP Branch Delivery Bedford Gardens</t>
  </si>
  <si>
    <t>7574576</t>
  </si>
  <si>
    <t>Masesi Sibanda (Terminated)</t>
  </si>
  <si>
    <t>Create Mentorship Event for Masesi Sibanda (Terminated) with Catharina Harmse</t>
  </si>
  <si>
    <t>3293335</t>
  </si>
  <si>
    <t>Manqoba Sindane</t>
  </si>
  <si>
    <t>FNB Points of Presence (Martha Maqetuka)</t>
  </si>
  <si>
    <t>771052700 FNB POP Branch Delivery Eastgate</t>
  </si>
  <si>
    <t>Create Mentorship Event for Manqoba Sindane with Dwan Steyn</t>
  </si>
  <si>
    <t>4865952</t>
  </si>
  <si>
    <t>Bruce Ncube</t>
  </si>
  <si>
    <t>Roles in leadersy</t>
  </si>
  <si>
    <t>FNB Commercial Sales Gauteng South and Central (Caiphus Nyuswa)</t>
  </si>
  <si>
    <t>34300006534 FNB Commercial Growth Gauteng South West South</t>
  </si>
  <si>
    <t>4799089</t>
  </si>
  <si>
    <t>Vusumzi Mkize</t>
  </si>
  <si>
    <t>FNB Points of Presence (Lucky Ngubo)</t>
  </si>
  <si>
    <t>7710178400 FNB POP Branch Delivery Meyersdal Mall</t>
  </si>
  <si>
    <t>Create Mentorship Event for Vusumzi Mkize with Bruce Ncube</t>
  </si>
  <si>
    <t>3633535</t>
  </si>
  <si>
    <t>Ameisha Singh (Terminated)</t>
  </si>
  <si>
    <t>To enhance knowledge and skills to advance to LMM role in the local market.</t>
  </si>
  <si>
    <t>3642232</t>
  </si>
  <si>
    <t>Trason Murugen</t>
  </si>
  <si>
    <t>FNB Points of Presence (Caryn Pendlebury)</t>
  </si>
  <si>
    <t>771062400 FNB POP Branch Delivery V A Waterfront</t>
  </si>
  <si>
    <t>Create Mentorship Event for Trason Murugen with Ameisha Singh (Terminated)</t>
  </si>
  <si>
    <t>5290961</t>
  </si>
  <si>
    <t>Nkosinathi Nobela (Terminated)</t>
  </si>
  <si>
    <t>Score informed by data tracking 
Significant improvement required
Improvement require Meets expectations: Exceed Expectations
Exceptional</t>
  </si>
  <si>
    <t>3170845</t>
  </si>
  <si>
    <t>Mkateko Buti</t>
  </si>
  <si>
    <t>FNB Points of Presence (Lungi Nsibanyoni)</t>
  </si>
  <si>
    <t>771014300 FNB POP Branch Delivery Clearwater Mall</t>
  </si>
  <si>
    <t>Create Mentorship Event for Mkateko Buti with Nkosinathi Nobela (Terminated)</t>
  </si>
  <si>
    <t>5248698</t>
  </si>
  <si>
    <t>Megan Petersen</t>
  </si>
  <si>
    <t>The purpose of the mentorship is to gain knowledge and experience regarding the Business Coach role and to develop and the necessary skills, traits and requirements in order to move within his role.</t>
  </si>
  <si>
    <t>DirectAxis (Shimaaz Ely)</t>
  </si>
  <si>
    <t>4903536</t>
  </si>
  <si>
    <t>Bre-yana Beckmann</t>
  </si>
  <si>
    <t>FNB Points of Presence (Maria Madisa)</t>
  </si>
  <si>
    <t>69000001647 FNB Retail Engineering and Analysis</t>
  </si>
  <si>
    <t>Process Analyst</t>
  </si>
  <si>
    <t>Create Mentorship Event for Bre-yana Beckmann with Megan Petersen</t>
  </si>
  <si>
    <t>3355705</t>
  </si>
  <si>
    <t>Sibusiso Ngcobo</t>
  </si>
  <si>
    <t>FNB Points of Presence (Jimmy Mafa)</t>
  </si>
  <si>
    <t>771030300 FNB POP Branch Delivery Middelburg MP</t>
  </si>
  <si>
    <t>Create Mentorship Event for Sibusiso Ngcobo with Thuto Chabane</t>
  </si>
  <si>
    <t>4864743</t>
  </si>
  <si>
    <t>Sihle Mhlongo</t>
  </si>
  <si>
    <t>FNB Points of Presence (Martin Lolwane)</t>
  </si>
  <si>
    <t>Create Mentorship Event for Sihle Mhlongo with Maserame Makwakwa (Terminated)</t>
  </si>
  <si>
    <t>3803643</t>
  </si>
  <si>
    <t>Vusi Mabuza</t>
  </si>
  <si>
    <t>FNB Points of Presence (Bridgette Mogatla)</t>
  </si>
  <si>
    <t>771036100 FNB POP Branch Delivery Sabie</t>
  </si>
  <si>
    <t>2334437</t>
  </si>
  <si>
    <t>Loretta Ramatsoma (Terminated)</t>
  </si>
  <si>
    <t>Create Mentorship Event for Loretta Ramatsoma (Terminated) with Vusi Mabuza</t>
  </si>
  <si>
    <t>2874792</t>
  </si>
  <si>
    <t>Sipho Khumalo</t>
  </si>
  <si>
    <t>Mentor to help me with trainings for Leadership workers</t>
  </si>
  <si>
    <t>CDO Infrastructure and Security Services (Henry Rehne)</t>
  </si>
  <si>
    <t>20700008751 CDO Networks and Security Employee Network Access</t>
  </si>
  <si>
    <t>Solutions Architect</t>
  </si>
  <si>
    <t>Architecture</t>
  </si>
  <si>
    <t>2625288</t>
  </si>
  <si>
    <t>Thomas Mathebula</t>
  </si>
  <si>
    <t>CDO Infrastructure and Security Services (Dumisani Mthembu)</t>
  </si>
  <si>
    <t>20700008789 CDO Infrastructure and Security Services Security Randburg</t>
  </si>
  <si>
    <t>Shift Team Leader</t>
  </si>
  <si>
    <t>Facilities Management and Services</t>
  </si>
  <si>
    <t>Create Mentorship Event for Thomas Mathebula with Sipho Khumalo</t>
  </si>
  <si>
    <t>EXPERIENCE</t>
  </si>
  <si>
    <t>3222772</t>
  </si>
  <si>
    <t>Bokang Mabyane</t>
  </si>
  <si>
    <t>FNB Points of Presence (Phillip Galamadien)</t>
  </si>
  <si>
    <t>7710239100 FNB POP Regional Office Inland</t>
  </si>
  <si>
    <t>AgencyPlus Relationship Manager</t>
  </si>
  <si>
    <t>Create Mentorship Event for Bokang Mabyane with Mmamodise Tiro</t>
  </si>
  <si>
    <t>3055930</t>
  </si>
  <si>
    <t>Nobahle Nxopho (Terminated)</t>
  </si>
  <si>
    <t>To guide me to become a responsible person to bring out the best in others. Thus being admits mistakes, show how to do things, gives advice and direction, earns respect, says we as we work as a team and ask and say thank you.</t>
  </si>
  <si>
    <t>2194856</t>
  </si>
  <si>
    <t>Hannetjie Beukes (Terminated)</t>
  </si>
  <si>
    <t>Create Mentorship Event for Hannetjie Beukes (Terminated) with Nobahle Nxopho (Terminated)</t>
  </si>
  <si>
    <t>The aim is to get more insight, knowledge, skills and understanding on how to lead properly and plan.</t>
  </si>
  <si>
    <t>5256593</t>
  </si>
  <si>
    <t>Thabo Mathenjwa</t>
  </si>
  <si>
    <t>FNB Points of Presence (Devan Chetty)</t>
  </si>
  <si>
    <t>7710371100 FNB POP Branch Delivery Mbazwana Shopping Centre</t>
  </si>
  <si>
    <t>Create Mentorship Event for Thabo Mathenjwa with Thabiso Nyawose</t>
  </si>
  <si>
    <t>to guide towards my dream goals and to supervise on how to get there quicker</t>
  </si>
  <si>
    <t>3475786</t>
  </si>
  <si>
    <t>Virginia Mohale</t>
  </si>
  <si>
    <t>Create Mentorship Event for Virginia Mohale with Catharina Harmse</t>
  </si>
  <si>
    <t>leaner how to navigate the system ,manage my career and to build a long and lasting relationship</t>
  </si>
  <si>
    <t>For Self development.</t>
  </si>
  <si>
    <t>2825503</t>
  </si>
  <si>
    <t>Cleo Aarons</t>
  </si>
  <si>
    <t>FNB Points of Presence (Riaz Gaibee)</t>
  </si>
  <si>
    <t>7710293500 FNB POP Branch Delivery New Market Mall</t>
  </si>
  <si>
    <t>Create Mentorship Event for Cleo Aarons with Catharina Harmse</t>
  </si>
  <si>
    <t>3219569</t>
  </si>
  <si>
    <t>Mduduzi Nkosi</t>
  </si>
  <si>
    <t>FNB Retail Facilities (David Goosen)</t>
  </si>
  <si>
    <t>22300005071 FNB REMS</t>
  </si>
  <si>
    <t>Concierge</t>
  </si>
  <si>
    <t>Catering and Hospitality</t>
  </si>
  <si>
    <t>Create Mentorship Event for Mduduzi Nkosi with Catharina Harmse</t>
  </si>
  <si>
    <t>3020312</t>
  </si>
  <si>
    <t>Malebo Phahlamohlaka</t>
  </si>
  <si>
    <t>developing leadership skills and networking</t>
  </si>
  <si>
    <t>FNB Commercial Chief Information Office (Ismail Sibda)</t>
  </si>
  <si>
    <t>34200007536 FNB Commercial CJP Exco</t>
  </si>
  <si>
    <t>Business Unit Chief Information Officer</t>
  </si>
  <si>
    <t>5019273</t>
  </si>
  <si>
    <t>Kuhle Kewana</t>
  </si>
  <si>
    <t>FNB Chief Risk Office IT (Mashao Seisa)</t>
  </si>
  <si>
    <t>Create Mentorship Event for Kuhle Kewana with Malebo Phahlamohlaka</t>
  </si>
  <si>
    <t>4607627</t>
  </si>
  <si>
    <t>Malini Mudaly</t>
  </si>
  <si>
    <t>FNB Retail Legal Risk and Compliance (Wynand Smit)</t>
  </si>
  <si>
    <t>85500008236 FNB Retail Legal Risk and Compliance</t>
  </si>
  <si>
    <t>Legal Head</t>
  </si>
  <si>
    <t>4960351</t>
  </si>
  <si>
    <t>Yasmin Kadwa</t>
  </si>
  <si>
    <t>FirstRand Legal (Virgil McLellan)</t>
  </si>
  <si>
    <t>39400001347 FirstRand Legal Litigation</t>
  </si>
  <si>
    <t>Segment Litigation Head</t>
  </si>
  <si>
    <t>Create Mentorship Event for Yasmin Kadwa with Malini Mudaly</t>
  </si>
  <si>
    <t>5389585</t>
  </si>
  <si>
    <t>Amukelani Maetsa</t>
  </si>
  <si>
    <t>FNB Commercial Core Juristic Platform (Khulani Mvelase)</t>
  </si>
  <si>
    <t>34200005978 FNB Commercial CJP CRM</t>
  </si>
  <si>
    <t>Technical Tester</t>
  </si>
  <si>
    <t>IT Testing</t>
  </si>
  <si>
    <t>3945839</t>
  </si>
  <si>
    <t>Thandi Mashele</t>
  </si>
  <si>
    <t>FNB Points of Presence (Emily Mbele)</t>
  </si>
  <si>
    <t>7710446100 FNB POP Branch Delivery Sky City Mall</t>
  </si>
  <si>
    <t>Create Mentorship Event for Thandi Mashele with Amukelani Maetsa</t>
  </si>
  <si>
    <t>Looking for a mentor to guide me on how to better equip &amp; develop myself into becoming a legal advisor.</t>
  </si>
  <si>
    <t>5301149</t>
  </si>
  <si>
    <t>Lira Reddi (Terminated)</t>
  </si>
  <si>
    <t>Close Mentorship Event for Lira Reddi (Terminated) with Yasmin Kadwa
Create Mentorship Event for Lira Reddi (Terminated) with Yasmin Kadwa</t>
  </si>
  <si>
    <t>5150175</t>
  </si>
  <si>
    <t>Andre Olivier</t>
  </si>
  <si>
    <t>To become a better Data Architect</t>
  </si>
  <si>
    <t>FRG Data and Analytics Office (Lian Van Oudheusden)</t>
  </si>
  <si>
    <t>39400010972 FNB Chief Risk Office Credit Risk and Reporting</t>
  </si>
  <si>
    <t>Information Architecture Head</t>
  </si>
  <si>
    <t>4880439</t>
  </si>
  <si>
    <t>Bertie Vorster</t>
  </si>
  <si>
    <t>CDO Kernel iDnA (Yoricke Esterhuyse)</t>
  </si>
  <si>
    <t>39400007609 FNB CDAO Information Management</t>
  </si>
  <si>
    <t>Data Architect</t>
  </si>
  <si>
    <t>Create Mentorship Event for Bertie Vorster with Andre Olivier</t>
  </si>
  <si>
    <t>2576627</t>
  </si>
  <si>
    <t>Nelien Dippenaar</t>
  </si>
  <si>
    <t>To grow as a Leader by guiding the Team to success, by managing daily activities and being deeply invested.</t>
  </si>
  <si>
    <t>FNB Affluent (Nozuko Gloria Makhunga)</t>
  </si>
  <si>
    <t>34100005227 PB&amp;A Tshwane Affluent NE</t>
  </si>
  <si>
    <t>3486710</t>
  </si>
  <si>
    <t>Katlego Matlou</t>
  </si>
  <si>
    <t>FNB Points of Presence (Neil Trewin)</t>
  </si>
  <si>
    <t>7710105200 FNB POP Branch Delivery Wonderpark</t>
  </si>
  <si>
    <t>Create Mentorship Event for Katlego Matlou with Nelien Dippenaar</t>
  </si>
  <si>
    <t>Career change.</t>
  </si>
  <si>
    <t>4692055</t>
  </si>
  <si>
    <t>Gugu Sibeko</t>
  </si>
  <si>
    <t>Create Mentorship Event for Gugu Sibeko with Thuto Chabane</t>
  </si>
  <si>
    <t>5236568</t>
  </si>
  <si>
    <t>Sindisiwe Mthembu</t>
  </si>
  <si>
    <t>FNB Points of Presence (Celia Motswiane)</t>
  </si>
  <si>
    <t>7710104200 FNB POP Branch Delivery Crossroads Plaza</t>
  </si>
  <si>
    <t>Create Mentorship Event for Sindisiwe Mthembu with Bongi Tshabangu</t>
  </si>
  <si>
    <t>Better integration into a team/business unit
Bridging the gap for graduates and first-time joiners to the workplace
Broaden organisational knowledge
Career guidance</t>
  </si>
  <si>
    <t>5669022</t>
  </si>
  <si>
    <t>Amanda Lebohang Gift Mngomezulu (Terminated)</t>
  </si>
  <si>
    <t>Close Mentorship Event for Amanda Lebohang Gift Mngomezulu (Terminated) with Zaheer Ismail
Create Mentorship Event for Amanda Lebohang Gift Mngomezulu (Terminated) with Zaheer Ismail</t>
  </si>
  <si>
    <t>3362604</t>
  </si>
  <si>
    <t>Xolani Madini</t>
  </si>
  <si>
    <t>To grow in my current role with aim to do great in the role i aspired to embark on.</t>
  </si>
  <si>
    <t>FNB Personal Core Banking (Mohamed Osman)</t>
  </si>
  <si>
    <t>Create Mentorship Event for Lusanda Sombinge with Xolani Madini</t>
  </si>
  <si>
    <t>3425010</t>
  </si>
  <si>
    <t>Mathapelo Mohale</t>
  </si>
  <si>
    <t>would like to move into management space as a next step of my career,learn all the necessary skills,duties and responsibilities for the role,equip and prepare myself for the role and acquire as much as i can in terms of the role for me to be able to get into the role.</t>
  </si>
  <si>
    <t>FNB Points of Presence (Nandipa Mpahlwa)</t>
  </si>
  <si>
    <t>771005100 FNB POP Branch Delivery Main Street</t>
  </si>
  <si>
    <t>4876288</t>
  </si>
  <si>
    <t>Nicholas Mathope</t>
  </si>
  <si>
    <t>FNB Points of Presence (Mmapule Sangweni)</t>
  </si>
  <si>
    <t>7710111400 FNB POP Branch Delivery Maponya Mall</t>
  </si>
  <si>
    <t>Create Mentorship Event for Nicholas Mathope with Mathapelo Mohale</t>
  </si>
  <si>
    <t>0121266</t>
  </si>
  <si>
    <t>Johan Steyn</t>
  </si>
  <si>
    <t>FNB Commercial Chief Executive Office ABF (Khantse Radebe)</t>
  </si>
  <si>
    <t>WesBank</t>
  </si>
  <si>
    <t>30100007137 WB ABF Inland Shared</t>
  </si>
  <si>
    <t>Head of Sales Business Unit</t>
  </si>
  <si>
    <t>2765152</t>
  </si>
  <si>
    <t>Reshmee Pillay</t>
  </si>
  <si>
    <t>FNB Commercial Sales Inland (Pelonolo Mafata)</t>
  </si>
  <si>
    <t>34300009157 FNB Commercial Growth Mpumalanga Gold</t>
  </si>
  <si>
    <t>Close Mentorship Event for Reshmee Pillay with Johan Steyn
Create Mentorship Event for Reshmee Pillay with Johan Steyn</t>
  </si>
  <si>
    <t>4711289</t>
  </si>
  <si>
    <t>Gcebile Nkosi</t>
  </si>
  <si>
    <t>FNB Points of Presence (Mpho Rapatsa)</t>
  </si>
  <si>
    <t>771029200 FNB POP Branch Delivery Malelane</t>
  </si>
  <si>
    <t>5272203</t>
  </si>
  <si>
    <t>Tsakani Thobela</t>
  </si>
  <si>
    <t>FNB Points of Presence (Thabitha Phokoane)</t>
  </si>
  <si>
    <t>771092800 FNB POP Branch Delivery Kriel</t>
  </si>
  <si>
    <t>Universal Advisor</t>
  </si>
  <si>
    <t>Create Mentorship Event for Tsakani Thobela with Gcebile Nkosi</t>
  </si>
  <si>
    <t>3792145</t>
  </si>
  <si>
    <t>Mpumie Twala</t>
  </si>
  <si>
    <t>Assisting with providing guidance, skills, Knowlege, experience and exposure in managing infrastructure and security projects.</t>
  </si>
  <si>
    <t>FNB COO Head Office (Nkoka Sekotlong)</t>
  </si>
  <si>
    <t>3879607</t>
  </si>
  <si>
    <t>Laiken Jacobs</t>
  </si>
  <si>
    <t>CDO Infrastructure and Security Services (Teresa Da Silva)</t>
  </si>
  <si>
    <t>20700007751 CDO Infrastructure and Security Services Administration</t>
  </si>
  <si>
    <t>IT Customer Relationship Manager</t>
  </si>
  <si>
    <t>Create Mentorship Event for Laiken Jacobs with Mpumie Twala</t>
  </si>
  <si>
    <t>5058538</t>
  </si>
  <si>
    <t>Megan Lapan (Terminated)</t>
  </si>
  <si>
    <t>Create Mentorship Event for Megan Lapan (Terminated) with Mpumie Twala</t>
  </si>
  <si>
    <t>Good day Mitchell Gubeka,I am currently exploring potential mentorship opportunity and I think that there’s a lot that I could learn from you. I am particularly interested in Information Technology, and I believe that your knowledge would be very helpful for my journey.  I am seeking new development opportunities a mentor to provide guidance and support in areas such as skill development, career advancement, and personal growth. Give direction to get confidence into making changes and help to keep me on track. A mentor who will share knowledge, experience, and insights, and provide feedback and advice on my plan and performance.Sincerely,Fikile Tshabalala</t>
  </si>
  <si>
    <t>3846148</t>
  </si>
  <si>
    <t>Fikile Tshabalala</t>
  </si>
  <si>
    <t>FNB Chief Risk Office Client Desirability Risk Management (Rachael Diale)</t>
  </si>
  <si>
    <t>39400003191 FNB Chief Risk Office Screening Services Governance and Risk</t>
  </si>
  <si>
    <t>Client Desirability Analyst</t>
  </si>
  <si>
    <t>Create Mentorship Event for Fikile Tshabalala with Mitchell Ncube</t>
  </si>
  <si>
    <t>To know the back round of the security of I&amp;SS better.</t>
  </si>
  <si>
    <t>5491363</t>
  </si>
  <si>
    <t>Kusara Sithole</t>
  </si>
  <si>
    <t>CDO Infrastructure and Security Services (Dave Van Der Schyff)</t>
  </si>
  <si>
    <t>Security Guard</t>
  </si>
  <si>
    <t>Security (Protection Services)</t>
  </si>
  <si>
    <t>Create Mentorship Event for Kusara Sithole with Sipho Khumalo</t>
  </si>
  <si>
    <t>3462013</t>
  </si>
  <si>
    <t>Livhu Phanyane</t>
  </si>
  <si>
    <t>The main purpose is to assist in my professional and personal development by offering direction, assistance, and information sharing. particularly in the workplace, and to also provide the chance for interpersonal interaction with the aim of education, acquiring new abilities, and developing compassionate relations between colleagues. By offering direction and developing growth, I could achieve my full potential and open doors to increased production, innovative thinking, and considerable revenue for the bank.</t>
  </si>
  <si>
    <t>FNB Points of Presence (Andries Van Niekerk)</t>
  </si>
  <si>
    <t>771032200 FNB POP Branch Delivery Ottosdal</t>
  </si>
  <si>
    <t>5127440</t>
  </si>
  <si>
    <t>Mamello Mokibe</t>
  </si>
  <si>
    <t>FNB Points of Presence (Kamogelo Moipolai)</t>
  </si>
  <si>
    <t>771028200 FNB POP Branch Delivery Leeudoringstad</t>
  </si>
  <si>
    <t>Create Mentorship Event for Mamello Mokibe with Livhu Phanyane</t>
  </si>
  <si>
    <t>5499550</t>
  </si>
  <si>
    <t>Botlhale Maselo</t>
  </si>
  <si>
    <t>FNB Personal (Livhu Phanyane)</t>
  </si>
  <si>
    <t>Create Mentorship Event for Botlhale Maselo with Livhu Phanyane</t>
  </si>
  <si>
    <t>2855682</t>
  </si>
  <si>
    <t>Debbie De Beer</t>
  </si>
  <si>
    <t>Good day Debbie ,i am looking for some one who can guide and coach me in my career developments .and i strongly believe you if have capacity to assist me</t>
  </si>
  <si>
    <t>FNB Commercial Sales Gauteng North (Zak Sivalingum)</t>
  </si>
  <si>
    <t>34200003323 FNB Commercial Sales Shared Services</t>
  </si>
  <si>
    <t>3646467</t>
  </si>
  <si>
    <t>Mthokozisi Ndlovu</t>
  </si>
  <si>
    <t>FNB Commercial Public Sector (Sammy Khosa)</t>
  </si>
  <si>
    <t>84100002703 FNB Commercial Public Sector Gauteng South</t>
  </si>
  <si>
    <t>Public Sector Account Executive Analyst</t>
  </si>
  <si>
    <t>Create Mentorship Event for Mthokozisi Ndlovu with Debbie De Beer</t>
  </si>
  <si>
    <t>3174042</t>
  </si>
  <si>
    <t>Tsholofelo Rakumakoe</t>
  </si>
  <si>
    <t>Growth</t>
  </si>
  <si>
    <t>FNB Points of Presence (Baldwin Mashaba)</t>
  </si>
  <si>
    <t>771099400 FNB POP Branch Delivery Waterfall Mall</t>
  </si>
  <si>
    <t>Local Market Sales and Service Manager</t>
  </si>
  <si>
    <t>4809289</t>
  </si>
  <si>
    <t>Mpho Setuke</t>
  </si>
  <si>
    <t>FNB Points of Presence (Lebo Matee)</t>
  </si>
  <si>
    <t>771044600 FNB POP Branch Delivery Gauteng Westgate</t>
  </si>
  <si>
    <t>Create Mentorship Event for Mpho Setuke with Tsholofelo Rakumakoe</t>
  </si>
  <si>
    <t>2953447</t>
  </si>
  <si>
    <t>Rhona Veldskoen</t>
  </si>
  <si>
    <t>FNB Points of Presence (Abram Booysen)</t>
  </si>
  <si>
    <t>771097400 FNB POP Branch Delivery Bathopele</t>
  </si>
  <si>
    <t>Create Mentorship Event for Rhona Veldskoen with Tsholofelo Rakumakoe</t>
  </si>
  <si>
    <t>3579980</t>
  </si>
  <si>
    <t>Rebecca Sekgweleo</t>
  </si>
  <si>
    <t>FNB Points of Presence (Dimpho Thupayakgosi (Inherited))</t>
  </si>
  <si>
    <t>7710218600 FNB POP Branch Delivery Letlhabile Mall</t>
  </si>
  <si>
    <t>Create Mentorship Event for Rebecca Sekgweleo with Tsholofelo Rakumakoe</t>
  </si>
  <si>
    <t>4875346</t>
  </si>
  <si>
    <t>Mulalo Kutame</t>
  </si>
  <si>
    <t>For the transition from being an Insurance Broker to a Software Test Analyst</t>
  </si>
  <si>
    <t>First Risk and Advisory Services (Cynthia Mashego)</t>
  </si>
  <si>
    <t>16900010758 First Risk and Advisory Services IT</t>
  </si>
  <si>
    <t>Test Analyst Team Leader</t>
  </si>
  <si>
    <t>4999029</t>
  </si>
  <si>
    <t>Thandokazi Ncakeni</t>
  </si>
  <si>
    <t>First Risk and Advisory Services (Benjamin Mogwasa)</t>
  </si>
  <si>
    <t>16900010778 First Risk and Advisory Services Bedfordview Branch</t>
  </si>
  <si>
    <t>Claims Broker</t>
  </si>
  <si>
    <t>Close Mentorship Event for Thandokazi Ncakeni with Mulalo Kutame
Create Mentorship Event for Thandokazi Ncakeni with Mulalo Kutame</t>
  </si>
  <si>
    <t>3808203</t>
  </si>
  <si>
    <t>Tebogo Dikobe</t>
  </si>
  <si>
    <t>Regional Customer Experience Manager</t>
  </si>
  <si>
    <t>Create Mentorship Event for Tebogo Dikobe with Charles Thulani Nkosi</t>
  </si>
  <si>
    <t>3584763</t>
  </si>
  <si>
    <t>Mfundo Mabaso</t>
  </si>
  <si>
    <t>Manage a career transition
Relationship building and networking</t>
  </si>
  <si>
    <t>FNB HSL (Chris Labuschagne)</t>
  </si>
  <si>
    <t>38500009325 HSL. Exco</t>
  </si>
  <si>
    <t>3952606</t>
  </si>
  <si>
    <t>Douglas Lesiba</t>
  </si>
  <si>
    <t>FNB HSL (Nthabiseng Tsotetsi)</t>
  </si>
  <si>
    <t>21200006817 HSL Nav</t>
  </si>
  <si>
    <t>Customer Service Solutions Specialist</t>
  </si>
  <si>
    <t>Create Mentorship Event for Douglas Lesiba with Mfundo Mabaso</t>
  </si>
  <si>
    <t>5180082</t>
  </si>
  <si>
    <t>Rashida Rawat</t>
  </si>
  <si>
    <t>Transition Nirvana into her next career path from a Specialists to a manager.</t>
  </si>
  <si>
    <t>FNB Human Capital R&amp;C (Donald Khumalo)</t>
  </si>
  <si>
    <t>47100001985 FNB HR Executive</t>
  </si>
  <si>
    <t>Human Capital Head</t>
  </si>
  <si>
    <t>4819373</t>
  </si>
  <si>
    <t>Nirvana Ramboth</t>
  </si>
  <si>
    <t>83100009547 FNB Connect EXCO</t>
  </si>
  <si>
    <t>Create Mentorship Event for Nirvana Ramboth with Rashida Rawat</t>
  </si>
  <si>
    <t>4904958</t>
  </si>
  <si>
    <t>Thiroshan Naidoo</t>
  </si>
  <si>
    <t>for someone to help me become a Private Banker</t>
  </si>
  <si>
    <t>RMBSA TTS Technology (Mias Du Plessis)</t>
  </si>
  <si>
    <t>77800000RQI RMB Treasury</t>
  </si>
  <si>
    <t>IT Solutions Architect</t>
  </si>
  <si>
    <t>3429709</t>
  </si>
  <si>
    <t>Refilwe Nkau (Terminated)</t>
  </si>
  <si>
    <t>Create Mentorship Event for Refilwe Nkau (Terminated) with Thiroshan Naidoo</t>
  </si>
  <si>
    <t>3353850</t>
  </si>
  <si>
    <t>Poovan Pillay</t>
  </si>
  <si>
    <t>ASSIST WITH GUIDENCE TO ACHIVE DESIRED GOAL</t>
  </si>
  <si>
    <t>FNB Points of Presence (Phila Ntshingila)</t>
  </si>
  <si>
    <t>7710236600 FNB POP Regional Office Kwazulu Natal</t>
  </si>
  <si>
    <t>2953013</t>
  </si>
  <si>
    <t>Devan Chetty</t>
  </si>
  <si>
    <t>771024900 FNB POP Branch Delivery Hluhluwe</t>
  </si>
  <si>
    <t>Create Mentorship Event for Devan Chetty with Poovan Pillay</t>
  </si>
  <si>
    <t>2778041</t>
  </si>
  <si>
    <t>Mervyn Moodley</t>
  </si>
  <si>
    <t>To learn more about the property space.</t>
  </si>
  <si>
    <t>FNB Commercial Lend Pillar Head Office (Nainesh Desai)</t>
  </si>
  <si>
    <t>34200004627 FNB Commercial Lend Head Office</t>
  </si>
  <si>
    <t>Business Solutions Specialist</t>
  </si>
  <si>
    <t>5480353</t>
  </si>
  <si>
    <t>Jabulani Nene</t>
  </si>
  <si>
    <t>FNB Points of Presence (Stephan Boshoff (Inherited))</t>
  </si>
  <si>
    <t>38100009862 FNB POP SSD Regional Admin and Finance</t>
  </si>
  <si>
    <t>Financial Accountant</t>
  </si>
  <si>
    <t>Systems Accounting and Financial Operations</t>
  </si>
  <si>
    <t>Create Mentorship Event for Jabulani Nene with Mervyn Moodley</t>
  </si>
  <si>
    <t>5062667</t>
  </si>
  <si>
    <t>Smangele Cunningham</t>
  </si>
  <si>
    <t>CDO Kernel iNterfaceX Fraud Risk Management (Craig Grieve)</t>
  </si>
  <si>
    <t>21800006165 CDO Kernel iNterfaceX Audit and Risk</t>
  </si>
  <si>
    <t>IT Risk Head</t>
  </si>
  <si>
    <t>IT Governance, Risk and Compliance</t>
  </si>
  <si>
    <t>4892704</t>
  </si>
  <si>
    <t>Beaulah Sekgobela</t>
  </si>
  <si>
    <t>FNB Wealth (Tshepo Baloyi)</t>
  </si>
  <si>
    <t>34100008805 PB&amp;A Legal Risk and Compliance</t>
  </si>
  <si>
    <t>Create Mentorship Event for Beaulah Sekgobela with Smangele Cunningham</t>
  </si>
  <si>
    <t>4695275</t>
  </si>
  <si>
    <t>Jackie Diack</t>
  </si>
  <si>
    <t>The purpose of this mentorship is to:
Guide and further develop leadership skills
Presentation skills when presenting to senior management (Written &amp; Verbal)
Further craft strategic thinking
Guide and give insight on CX principles and apply CX thinking in the eBucks context</t>
  </si>
  <si>
    <t>FNB Credit Card (Jason Viljoen)</t>
  </si>
  <si>
    <t>20300002954 FNB Card Enabler Digital Payments</t>
  </si>
  <si>
    <t>Solutions Lead</t>
  </si>
  <si>
    <t>4906918</t>
  </si>
  <si>
    <t>Nomthandazo Peyise</t>
  </si>
  <si>
    <t>FNB Commercial National Sales and Service (Perpetua Bodibe)</t>
  </si>
  <si>
    <t>34300009133 FNB Commercial Customer Experience</t>
  </si>
  <si>
    <t>Client Experience Manager</t>
  </si>
  <si>
    <t>Create Mentorship Event for Nomthandazo Peyise with Jackie Diack</t>
  </si>
  <si>
    <t>5089875</t>
  </si>
  <si>
    <t>Jean Welsh</t>
  </si>
  <si>
    <t>Learning from Experience, Guidance and Support, Networking Opportunities, Skill Development and Personal Growth.</t>
  </si>
  <si>
    <t>FNB HSL. (Leanne Brooks)</t>
  </si>
  <si>
    <t>69000002201 FNB Retail COO Business Analysis</t>
  </si>
  <si>
    <t>4824202</t>
  </si>
  <si>
    <t>Njabulo Mabaso</t>
  </si>
  <si>
    <t>FNB Retail COO (Sumeshan Pillay)</t>
  </si>
  <si>
    <t>69000002537 FNB Retail COO Fraud</t>
  </si>
  <si>
    <t>Call Centre Agent</t>
  </si>
  <si>
    <t>Create Mentorship Event for Njabulo Mabaso with Jean Welsh</t>
  </si>
  <si>
    <t>4695658</t>
  </si>
  <si>
    <t>Khomotso Molokwane</t>
  </si>
  <si>
    <t>My purpose is to acquire more knowledge and experience about leadership and dealing with customers.</t>
  </si>
  <si>
    <t>FNB Commercial Sales Inland (Boitumelo Makokwe)</t>
  </si>
  <si>
    <t>34300009155 FNB Commercial Growth Limpopo Gold</t>
  </si>
  <si>
    <t>Business Advisor</t>
  </si>
  <si>
    <t>5611768</t>
  </si>
  <si>
    <t>Confidence Rakimane</t>
  </si>
  <si>
    <t>FNB Points of Presence (Dikeledi Mohlala)</t>
  </si>
  <si>
    <t>Create Mentorship Event for Confidence Rakimane with Khomotso Molokwane</t>
  </si>
  <si>
    <t>To grow in banking and to increase on performance</t>
  </si>
  <si>
    <t>3223094</t>
  </si>
  <si>
    <t>Celia Moireleng</t>
  </si>
  <si>
    <t>FNB Points of Presence (Moshate Sefanyetso)</t>
  </si>
  <si>
    <t>Create Mentorship Event for Celia Moireleng with Mmamodise Tiro</t>
  </si>
  <si>
    <t>5166268</t>
  </si>
  <si>
    <t>Anele Mkhize</t>
  </si>
  <si>
    <t>Life and career advancements.</t>
  </si>
  <si>
    <t>FNB Commercial Chief Executive Office FML (Andisiwe Nikelo)</t>
  </si>
  <si>
    <t>30100007317 WB FML Head Office</t>
  </si>
  <si>
    <t>5367425</t>
  </si>
  <si>
    <t>Malibongwe Mthimkhulu</t>
  </si>
  <si>
    <t>FNB HSL (Siphosethu Myataza)</t>
  </si>
  <si>
    <t>21200001749 Home Finance Business Intelligence</t>
  </si>
  <si>
    <t>Records Manager</t>
  </si>
  <si>
    <t>Data Governance and Information Management</t>
  </si>
  <si>
    <t>Create Mentorship Event for Malibongwe Mthimkhulu with Anele Mkhize</t>
  </si>
  <si>
    <t>3209105</t>
  </si>
  <si>
    <t>Renusha Moodley</t>
  </si>
  <si>
    <t>Career guidance and growth opportunities</t>
  </si>
  <si>
    <t>FNB Chief Risk Office (Emma Mer)</t>
  </si>
  <si>
    <t>39400001871 FNB Chief Risk Office Executive</t>
  </si>
  <si>
    <t>3422208</t>
  </si>
  <si>
    <t>Melanie Bosch</t>
  </si>
  <si>
    <t>nav Client Experience (Clair Brenner)</t>
  </si>
  <si>
    <t>39400004124 FNB nav CX</t>
  </si>
  <si>
    <t>Solutions Specialist</t>
  </si>
  <si>
    <t>Create Mentorship Event for Melanie Bosch with Renusha Moodley</t>
  </si>
  <si>
    <t>3496104</t>
  </si>
  <si>
    <t>Roselyn Ngoepe</t>
  </si>
  <si>
    <t>i have requested Ma Ngoepe to teach and guide me in using other work functions and systems</t>
  </si>
  <si>
    <t>FNB Core Banking Platform (Nicolene Green)</t>
  </si>
  <si>
    <t>59600010101 FNB Personal and Private IT WB Service Management</t>
  </si>
  <si>
    <t>Technical Release Specialist</t>
  </si>
  <si>
    <t>IT Infrastructure, Support and Maintenance</t>
  </si>
  <si>
    <t>3496597</t>
  </si>
  <si>
    <t>Solomzi Zini</t>
  </si>
  <si>
    <t>FNB Core Banking Platform (Patrick Masina)</t>
  </si>
  <si>
    <t>59600010097 FNB Personal and Private IT WB Motor IT - Acquisitions</t>
  </si>
  <si>
    <t>Test Analyst</t>
  </si>
  <si>
    <t>Create Mentorship Event for Solomzi Zini with Roselyn Ngoepe</t>
  </si>
  <si>
    <t>5118875</t>
  </si>
  <si>
    <t>Engelberth Djami</t>
  </si>
  <si>
    <t>Project Management on the job training to improve skills in project planning, management and delivery.
PDP objectives.
Complete at least 1500 hours of project management in preparation for the CAPM certification.
Contribute in the management and delivery of 3/4 projects.
Manage stakeholder expectations and engagement for successful project results.
Create and execute project and change management plans.</t>
  </si>
  <si>
    <t>FNB Group Technology and Operations COO (Rodney Forbes)</t>
  </si>
  <si>
    <t>302000005067 FNB Namibia Project Management Office</t>
  </si>
  <si>
    <t>Project Management Office Head</t>
  </si>
  <si>
    <t>4926625</t>
  </si>
  <si>
    <t>Lettie Nahole</t>
  </si>
  <si>
    <t>FNB Namibia Limited (Rassie Tjirimuje)</t>
  </si>
  <si>
    <t>302000001683 FNB Namibia Group Risk</t>
  </si>
  <si>
    <t>Risk Officer</t>
  </si>
  <si>
    <t>Create Mentorship Event for Lettie Nahole with Engelberth Djami</t>
  </si>
  <si>
    <t>4965175</t>
  </si>
  <si>
    <t>Sergio De Sousa</t>
  </si>
  <si>
    <t>wholistic development of behavioral, technical and leadership attributes.</t>
  </si>
  <si>
    <t>302000006368 FNB Namibia Digital Transformation and Data Office</t>
  </si>
  <si>
    <t>5441110</t>
  </si>
  <si>
    <t>Garth Gille</t>
  </si>
  <si>
    <t>FNB Namibia Limited (Sergio De Sousa)</t>
  </si>
  <si>
    <t>Process Engineering Lead</t>
  </si>
  <si>
    <t>Create Mentorship Event for Garth Gille with Sergio De Sousa</t>
  </si>
  <si>
    <t>2609932</t>
  </si>
  <si>
    <t>Vincent Govender</t>
  </si>
  <si>
    <t>CDO Banking IDS (Mohamed Karim)</t>
  </si>
  <si>
    <t>79000007752 CDO Banking IDS</t>
  </si>
  <si>
    <t>5288649</t>
  </si>
  <si>
    <t>Charissa Langman</t>
  </si>
  <si>
    <t>CDO Banking (Vincent Govender)</t>
  </si>
  <si>
    <t>Business Analyst Lead</t>
  </si>
  <si>
    <t>Create Mentorship Event for Charissa Langman with Vincent Govender</t>
  </si>
  <si>
    <t>Growth and development</t>
  </si>
  <si>
    <t>2856492</t>
  </si>
  <si>
    <t>Bella Khumalo</t>
  </si>
  <si>
    <t>771069300 FNB POP Branch Delivery Biblio Plaza</t>
  </si>
  <si>
    <t>Create Mentorship Event for Bella Khumalo with Tsholofelo Rakumakoe</t>
  </si>
  <si>
    <t>5496608</t>
  </si>
  <si>
    <t>Lerato Moepi</t>
  </si>
  <si>
    <t>FR Life Assurance (Adriaan Van Der Merwe)</t>
  </si>
  <si>
    <t>Business Development Manager</t>
  </si>
  <si>
    <t>Create Mentorship Event for Lerato Moepi with Zaheer Ismail</t>
  </si>
  <si>
    <t>3168158</t>
  </si>
  <si>
    <t>Ebrahim Omar</t>
  </si>
  <si>
    <t>CDO Banking (Anban Moodley)</t>
  </si>
  <si>
    <t>79000005432 CDO Banking Application Infrastructure</t>
  </si>
  <si>
    <t>Technical Specialist</t>
  </si>
  <si>
    <t>5455634</t>
  </si>
  <si>
    <t>Liam Mathieson</t>
  </si>
  <si>
    <t>FNB nav. Chief Executive Office R&amp;C (Pravesh Dayah)</t>
  </si>
  <si>
    <t>59600003267 FNB Personal and Private IT CRSA Development</t>
  </si>
  <si>
    <t>Create Mentorship Event for Liam Mathieson with Ebrahim Omar</t>
  </si>
  <si>
    <t>5561922</t>
  </si>
  <si>
    <t>Tebatso Raganya</t>
  </si>
  <si>
    <t>Learning UX design</t>
  </si>
  <si>
    <t>FNB Commercial Merchant Services (Ashley Jacobs)</t>
  </si>
  <si>
    <t>22800008224 FNB Commercial Merchant Services Projects</t>
  </si>
  <si>
    <t>User Experience Designer</t>
  </si>
  <si>
    <t>5665531</t>
  </si>
  <si>
    <t>Rotondwa Ramaru</t>
  </si>
  <si>
    <t>FNB Points of Presence (Sphamandla Shezi)</t>
  </si>
  <si>
    <t>Project Coordinator</t>
  </si>
  <si>
    <t>Create Mentorship Event for Rotondwa Ramaru with Tebatso Raganya</t>
  </si>
  <si>
    <t>Provide Career guidance.</t>
  </si>
  <si>
    <t>Create Mentorship Event for Kefilwe Samson with Amantle Mphoeng</t>
  </si>
  <si>
    <t>5201918</t>
  </si>
  <si>
    <t>Fatima Kasoojee</t>
  </si>
  <si>
    <t>Seeking career guidance in risk management as well as assistance in personal development (skill building). Assistance with networking and relationship building (job shadowing opportunities). Advice on next steps and career progression tips (CV enhancements). Leadership skill building. Exposure to risk management in practice (broaden organizational knowledge).</t>
  </si>
  <si>
    <t>FNB Commercial Chief Risk Office (Nazeem Goolam Hoosen)</t>
  </si>
  <si>
    <t>34400008612 FNB Commercial Chief Risk Office Operational Risk</t>
  </si>
  <si>
    <t>4761936</t>
  </si>
  <si>
    <t>Shenaaz Musthapha</t>
  </si>
  <si>
    <t>FNB Retail Sales (Ulrike Du Toit)</t>
  </si>
  <si>
    <t>97200010705 FNB Internet Capability</t>
  </si>
  <si>
    <t>Operations Support Manager</t>
  </si>
  <si>
    <t>Create Mentorship Event for Shenaaz Musthapha with Fatima Kasoojee</t>
  </si>
  <si>
    <t>5116716</t>
  </si>
  <si>
    <t>Paul Van Tonder</t>
  </si>
  <si>
    <t>Provide career guidance:
Better integration into a team/business unit
Bridging the gap for graduates and first-time joiners to the workplace
Relationship building and networking.
Broaden organizational knowledge.</t>
  </si>
  <si>
    <t>FNB Personal Core Banking (Stephen Barnes)</t>
  </si>
  <si>
    <t>48100005372 FNB Personal Core Banking Consumer Value Management</t>
  </si>
  <si>
    <t>8870857</t>
  </si>
  <si>
    <t>Lavashni Naidoo</t>
  </si>
  <si>
    <t>FNB Personal Core Banking (Brent Dreyer)</t>
  </si>
  <si>
    <t>Create Mentorship Event for Lavashni Naidoo with Paul Van Tonder</t>
  </si>
  <si>
    <t>4920740</t>
  </si>
  <si>
    <t>Lenize Lottering</t>
  </si>
  <si>
    <t>Career guidance , leadership skills , Assessing credit application and Risk mitigating factor</t>
  </si>
  <si>
    <t>FNB Commercial Sales Inland (Johan Kotze)</t>
  </si>
  <si>
    <t>34200009213 FNB Commercial Sales Free State Platinum</t>
  </si>
  <si>
    <t>5037360</t>
  </si>
  <si>
    <t>Innosim Mothombeni</t>
  </si>
  <si>
    <t>FNB Commercial Credit (Makwena Semono)</t>
  </si>
  <si>
    <t>34200000751 FNB Commercial Credit Inland Limpopo</t>
  </si>
  <si>
    <t>Business Judgemental Credit Manager</t>
  </si>
  <si>
    <t>Close Mentorship Event for Innosim Mothombeni with Lenize Lottering
Create Mentorship Event for Innosim Mothombeni with Lenize Lottering</t>
  </si>
  <si>
    <t>3593053</t>
  </si>
  <si>
    <t>Thandi Maciko</t>
  </si>
  <si>
    <t>To be mentored for my medium goal which is Local Market Sales and Service Manager</t>
  </si>
  <si>
    <t>FNB Points of Presence (Michael Bell)</t>
  </si>
  <si>
    <t>771067100 FNB POP Branch Delivery Vincent Park</t>
  </si>
  <si>
    <t>2786133</t>
  </si>
  <si>
    <t>Sharlene Louw</t>
  </si>
  <si>
    <t>7710521100 FNB POP Branch Delivery Amalinda</t>
  </si>
  <si>
    <t>Create Mentorship Event for Sharlene Louw with Thandi Maciko</t>
  </si>
  <si>
    <t>5053625</t>
  </si>
  <si>
    <t>Khombisile Dumakude</t>
  </si>
  <si>
    <t>steer my career direction towards becoming a business support specialist.</t>
  </si>
  <si>
    <t>CDO Infrastructure and Security Services (Riaaz Ben)</t>
  </si>
  <si>
    <t>20700005247 CDO Identity and Access Governance</t>
  </si>
  <si>
    <t>5015243</t>
  </si>
  <si>
    <t>Zandisiwe Hadebe</t>
  </si>
  <si>
    <t>FNB Private Banking and Advisory (Avishkar Singh)</t>
  </si>
  <si>
    <t>Channel Island Support Advisor</t>
  </si>
  <si>
    <t>Create Mentorship Event for Zandisiwe Hadebe with Khombisile Dumakude</t>
  </si>
  <si>
    <t>5464900</t>
  </si>
  <si>
    <t>Stephen Mbhele</t>
  </si>
  <si>
    <t>To explorer more about Active Directory and how the operates daily, also preparing us for future openings on that BU.</t>
  </si>
  <si>
    <t>CDO Infrastructure and Security Services (Maphelo Mpofu)</t>
  </si>
  <si>
    <t>20700008786 CDO Infrastructure and Security Services Active Directory</t>
  </si>
  <si>
    <t>IT Security Specialist</t>
  </si>
  <si>
    <t>4656695</t>
  </si>
  <si>
    <t>Mphela Sethotse</t>
  </si>
  <si>
    <t>CDO Infrastructure and Security Services (Johan Miennie)</t>
  </si>
  <si>
    <t>20700006377 CDO Networks and Security Services Desktop and Mobile Technology</t>
  </si>
  <si>
    <t>Desktop Support Technician</t>
  </si>
  <si>
    <t>IT Support</t>
  </si>
  <si>
    <t>Create Mentorship Event for Mphela Sethotse with Stephen Mbhele
Edit Mentorship Event for Mphela Sethotse with Stephen Mbhele</t>
  </si>
  <si>
    <t>3143244</t>
  </si>
  <si>
    <t>Gabby Moodley</t>
  </si>
  <si>
    <t>The purpose of me taking part in this mentorship programe is to gain guidance and learnings from Gabby. I would like Gabby to assist me with  gaining insights and help me overcome challenges and set achievable goals within my career development.</t>
  </si>
  <si>
    <t>FNB International SA (Fazlan Khan)</t>
  </si>
  <si>
    <t>83200003325 FNB International SA Alternative Channels</t>
  </si>
  <si>
    <t>Product Specialist</t>
  </si>
  <si>
    <t>5154480</t>
  </si>
  <si>
    <t>Delight Moyo (Terminated)</t>
  </si>
  <si>
    <t>Close Mentorship Event for Delight Moyo (Terminated) with Gabby Moodley
Create Mentorship Event for Delight Moyo (Terminated) with Gabby Moodley</t>
  </si>
  <si>
    <t>4936930</t>
  </si>
  <si>
    <t>Chota Mwila (Terminated)</t>
  </si>
  <si>
    <t>4683404</t>
  </si>
  <si>
    <t>Kalele Mpembamoto</t>
  </si>
  <si>
    <t>FNB Zambia Operations (Mukelabai Lamaswala)</t>
  </si>
  <si>
    <t>55300003089 FNB Zambia Risk</t>
  </si>
  <si>
    <t>Security Coordinator</t>
  </si>
  <si>
    <t>Create Mentorship Event for Kalele Mpembamoto with Chota Mwila (Terminated)</t>
  </si>
  <si>
    <t>4526651</t>
  </si>
  <si>
    <t>Angela Meilhon</t>
  </si>
  <si>
    <t>To support and development my skills and knowledge as part of my career development.</t>
  </si>
  <si>
    <t>RMBSA Financial Resources Management (FRM) (Rob Mcintyre)</t>
  </si>
  <si>
    <t>77800000PCO RMBSA Non-Financial Risk Management Team</t>
  </si>
  <si>
    <t>Non-Financial Risk Management Head</t>
  </si>
  <si>
    <t>3023214</t>
  </si>
  <si>
    <t>Monia Ward</t>
  </si>
  <si>
    <t>RMBSA TTS Fraud (Janie Crous (Inherited))</t>
  </si>
  <si>
    <t>77800000CRI RMBSA TTS Fraud</t>
  </si>
  <si>
    <t>Fraud Investigator</t>
  </si>
  <si>
    <t>Create Mentorship Event for Monia Ward with Angela Meilhon</t>
  </si>
  <si>
    <t>The purpose of this mentorship is to acquire solid fundamental technical skillset for information architecture. Transition from thinking like a developer to an architecture. I'm currently a Data Engineer who is getting on-the-job training as an information architecture.</t>
  </si>
  <si>
    <t>5102456</t>
  </si>
  <si>
    <t>Mongi Nyembe</t>
  </si>
  <si>
    <t>FNB Commercial Analytics Insights Data (Axolile Daniel)</t>
  </si>
  <si>
    <t>Data Engineer</t>
  </si>
  <si>
    <t>Create Mentorship Event for Mongi Nyembe with Andre Olivier</t>
  </si>
  <si>
    <t>3097935</t>
  </si>
  <si>
    <t>Monique Swart</t>
  </si>
  <si>
    <t>-To be provided with guidance, advice feedback and support
-To be encouraged and empowered in personal development in Communication, Leadership, Time Management and Organizational Skills.
-To being helped to identify and achieve career goals and to identify correct gaps in generic skills and knowledge
-To have a better understanding of the HR Space</t>
  </si>
  <si>
    <t>FNB Wealth (Lisle Ellapen)</t>
  </si>
  <si>
    <t>34100003291 PB&amp;A Advice Academy</t>
  </si>
  <si>
    <t>4907779</t>
  </si>
  <si>
    <t>Dineo Taolo (Terminated)</t>
  </si>
  <si>
    <t>Create Mentorship Event for Dineo Taolo (Terminated) with Monique Swart</t>
  </si>
  <si>
    <t>gaining experience, support and knowledge transfer</t>
  </si>
  <si>
    <t>3836975</t>
  </si>
  <si>
    <t>Ebrahim Carrim</t>
  </si>
  <si>
    <t>FNB Commercial Sales Inland (Reshmee Pillay)</t>
  </si>
  <si>
    <t>Create Mentorship Event for Ebrahim Carrim with Reshmee Pillay</t>
  </si>
  <si>
    <t>3118045</t>
  </si>
  <si>
    <t>Brendon Smith</t>
  </si>
  <si>
    <t>79000005998 CDO Banking Central</t>
  </si>
  <si>
    <t>2912929</t>
  </si>
  <si>
    <t>Vimal Lala</t>
  </si>
  <si>
    <t>Create Mentorship Event for Vimal Lala with Brendon Smith</t>
  </si>
  <si>
    <t>3455211</t>
  </si>
  <si>
    <t>Julia Phillips (Terminated)</t>
  </si>
  <si>
    <t>I am eager to develop my skills, and after careful consideration, I am convinced that having a mentor like you would significantly benefit my journey.
Your track record of success and your reputation for being an exceptional communicator makes you the ideal candidate to help me navigate challenges, refine my strengths, and overcome any obstacles I may encounter along the way.
I understand that your time is valuable, and I would be deeply grateful for any support or guidance you could provide, whether it be through occasional meetings, constructive feedback on my work, or recommended resources for further learning.
Your guidance would mean a great deal to me, and I am committed to making the most of this opportunity to grow both personally and professionally.</t>
  </si>
  <si>
    <t>3576981</t>
  </si>
  <si>
    <t>Natasha Van Staden</t>
  </si>
  <si>
    <t>HC and FNB EnTech Delivery (Natasha Du Toit)</t>
  </si>
  <si>
    <t>86000001986 FNB HC Operations Technology</t>
  </si>
  <si>
    <t>Functional Configuration Consultant</t>
  </si>
  <si>
    <t>Create Mentorship Event for Natasha Van Staden with Julia Phillips (Terminated)</t>
  </si>
  <si>
    <t>Career mentoring in new position in new areas</t>
  </si>
  <si>
    <t>4910850</t>
  </si>
  <si>
    <t>Carla Ferreira</t>
  </si>
  <si>
    <t>39400003528 FNB SmartWorx Enablement</t>
  </si>
  <si>
    <t>Create Mentorship Event for Carla Ferreira with Renusha Moodley</t>
  </si>
  <si>
    <t>5188180</t>
  </si>
  <si>
    <t>Siphamandla Mkhwanazi</t>
  </si>
  <si>
    <t>FNB Economics (Mamello Matikinca)</t>
  </si>
  <si>
    <t>39400003093 FNB Economics</t>
  </si>
  <si>
    <t>Economist</t>
  </si>
  <si>
    <t>Economic Analysis/Fundamental Research</t>
  </si>
  <si>
    <t>Create Mentorship Event for Mpho Sephetho with Siphamandla Mkhwanazi</t>
  </si>
  <si>
    <t>5109140</t>
  </si>
  <si>
    <t>Bydon Longwe</t>
  </si>
  <si>
    <t>My name is Kingsley Mwiinga and i currently work for FNB Zambia particularly under Mazabuka Branch in Sales Department, i have great respect for the work you have done in FNB , to be honest my prayer is to meet you one day and get to hear your career story and ask few questions about your career path you inspire me very much.
Could i ask for 30 minutes of your time over coffee or lunch to meet ? am fully aware that you are no longer in the Country but i believe something can be worked on.
I understand you are very busy and if 30 minutes is not possible perhaps a 15 minutes phone conversation is more manageable.
please Sir let me know if you would accept me to be your seed for the next generation.
Thank you for your time and look forward to speak soon.</t>
  </si>
  <si>
    <t>Expatriate - In</t>
  </si>
  <si>
    <t>FNB Chief Executive Office (Harry Kellan)</t>
  </si>
  <si>
    <t>83300001939 FNB Executives</t>
  </si>
  <si>
    <t>Chief Executive Officer</t>
  </si>
  <si>
    <t>8870207</t>
  </si>
  <si>
    <t>Kingsley Mwiinga</t>
  </si>
  <si>
    <t>N/A (Zambia)</t>
  </si>
  <si>
    <t>FNB Zambia Retail Segment (Kingstone Mooya)</t>
  </si>
  <si>
    <t>55300006409 FNB Zambia Mazabuka Branch</t>
  </si>
  <si>
    <t>Create Mentorship Event for Kingsley Mwiinga with Bydon Longwe</t>
  </si>
  <si>
    <t>To obtain an in-depth understanding of how guidance and support are provided to the business and technology community to ensure appropriate development and implementation of an IT risk management programme in accordance with governance and IT risk requirements.</t>
  </si>
  <si>
    <t>4855256</t>
  </si>
  <si>
    <t>Sthembiso Machize</t>
  </si>
  <si>
    <t>FNB Commercial Forex Advisory Desk (Donavan Artman)</t>
  </si>
  <si>
    <t>81800006614 FNB Commercial Forex Ops QA</t>
  </si>
  <si>
    <t>Quality Assurer</t>
  </si>
  <si>
    <t>Quality Assurance</t>
  </si>
  <si>
    <t>Create Mentorship Event for Sthembiso Machize with Smangele Cunningham</t>
  </si>
  <si>
    <t>Advice and guidance to help me to grow as an individual, increase knowledge and constructive criticism.</t>
  </si>
  <si>
    <t>3521184</t>
  </si>
  <si>
    <t>Vuyiswa Dladla</t>
  </si>
  <si>
    <t>Create Mentorship Event for Vuyiswa Dladla with Reshmee Pillay</t>
  </si>
  <si>
    <t>7220758</t>
  </si>
  <si>
    <t>Jaan Roodt</t>
  </si>
  <si>
    <t>CDO Infrastructure and Security Services (Dean Woodford)</t>
  </si>
  <si>
    <t>20700005622 CDO Networks and Security Services Systems Management</t>
  </si>
  <si>
    <t>Network Specialist</t>
  </si>
  <si>
    <t>Create Mentorship Event for Jaan Roodt with Stephen Mbhele
Edit Mentorship Event for Jaan Roodt with Stephen Mbhele</t>
  </si>
  <si>
    <t>IAM/PAM metorship in the Security Cyber Space within the FNB Bank.</t>
  </si>
  <si>
    <t>3612856</t>
  </si>
  <si>
    <t>Kabelo Mabena</t>
  </si>
  <si>
    <t>CDO Infrastructure and Security Services (Byron Scott)</t>
  </si>
  <si>
    <t>Create Mentorship Event for Kabelo Mabena with Stephen Mbhele</t>
  </si>
  <si>
    <t>To gain in-depth knowledge of Active Directory and it's components.</t>
  </si>
  <si>
    <t>5328748</t>
  </si>
  <si>
    <t>Konke Nonjinge</t>
  </si>
  <si>
    <t>CDO Infrastructure and Security Services (Priester Grobler)</t>
  </si>
  <si>
    <t>20700004905 CDO Infrastructure and Security Services Active Directory OPS</t>
  </si>
  <si>
    <t>Create Mentorship Event for Konke Nonjinge with Stephen Mbhele
Edit Mentorship Event for Konke Nonjinge with Stephen Mbhele
Edit Mentorship Event for Konke Nonjinge with Stephen Mbhele</t>
  </si>
  <si>
    <t>Get an Insite in Active directory and learning for Carrer growth purposes.</t>
  </si>
  <si>
    <t>5279631</t>
  </si>
  <si>
    <t>Nwabisa Mnwana</t>
  </si>
  <si>
    <t>CDO Infrastructure and Security Services (Nikeel Bantho)</t>
  </si>
  <si>
    <t>Create Mentorship Event for Nwabisa Mnwana with Stephen Mbhele
Edit Mentorship Event for Nwabisa Mnwana with Stephen Mbhele</t>
  </si>
  <si>
    <t>4877594</t>
  </si>
  <si>
    <t>Allen Chapingidza</t>
  </si>
  <si>
    <t>My goal is to become a Private Wealth Advisor and would like to have a mentor to guide me and help make the right moves to move into Private Clients.</t>
  </si>
  <si>
    <t>FNB Private Banking and Advisory (Elaine Knoetsec)</t>
  </si>
  <si>
    <t>34100003292 PB&amp;A Inland Central</t>
  </si>
  <si>
    <t>Head of Sales Enablement</t>
  </si>
  <si>
    <t>5430127</t>
  </si>
  <si>
    <t>Bonolo Palesa Lekgotla (Terminated)</t>
  </si>
  <si>
    <t>Create Mentorship Event for Bonolo Palesa Lekgotla (Terminated) with Allen Chapingidza</t>
  </si>
  <si>
    <t>3093247</t>
  </si>
  <si>
    <t>Chantelle Meyer</t>
  </si>
  <si>
    <t>FNB Commercial Human Capital (Lelo Boyana)</t>
  </si>
  <si>
    <t>34400009735 FNB Commercial Human Resources</t>
  </si>
  <si>
    <t>3095452</t>
  </si>
  <si>
    <t>Marcia Matshela</t>
  </si>
  <si>
    <t>Create Mentorship Event for Marcia Matshela with Chantelle Meyer</t>
  </si>
  <si>
    <t>Mentorship for leadership and career guidance.</t>
  </si>
  <si>
    <t>5626323</t>
  </si>
  <si>
    <t>Nikki Desmore</t>
  </si>
  <si>
    <t>FNB Private Banking and Advisory (Lisa Peffer)</t>
  </si>
  <si>
    <t>34100004935 PB&amp;A Ops Hubs WMA</t>
  </si>
  <si>
    <t>Wealth Management Analyst</t>
  </si>
  <si>
    <t>Create Mentorship Event for Nikki Desmore with Diran Gajoo</t>
  </si>
  <si>
    <t>3495523</t>
  </si>
  <si>
    <t>Theresa Nieuwoudt (Terminated)</t>
  </si>
  <si>
    <t>Broaden organisational knowledge
Career guidance
Develop leadership skills
Manage a career transition
Relationship building and networking
Innovation</t>
  </si>
  <si>
    <t>4674308</t>
  </si>
  <si>
    <t>Jacqueline Becker</t>
  </si>
  <si>
    <t>FNB REMS Management Property (Vanessa Brooks)</t>
  </si>
  <si>
    <t>22300001562 REMS Bankcity Catering</t>
  </si>
  <si>
    <t>Create Mentorship Event for Jacqueline Becker with Theresa Nieuwoudt (Terminated)</t>
  </si>
  <si>
    <t>4932684</t>
  </si>
  <si>
    <t>Ashlin Poonan</t>
  </si>
  <si>
    <t>Career guidance
Manage a career transition
Relationship building and networking
I am highly interested in transitioning to a role within the risk department.   Through the mentoring relationship, I hope to gain valuable insights and guidance on navigating the world of risk management, improving my critical thinking skills, and honing my decision-making abilities in high-pressure situations. I am specifically interested in receiving guidance on risk assessment techniques, regulatory compliance, and developing effective risk management frameworks. I believe that with the mentorship of an experienced professional in the field, I can enhance my skills and knowledge in risk management to achieve success in this challenging and rewarding industry.</t>
  </si>
  <si>
    <t>RMBSA Global Markets (Reza Cassim)</t>
  </si>
  <si>
    <t>77800000EXE RMBSA Global Markets Executives</t>
  </si>
  <si>
    <t>Chief Risk Officer Institutional and GM</t>
  </si>
  <si>
    <t>5511097</t>
  </si>
  <si>
    <t>Vuyiseka Myeki</t>
  </si>
  <si>
    <t>FNB Commercial Sales Cape (X Gadlela)</t>
  </si>
  <si>
    <t>34200008675 FNB Commercial Sales Eastern Cape 10 to 60M</t>
  </si>
  <si>
    <t>Create Mentorship Event for Vuyiseka Myeki with Ashlin Poonan</t>
  </si>
  <si>
    <t>4735331</t>
  </si>
  <si>
    <t>Steven Routledge</t>
  </si>
  <si>
    <t>Group Human Capital Strategic Wellbeing (Zama Lamla (Inherited))</t>
  </si>
  <si>
    <t>20200009025 FRCC Reward - RMB</t>
  </si>
  <si>
    <t>Employee Wellbeing Consultant</t>
  </si>
  <si>
    <t>2938480</t>
  </si>
  <si>
    <t>Karen Wilson</t>
  </si>
  <si>
    <t>FNB Brand Experience (Nkosana Matyeshana)</t>
  </si>
  <si>
    <t>22400005484 FNB Marketing Experience</t>
  </si>
  <si>
    <t>Senior Events Specialist</t>
  </si>
  <si>
    <t>Sponsorships and Events</t>
  </si>
  <si>
    <t>Create Mentorship Event for Karen Wilson with Steven Routledge</t>
  </si>
  <si>
    <t>2315335</t>
  </si>
  <si>
    <t>Liesel Hollis</t>
  </si>
  <si>
    <t>Transformation Segment Lead</t>
  </si>
  <si>
    <t>2869799</t>
  </si>
  <si>
    <t>Sharon Abdie</t>
  </si>
  <si>
    <t>RMBSA TTS Trade Operations Processing (Sizwe Dhlamini)</t>
  </si>
  <si>
    <t>77800000OJT RMBSA TTS Operations Trade Operations Johannesburg</t>
  </si>
  <si>
    <t>Trade Specialist</t>
  </si>
  <si>
    <t>Create Mentorship Event for Sharon Abdie with Liesel Hollis</t>
  </si>
  <si>
    <t>4932277</t>
  </si>
  <si>
    <t>Thiroshni Chetty</t>
  </si>
  <si>
    <t>Broaden organisational knowledge
Innovation
Relationship building and networking
Disruptive technologies</t>
  </si>
  <si>
    <t>RMBSA LRC Compliance (Karmani Naidoo)</t>
  </si>
  <si>
    <t>77800000RRM RMBSA Compliance Management Team</t>
  </si>
  <si>
    <t>Compliance Practice Lead</t>
  </si>
  <si>
    <t>5669553</t>
  </si>
  <si>
    <t>Kyle Nicolaides</t>
  </si>
  <si>
    <t>RMBSA IBD LRC Compliance (Nicolene Govender)</t>
  </si>
  <si>
    <t>77800000IBR RMBSA IBD LRC Compliance</t>
  </si>
  <si>
    <t>Compliance Manager</t>
  </si>
  <si>
    <t>Create Mentorship Event for Kyle Nicolaides with Thiroshni Chetty</t>
  </si>
  <si>
    <t>4838629</t>
  </si>
  <si>
    <t>Moloko Madibana (Terminated)</t>
  </si>
  <si>
    <t>I am an aspiring business intelligence developer/ Data Analyst with minimal experience however I am very passionate about working with data, developing reports to provide business insight, improve operations and help businesses to make better decision through it. I enjoy data interpretation using it solve complex business-related problems to provide sustainable business solution and promote innovation using data. I really wan to move to data space and I need guidance.</t>
  </si>
  <si>
    <t>5077141</t>
  </si>
  <si>
    <t>Malka Manipha</t>
  </si>
  <si>
    <t>FNB Commercial Analytics Insights Data (Lise-miree Gossmann)</t>
  </si>
  <si>
    <t>34300008855 FNB Commercial Data Science and Engineering</t>
  </si>
  <si>
    <t>Create Mentorship Event for Malka Manipha with Moloko Madibana (Terminated)</t>
  </si>
  <si>
    <t>4670183</t>
  </si>
  <si>
    <t>Bronwyn Miller</t>
  </si>
  <si>
    <t>Looking for someone who can provide career guidance and help me prepare me for possible new career opportunities, help me develop professional behaviors and characteristics, help me navigate the workplace</t>
  </si>
  <si>
    <t>77800000HOZ RMBSA Executive Support Team</t>
  </si>
  <si>
    <t>Executive Assistant</t>
  </si>
  <si>
    <t>5576741</t>
  </si>
  <si>
    <t>Ashleigh Alves</t>
  </si>
  <si>
    <t>RMBSA LRC Compliance Pratice Leaders (Wynand Spruyt)</t>
  </si>
  <si>
    <t>Compliance Specialist</t>
  </si>
  <si>
    <t>Create Mentorship Event for Ashleigh Alves with Bronwyn Miller</t>
  </si>
  <si>
    <t>5323460</t>
  </si>
  <si>
    <t>Itumeleng Kgoare</t>
  </si>
  <si>
    <t>I would like to believe that with the qualification and working experience I have in the banking sector, being granted the opportunity would allow me to harness the power of data-driven insights to optimize investment strategies and drive informed decision-making. I am eager to learn how to leverage  advanced analytics techniques to uncover patterns, identify trends, and mitigate risks in investments. By working closely with a mentor, I aim to develop a deep understanding of data analytics methodologies specific to the industry, ultimately contributing to more efficient and profitable investment outcomes.</t>
  </si>
  <si>
    <t>FNB Cash Investments (Cornel Du Toit)</t>
  </si>
  <si>
    <t>5531187</t>
  </si>
  <si>
    <t>Asithandile Zikhathile</t>
  </si>
  <si>
    <t>FNB Business CXC (Lerato Senne)</t>
  </si>
  <si>
    <t>34300008508 FNB Business CXC Card Authorisations</t>
  </si>
  <si>
    <t>Client Service Specialist</t>
  </si>
  <si>
    <t>Create Mentorship Event for Asithandile Zikhathile with Itumeleng Kgoare</t>
  </si>
  <si>
    <t>Share Knowledge, and improves technical skills</t>
  </si>
  <si>
    <t>5329809</t>
  </si>
  <si>
    <t>Tusani Nkomo</t>
  </si>
  <si>
    <t>Create Mentorship Event for Tusani Nkomo with Stephen Mbhele</t>
  </si>
  <si>
    <t>IAM / PAM Mentorship - showing us various items on the Active Directory / Server / GPO topics</t>
  </si>
  <si>
    <t>3305015</t>
  </si>
  <si>
    <t>Rushey Parbhoo</t>
  </si>
  <si>
    <t>FNB Core Banking Platform (Krishen Rangappa (Inherited))</t>
  </si>
  <si>
    <t>59600010094 FNB Personal and Private IT WB IT Infrastructure</t>
  </si>
  <si>
    <t>Infrastructure Architect</t>
  </si>
  <si>
    <t>Create Mentorship Event for Rushey Parbhoo with Stephen Mbhele</t>
  </si>
  <si>
    <t>5532930</t>
  </si>
  <si>
    <t>Muhaimin Farred</t>
  </si>
  <si>
    <t>CDO Banking (Anette Du Plessis (Inherited))</t>
  </si>
  <si>
    <t>Create Mentorship Event for Muhaimin Farred with Stephen Mbhele</t>
  </si>
  <si>
    <t>My name is Noluyolo Myeki. I have recently enrolled in the ISC2 1million Certified in Cyber programme and am currently studying towards the certification. I am currently not working in the IT environment but have vehemently immersed myself in the world of IT and have done most of my studying through self-paced online learning. This would be the perfect environment for me as I am also looking for hands on mentorship with people that are experienced in this space, as I believe it would enable me to absorb knowledge and provide clarity on information, I have gained through self-study that may be unclear.</t>
  </si>
  <si>
    <t>4953835</t>
  </si>
  <si>
    <t>Noluyolo Myeki (Terminated)</t>
  </si>
  <si>
    <t>Create Mentorship Event for Noluyolo Myeki (Terminated) with Mpumie Twala</t>
  </si>
  <si>
    <t>To learn a new skill and change in career</t>
  </si>
  <si>
    <t>2620448</t>
  </si>
  <si>
    <t>Nathan Ramazan</t>
  </si>
  <si>
    <t>CDO Infrastructure and Security Services (Nelisiwe Majola)</t>
  </si>
  <si>
    <t>Create Mentorship Event for Nathan Ramazan with Stephen Mbhele
Edit Mentorship Event for Nathan Ramazan with Stephen Mbhele</t>
  </si>
  <si>
    <t>4950119</t>
  </si>
  <si>
    <t>Wouter De Klerk</t>
  </si>
  <si>
    <t>want to learn and develop my tecnical skills</t>
  </si>
  <si>
    <t>WB FML Product House (Matome Sekhaolelo)</t>
  </si>
  <si>
    <t>30100005496 WB FML Projects</t>
  </si>
  <si>
    <t>4995465</t>
  </si>
  <si>
    <t>Ryno Swart</t>
  </si>
  <si>
    <t>WB FML Product House (Chad Naidoo)</t>
  </si>
  <si>
    <t>30100006773 WB FML Managed Maintenance Corporate</t>
  </si>
  <si>
    <t>Fleet Managed Maintenance Contact Centre Consultant</t>
  </si>
  <si>
    <t>Create Mentorship Event for Ryno Swart with Wouter De Klerk</t>
  </si>
  <si>
    <t>3539342</t>
  </si>
  <si>
    <t>Dailan Kruger</t>
  </si>
  <si>
    <t>Get alignment on my career.</t>
  </si>
  <si>
    <t>CDO Banking (Shagufta Bux)</t>
  </si>
  <si>
    <t>79000005464 CDO Banking Integrations On Host</t>
  </si>
  <si>
    <t>Create Mentorship Event for Khombisile Dumakude with Dailan Kruger</t>
  </si>
  <si>
    <t>My focus is on leadership, personal branding, building strong relationships and also positioning myself for expanded opportunity within the organisation. To realise the below goals:
Lean into my team's strength: Get better at collectively understanding my team's strength to lean into stronger attributes and help them reach their maximum potential.
Improve my public speaking skills: To feel more comfortable and be more effective when presenting in public.
Boost my emotional intelligence: Within three months, boost my EQ skills to improve communication and interpersonal skills.
Create credibility and trust
Develop a new skillset</t>
  </si>
  <si>
    <t>3511928</t>
  </si>
  <si>
    <t>Thato Keletso</t>
  </si>
  <si>
    <t>FNB Botswana Channels (Boitshwaro Mothootsile)</t>
  </si>
  <si>
    <t>5010153600 FNB Botswana Letlhakane Branch</t>
  </si>
  <si>
    <t>Sales and Service Team Leader</t>
  </si>
  <si>
    <t>Create Mentorship Event for Thato Keletso with Borethe Mogwe</t>
  </si>
  <si>
    <t>3511235</t>
  </si>
  <si>
    <t>Palesa Moeng</t>
  </si>
  <si>
    <t>I would like to gain more skills in the Risk department and have a better understanding. I need a mentor that may assist me in my career growth. Career Guidance- Assist in navigating corporate landscape, the kind of etiquette, skills I need to essentially get to where I want to be. To be able to be bold and confident. Career insights/guidance - relevance of certain careers/qualifications in the ever changing marketplace Skills transfer- Learning the necessary skills especially in properly articulating my views in a considerable manner ( Emotional intelligence)</t>
  </si>
  <si>
    <t>FNB Botswana Operations (Bookeditswe Matladi-Molebatsi)</t>
  </si>
  <si>
    <t>5010343200 FNB Botswana RMB Operations</t>
  </si>
  <si>
    <t>Reconciliation Officer</t>
  </si>
  <si>
    <t>5457009</t>
  </si>
  <si>
    <t>Koziba Aaron</t>
  </si>
  <si>
    <t>FNB Botswana Channels (Ofentse Sibozi)</t>
  </si>
  <si>
    <t>5010150100 FNB Botswana Kasane Branch</t>
  </si>
  <si>
    <t>Create Mentorship Event for Koziba Aaron with Palesa Moeng</t>
  </si>
  <si>
    <t>4827430</t>
  </si>
  <si>
    <t>Stephinah Magetse</t>
  </si>
  <si>
    <t>FNB Botswana Channels (Benni Dikobe)</t>
  </si>
  <si>
    <t>501073600 FNB Botswana Mall Branch</t>
  </si>
  <si>
    <t>5022800</t>
  </si>
  <si>
    <t>Opelo Nyubi</t>
  </si>
  <si>
    <t>FNB Botswana Operations (Warona Maakwe)</t>
  </si>
  <si>
    <t>5010153700 FNB Botswana Lending Operations</t>
  </si>
  <si>
    <t>Valuations Administrator</t>
  </si>
  <si>
    <t>Create Mentorship Event for Opelo Nyubi with Stephinah Magetse</t>
  </si>
  <si>
    <t>5367964</t>
  </si>
  <si>
    <t>Reletile Phomolo Motsewakgosi</t>
  </si>
  <si>
    <t>FNB Botswana Enabler (Mike Rammelane)</t>
  </si>
  <si>
    <t>5010151500 FNB Botswana Credit Head Office</t>
  </si>
  <si>
    <t>Create Mentorship Event for Reletile Phomolo Motsewakgosi with Jj Jongman
Edit Mentorship Event for Reletile Phomolo Motsewakgosi with Jj Jongman</t>
  </si>
  <si>
    <t>4997751</t>
  </si>
  <si>
    <t>Caroline Kepaletswe</t>
  </si>
  <si>
    <t>I am writing to express my deep commitment to and enthusiasm for the opportunity to become your Mentee. As a dedicated professional with a decade of experience in the field of Communications, my journey has been one of constant learning and growth. However, I find myself at a pivotal stage in my career, seeking guidance, wisdom, and fresh perspectives to navigate the exciting and evolving landscape of not only the communications industry but banking and finance as well.
I am a Journalism and Public Relations major who believes in the power of effective communication to shape perceptions, inform the public, and foster positive change. My passion for this field has been a driving force behind my every endeavour. I have worked tirelessly to refine my skills and expertise, with a strong emphasis on producing high-quality written content. Writing is not just a task for me; it's my form of expression. I believe in the ability of words to inspire, inform, and connect with people, and I have dedicated myself to mastering this art.
I am not only a communicator but also an organiser. Over the years, I have coordinated and executed successful PR campaigns, managed media relations, and orchestrated impactful events. My role has often required a strategic mindset, ensuring that every message we send aligns with the core values and promises of the Bank. It is this combination of skills and experiences that has brought me to this pivotal point in my career.
Yet, I am an introvert, a thinker, and a believer. These qualities, while immensely valuable, also highlight the need for guidance. As an introvert, I thrive in reflective, quiet spaces where I can dive deep into research, analyse data, and create thoughtful narratives. However, I recognise that I can benefit from the wisdom and insights of a mentor who has successfully navigated their career through an extroverted eye. Or an introverted one, who has conquered and thrive despite being a reserved person in the cutthroat world of business.
I am a thinker; I often ponder the deeper questions about the role of communications in society, the ethical considerations in PR, and the evolving digital landscape. This thoughtfulness has driven me to question, adapt, and innovate. I am a believer; I hold firm to the idea that communication is a bridge that connects people, transcending boundaries, and fostering understanding. I believe in the power of authenticity, truth, and transparency in communication.
I am at a pivotal stage in my career, a point of growth and transformation. I am driven by the desire to make a meaningful impact through communication, to elevate my writing and communication skills, and to stay relevant in an ever-changing industry. I am committed to this journey and believe that with the guidance of a mentor, I can achieve remarkable things in both my personal and professional career.</t>
  </si>
  <si>
    <t>FNB Rand Merchant Bank Botswana (Harriet Mlalazi)</t>
  </si>
  <si>
    <t>5010160660 FNB Botswana Service Centre</t>
  </si>
  <si>
    <t>Service Head</t>
  </si>
  <si>
    <t>5087872</t>
  </si>
  <si>
    <t>Oratile Mavuma</t>
  </si>
  <si>
    <t>FNB Botswana Enabler (Boga Chilinde-masebu)</t>
  </si>
  <si>
    <t>5010152700 FNB Botswana Marketing and Communications</t>
  </si>
  <si>
    <t>Marketing Specialist</t>
  </si>
  <si>
    <t>Create Mentorship Event for Oratile Mavuma with Caroline Kepaletswe</t>
  </si>
  <si>
    <t>5238722</t>
  </si>
  <si>
    <t>Wesley Francis</t>
  </si>
  <si>
    <t>Better integration into a team/business unit
Manage a career transition
Career guidance
Relationship building and networking
Broaden organisational knowledge
Deal with diversity and inclusion challenges
Develop leadership skills
Disruptive technologies
Innovation
Learn how to navigate the system
Bridging the gap for graduates and first-time joiners to the workplace</t>
  </si>
  <si>
    <t>FNB iCustomer (Mandlenkosi Vana)</t>
  </si>
  <si>
    <t>39400005921 FNB iCustomer Extraction and Recognition</t>
  </si>
  <si>
    <t>Business Solutions Manager</t>
  </si>
  <si>
    <t>3739503</t>
  </si>
  <si>
    <t>Tshidi Mokoena</t>
  </si>
  <si>
    <t>CDO Kernel iNterfaceX (Kezia Zealand)</t>
  </si>
  <si>
    <t>21800002561 CDO Kernel iNterfaceX Contact Centre</t>
  </si>
  <si>
    <t>Create Mentorship Event for Tshidi Mokoena with Wesley Francis</t>
  </si>
  <si>
    <t>Purpose
With this mentorship programme, I would like to achieve personal development, build my network, grow my career and align my academic qualifications with my career path.
I believe a career mentor will be influential in helping me achieve this personal and career growth.
I would also like to leverage my data science and artificial intelligence skills to the benefit of my employer. I recently graduated with a Masters in Data Science and Artificial Intelligence seek the opportunity to put the skills learnt into practice in the banking environment. This will be a great opportunity for me to practice what I am passionate about and equip me with the right skills beneficial to my employer. Currently, I am employed at Broadhurst Branch as a Digital Banking Migrator where I facilitate the transition of clients to digital banking platforms against set targets. I am looking for a Career Mentor and a Technical mentor who will help me strengthen and apply both soft and technical skills relevant to my career aspirations.</t>
  </si>
  <si>
    <t>5452317</t>
  </si>
  <si>
    <t>Veronica Modisang</t>
  </si>
  <si>
    <t>FNB Botswana Channels (Jennifer Jamieson)</t>
  </si>
  <si>
    <t>Create Mentorship Event for Veronica Modisang with Udah Otukile (Terminated)</t>
  </si>
  <si>
    <t>I would like to leverage my data science and artificial intelligence skills to the benefit of my employer. I recently graduated with a Masters in Data Science and Artificial Intelligence and I would like the opportunity to put the skills learnt into practice in the banking environment. This will be a great opportunity for me to practice what I am passionate about and equip me with the right skills beneficial to my employer. My undergraduate degree is in Business Management and currently, I am employed at Broadhurst Branch in Gaborone, Botswana as a Digital Banking Migrator where I facilitate the transition of clients to digital banking platforms against set targets. I am looking for a Mentor who will help me strengthen and apply technical skills related to data science, machine learning, artificial intelligence in a structured manner. My mentee objectives also include development of leadership and communication skills.</t>
  </si>
  <si>
    <t>Create Mentorship Event for Veronica Modisang with Wesley Francis</t>
  </si>
  <si>
    <t>Create Mentorship Event for Bonolo Molebatsi with Borethe Mogwe</t>
  </si>
  <si>
    <t>Leadership development
Career coachin</t>
  </si>
  <si>
    <t>5306671</t>
  </si>
  <si>
    <t>Mokgabo Imperial</t>
  </si>
  <si>
    <t>FNB Botswana Commercial (Tiro Kgasa)</t>
  </si>
  <si>
    <t>5010160150 FNB Botswana Commercial SME Banking</t>
  </si>
  <si>
    <t>Business Banker</t>
  </si>
  <si>
    <t>Create Mentorship Event for Mokgabo Imperial with Borethe Mogwe</t>
  </si>
  <si>
    <t>Technical Mentorship program in Cyber Security.</t>
  </si>
  <si>
    <t>Create Mentorship Event for Noluyolo Myeki (Terminated) with Stephen Mbhele</t>
  </si>
  <si>
    <t>5457955</t>
  </si>
  <si>
    <t>Ame Sevelinah Phang</t>
  </si>
  <si>
    <t>Create Mentorship Event for Ame Sevelinah Phang with Kelebogile Disang</t>
  </si>
  <si>
    <t>2862212</t>
  </si>
  <si>
    <t>Reginald Mothubakgang</t>
  </si>
  <si>
    <t>Throughout my career, I have been driven by a passion for ensuring excellence and mitigating risk. With a strong foundation in quality assurance and a certificate in NQF level 5 in Banking, I am eager to develop my skills in business and compliance. Here are some of my reasons to join a mentorship program:
1. Guidance and Support, receive valuable advice and guidance from an experienced professional.
2. Career Development, enhance my skills and knowledge to advance my career.
3. Networking opportunities, connect with industry experts and professionals.
4.Personal growth, develop confidence, self-awareness, and leadership skills.
5. Learning from experience, gain insights from mentors' success and challenges.
6. Improved decision-making, get guidance on critical career and professional decisions.
7. Enhanced Creativity, explore new ideas and perspectives from mentors and peers.
8. Accountability, stay motivated and focused on my goals with regular check-ins.
9. Access to resources, leverage mentors' networks, expertise, and industry knowledge.
10. Empowerment, develop a growth mindset and take ownership of my career.</t>
  </si>
  <si>
    <t>FNB Commercial Forex CVM (Cindy-Lee Mayes)</t>
  </si>
  <si>
    <t>81800006277 FNB Commercial Forex Growth</t>
  </si>
  <si>
    <t>National Sales Head</t>
  </si>
  <si>
    <t>3740404</t>
  </si>
  <si>
    <t>Zanele Phiri</t>
  </si>
  <si>
    <t>FNB Private Core Banking (Mangwale Motlhabane)</t>
  </si>
  <si>
    <t>69000007618 FNB Retail COO Customer Fulfilment</t>
  </si>
  <si>
    <t>Administrator</t>
  </si>
  <si>
    <t>Create Mentorship Event for Zanele Phiri with Reginald Mothubakgang
Edit Mentorship Event for Zanele Phiri with Reginald Mothubakgang</t>
  </si>
  <si>
    <t>In job training for being the Business analyst or business advisor.</t>
  </si>
  <si>
    <t>3425134</t>
  </si>
  <si>
    <t>Ingrid Dingoko</t>
  </si>
  <si>
    <t>FNB Points of Presence (Tarien Stander)</t>
  </si>
  <si>
    <t>7710248600 FNB POP Branch Delivery West Acres Ctr</t>
  </si>
  <si>
    <t>Create Mentorship Event for Ingrid Dingoko with Nhlamulo Thosi (Terminated)</t>
  </si>
  <si>
    <t>4804473</t>
  </si>
  <si>
    <t>Gofaone Mokalake</t>
  </si>
  <si>
    <t>This is program is to assist and help me with career guidance and professional development.</t>
  </si>
  <si>
    <t>FNB Botswana Marketing and Communications (Peo Porogo)</t>
  </si>
  <si>
    <t>5010164200 FNB Botswana Client Services</t>
  </si>
  <si>
    <t>5057833</t>
  </si>
  <si>
    <t>Kemo Molosiwa</t>
  </si>
  <si>
    <t>FNB Botswana Operations (Wedu Keakile (Inherited))</t>
  </si>
  <si>
    <t>5010291500 FNB Botswana Projects Opex</t>
  </si>
  <si>
    <t>Create Mentorship Event for Kemo Molosiwa with Gofaone Mokalake</t>
  </si>
  <si>
    <t>As a driven and enthusiastic individual, my goals are to become an expert in the field of Customer Experience, gain stability in my career, develop new partnerships and grow my network. I would also like to work towards developing my leadership skills, navigate corporate and my personal and professional development; personal branding, presentation skills, confidence development, acquiring soft skills and putting myself out there.</t>
  </si>
  <si>
    <t>5516447</t>
  </si>
  <si>
    <t>Tshego Mmuru</t>
  </si>
  <si>
    <t>FNB Botswana Wealth (Gofaone Mokalake)</t>
  </si>
  <si>
    <t>Customer Insights Analyst</t>
  </si>
  <si>
    <t>Market Research and Analytics</t>
  </si>
  <si>
    <t>Close Mentorship Event for Tshego Mmuru with Phetso Ntsowe
Create Mentorship Event for Tshego Mmuru with Phetso Ntsowe</t>
  </si>
  <si>
    <t>2401975</t>
  </si>
  <si>
    <t>Sabelo Magagula</t>
  </si>
  <si>
    <t>FNB Points of Presence (Nkululeko Khanyile)</t>
  </si>
  <si>
    <t>38100009803 FNB POP SSD Limpopo and Mpumalanga</t>
  </si>
  <si>
    <t>Business Support Specialist</t>
  </si>
  <si>
    <t>Create Mentorship Event for Sabelo Magagula with Josh Minyuku (Terminated)</t>
  </si>
  <si>
    <t>5034809</t>
  </si>
  <si>
    <t>Ronald Kgafela (Terminated)</t>
  </si>
  <si>
    <t>5544653</t>
  </si>
  <si>
    <t>Nkobi Masunga</t>
  </si>
  <si>
    <t>FNB Botswana Channels (Stephinah Magetse)</t>
  </si>
  <si>
    <t>Create Mentorship Event for Nkobi Masunga with Ronald Kgafela (Terminated)</t>
  </si>
  <si>
    <t>5267366</t>
  </si>
  <si>
    <t>Josia Sithole (Terminated)</t>
  </si>
  <si>
    <t>I am at a stage in my life and my career in which I feel I could benefit from a little mentoring and guidance from your knowledge and expertise in Business Intelligence analysis as I am looking into growing, advancing and transitioning to being a BI Analyst.</t>
  </si>
  <si>
    <t>5046580</t>
  </si>
  <si>
    <t>Karabo Mogotsi</t>
  </si>
  <si>
    <t>CDO Kernel iNterfaceX (Thami Mateza)</t>
  </si>
  <si>
    <t>21800006533 CDO Kernel iNterfaceX AoP and Sales QA</t>
  </si>
  <si>
    <t>Create Mentorship Event for Karabo Mogotsi with Josia Sithole (Terminated)</t>
  </si>
  <si>
    <t>3243605</t>
  </si>
  <si>
    <t>Baile Corrigan</t>
  </si>
  <si>
    <t>I would like to formulate a strategy to transition from my current role into a different and more challenging role and hence would value the guidance and sense of direction from a mentor. I am also keen to learn my leadership style and learn how to best apply it in a leadership position. I want to able to learn how to network and build the confidence to approach and engage with executives. I would also appreciate an insight on what further studies I can take that will equip me to succeed in multiple roles and ways to position myself to stand out in different spaces.</t>
  </si>
  <si>
    <t>5010342500 RMB Botswana Flow Risk</t>
  </si>
  <si>
    <t>Global Market Head</t>
  </si>
  <si>
    <t>5469759</t>
  </si>
  <si>
    <t>Daniella Coetzee</t>
  </si>
  <si>
    <t>FNB Botswana Operations (Ontlametse Lekang)</t>
  </si>
  <si>
    <t>Credit Analyst</t>
  </si>
  <si>
    <t>Create Mentorship Event for Daniella Coetzee with Baile Corrigan</t>
  </si>
  <si>
    <t>5072638</t>
  </si>
  <si>
    <t>Sinazo Ndzawombi</t>
  </si>
  <si>
    <t>I have an interest in joining the Cyber Team, and I wanted to know what they are doing on the daily basis and so far, I have learned a lot. Some of the things are helping me on my daily job which Desktop Support.</t>
  </si>
  <si>
    <t>CDO Infrastructure and Security Services (Patrick Mosakoa)</t>
  </si>
  <si>
    <t>20700005499 CDO Infrastructure and Security Services Security Delivery</t>
  </si>
  <si>
    <t>Create Mentorship Event for Nwabisa Mnwana with Sinazo Ndzawombi</t>
  </si>
  <si>
    <t>The purpose for me to look for a Mentor, is that i feel stuck in my career and I have tried different avenues but no luck. So, I would like someone that can guide me and also assist me in seeing my potential. I would love to change careers as I am currently in a Sales Role and I am looking into moving into the commercial space.</t>
  </si>
  <si>
    <t>4667913</t>
  </si>
  <si>
    <t>Lebogang Mokhutso-Mamakoko</t>
  </si>
  <si>
    <t>Premium Growth Banker</t>
  </si>
  <si>
    <t>Create Mentorship Event for Lebogang Mokhutso-Mamakoko with Zaheer Ismail</t>
  </si>
  <si>
    <t>I am passionate and driven individuals who is ready to embark on a journey of growth and learning. It's not just about skill development; it's about fostering lasting mentorship relationships that are essential for long-term career advancement.</t>
  </si>
  <si>
    <t>Create Mentorship Event for Bonolo Molebatsi with Collen Tshebo</t>
  </si>
  <si>
    <t>3282961</t>
  </si>
  <si>
    <t>Yvonne September</t>
  </si>
  <si>
    <t>To help me with Technical and Leadership skills. and to navigate life generally</t>
  </si>
  <si>
    <t>FNB Commercial Credit (Lenashan Chetty)</t>
  </si>
  <si>
    <t>34200005513 FNB Commercial Credit Public Sector</t>
  </si>
  <si>
    <t>Credit Head</t>
  </si>
  <si>
    <t>5066646</t>
  </si>
  <si>
    <t>Zanele Zitwana</t>
  </si>
  <si>
    <t>FNB Commercial Credit (Eben Petersen)</t>
  </si>
  <si>
    <t>34200009795 FNB Commercial Credit National</t>
  </si>
  <si>
    <t>Create Mentorship Event for Zanele Zitwana with Yvonne September</t>
  </si>
  <si>
    <t>5445795</t>
  </si>
  <si>
    <t>Monica Mhlauli</t>
  </si>
  <si>
    <t>FNB Botswana Enabler (Baledi Radithupa)</t>
  </si>
  <si>
    <t>Create Mentorship Event for Monica Mhlauli with Kelebogile Disang</t>
  </si>
  <si>
    <t>5668425</t>
  </si>
  <si>
    <t>Eza Lutshwati (Terminated)</t>
  </si>
  <si>
    <t>Create Mentorship Event for Eza Lutshwati (Terminated) with Stephen Mbhele</t>
  </si>
  <si>
    <t>7576404</t>
  </si>
  <si>
    <t>Reverne Jooste</t>
  </si>
  <si>
    <t>CDO Infrastructure and Security Services (Darren Stevenson)</t>
  </si>
  <si>
    <t>20700005423 CDO Networks and Security Services Data Centre Operations</t>
  </si>
  <si>
    <t>Data Centre Operator</t>
  </si>
  <si>
    <t>Create Mentorship Event for Reverne Jooste with Stephen Mbhele</t>
  </si>
  <si>
    <t>I am trying to develop and gain skill in compliance, and I find Thiru to have a world of knowledge and experience. I have built repo and a relationship of trust with her.</t>
  </si>
  <si>
    <t>4974468</t>
  </si>
  <si>
    <t>Joy Moyo</t>
  </si>
  <si>
    <t>Create Mentorship Event for Joy Moyo with Thiroshni Chetty</t>
  </si>
  <si>
    <t>I am looking at mentorship from skilled individuals that is able to provide guidance and impart knowledge on how to grow and learn at FNB.</t>
  </si>
  <si>
    <t>5451280</t>
  </si>
  <si>
    <t>Duschanka Moodley</t>
  </si>
  <si>
    <t>FNB Core Banking Platform (Gio Pera (Inherited))</t>
  </si>
  <si>
    <t>Create Mentorship Event for Duschanka Moodley with Renusha Moodley</t>
  </si>
  <si>
    <t>2571242</t>
  </si>
  <si>
    <t>Allen Pillay</t>
  </si>
  <si>
    <t>Hi Allen
Please would you consider me for Career growth, I wish to be assisted in my journey of becoming a CIO in the bank</t>
  </si>
  <si>
    <t>Segment Chief Information Officer</t>
  </si>
  <si>
    <t>3669386</t>
  </si>
  <si>
    <t>Keshlin Naicker</t>
  </si>
  <si>
    <t>CDO Payments Platform Card IT (Russell Watson)</t>
  </si>
  <si>
    <t>79000003508 CDO Payments Platform Card IT</t>
  </si>
  <si>
    <t>Create Mentorship Event for Keshlin Naicker with Allen Pillay</t>
  </si>
  <si>
    <t>5156165</t>
  </si>
  <si>
    <t>JP Erasmus (Terminated)</t>
  </si>
  <si>
    <t>Hi there, JP. Trust you're well. I noticed your availability for mentoring on Workday and thought to reach out if that's fine with you? I currently work frontline in consumer sales, and I'm looking to switch into technology. To that end, I've worked on a bachelor of science in technology degree with six months remaining to graduation. I would love a chance pick your brain on your work, the industry, and general advice. In short the purposes of the mentoring include:
Advice on career transitioning into technology space
Relationship building and networking
Disruptive technologies discussions</t>
  </si>
  <si>
    <t>5254388</t>
  </si>
  <si>
    <t>Otsile Modiselle</t>
  </si>
  <si>
    <t>FNB Wealth (Katlego Nkosi)</t>
  </si>
  <si>
    <t>34100003208 PB&amp;A Tshwane Wealth NE</t>
  </si>
  <si>
    <t>Banking Advisor Wealth</t>
  </si>
  <si>
    <t>Create Mentorship Event for Otsile Modiselle with JP Erasmus (Terminated)</t>
  </si>
  <si>
    <t>4739736</t>
  </si>
  <si>
    <t>Neo Thebeng-Phuthego</t>
  </si>
  <si>
    <t>FNB Botswana Audit Management (Theetso Nkwe)</t>
  </si>
  <si>
    <t>5010166100 FNB Botswana Audit</t>
  </si>
  <si>
    <t>Senior Audit Manager</t>
  </si>
  <si>
    <t>Audit, Financial Assurance and Governance</t>
  </si>
  <si>
    <t>8870073</t>
  </si>
  <si>
    <t>Chenesani Kuda Bachopi</t>
  </si>
  <si>
    <t>FNB Botswana Chief Executive Office (Benny Soko)</t>
  </si>
  <si>
    <t>5010151600 FNB Botswana Finance</t>
  </si>
  <si>
    <t>Finance Manager</t>
  </si>
  <si>
    <t>Create Mentorship Event for Chenesani Kuda Bachopi with Neo Thebeng-Phuthego</t>
  </si>
  <si>
    <t>5009642</t>
  </si>
  <si>
    <t>Otisitswe Faith Rathedi</t>
  </si>
  <si>
    <t>Marketing Manager</t>
  </si>
  <si>
    <t>Create Mentorship Event for Tshego Mmuru with Otisitswe Faith Rathedi</t>
  </si>
  <si>
    <t>4705610</t>
  </si>
  <si>
    <t>Tania Finn</t>
  </si>
  <si>
    <t>Took on a new Business Manager role, and seeked guidance to explore different thinking and ways of work, and managing various stakeholders differently. Was advised that Coaching was not offered last year and explored the mentorship option.</t>
  </si>
  <si>
    <t>FNB Global Forex Business Cape Premium Business Banking (Sylvester Selepe)</t>
  </si>
  <si>
    <t>77800000CPC RMBSA Global Markets Business Cape Premium Business Banking</t>
  </si>
  <si>
    <t>3528588</t>
  </si>
  <si>
    <t>Muneera Khan</t>
  </si>
  <si>
    <t>RMBSA Client Group Operations (Helen Wood)</t>
  </si>
  <si>
    <t>77800000CPE RMBSA Client Operations Product Enablement</t>
  </si>
  <si>
    <t>Create Mentorship Event for Muneera Khan with Tania Finn</t>
  </si>
  <si>
    <t>4944372</t>
  </si>
  <si>
    <t>Lebogang Kelesitse (Terminated)</t>
  </si>
  <si>
    <t>Create Mentorship Event for Bonolo Molebatsi with Lebogang Kelesitse (Terminated)</t>
  </si>
  <si>
    <t>Create Mentorship Event for Eza Lutshwati (Terminated) with Sinazo Ndzawombi</t>
  </si>
  <si>
    <t>4670760</t>
  </si>
  <si>
    <t>Hloni Matang</t>
  </si>
  <si>
    <t>Career advancement</t>
  </si>
  <si>
    <t>FR Life Assurance (Funeka Mafalala)</t>
  </si>
  <si>
    <t>61500010256 FR Life Projects</t>
  </si>
  <si>
    <t>Project Manager</t>
  </si>
  <si>
    <t>4716973</t>
  </si>
  <si>
    <t>Gugu Nsibande (Terminated)</t>
  </si>
  <si>
    <t>Close Mentorship Event for Gugu Nsibande (Terminated) with Hloni Matang
Create Mentorship Event for Gugu Nsibande (Terminated) with Hloni Matang
Edit Mentorship Event for Gugu Nsibande (Terminated) with Hloni Matang</t>
  </si>
  <si>
    <t>4909879</t>
  </si>
  <si>
    <t>Mpho Bosilong</t>
  </si>
  <si>
    <t>FNB Botswana Enabler (Trevor Jansen)</t>
  </si>
  <si>
    <t>5010682800 FNB Botswana Data &amp; Analytics Office</t>
  </si>
  <si>
    <t>Create Mentorship Event for Mpho Bosilong with Palesa Moeng</t>
  </si>
  <si>
    <t>3506622</t>
  </si>
  <si>
    <t>Tekolo Rasenyai</t>
  </si>
  <si>
    <t>First leap Mentorship program</t>
  </si>
  <si>
    <t>Credit Manager</t>
  </si>
  <si>
    <t>Ongoing Risk Management</t>
  </si>
  <si>
    <t>5446120</t>
  </si>
  <si>
    <t>Ofilwe Powe</t>
  </si>
  <si>
    <t>FNB Botswana Commercial (Moreri Modise)</t>
  </si>
  <si>
    <t>5010343800 FNB Botswana Wesbank Business Segment</t>
  </si>
  <si>
    <t>Create Mentorship Event for Ofilwe Powe with Tekolo Rasenyai</t>
  </si>
  <si>
    <t>3505170</t>
  </si>
  <si>
    <t>Tshi-Tshi Mothupi (Terminated)</t>
  </si>
  <si>
    <t>mentor</t>
  </si>
  <si>
    <t>Create Mentorship Event for Reletile Phomolo Motsewakgosi with Tshi-Tshi Mothupi (Terminated)</t>
  </si>
  <si>
    <t>Guide and advise the mentee as they just begun their career</t>
  </si>
  <si>
    <t>5595495</t>
  </si>
  <si>
    <t>Katso Batsweleng</t>
  </si>
  <si>
    <t>FNB Botswana Channels (Badumedi Segaetsho)</t>
  </si>
  <si>
    <t>Create Mentorship Event for Katso Batsweleng with Ronald Kgafela (Terminated)</t>
  </si>
  <si>
    <t>3516377</t>
  </si>
  <si>
    <t>Maryke Venter</t>
  </si>
  <si>
    <t>FNB Personal Segment (Lytania Johnson)</t>
  </si>
  <si>
    <t>5910107040 FNB Personal Exco</t>
  </si>
  <si>
    <t>Executive Head</t>
  </si>
  <si>
    <t>3795969</t>
  </si>
  <si>
    <t>Luvashni Tilakdharee</t>
  </si>
  <si>
    <t>FNB Private Core Banking (Irvine Rambau)</t>
  </si>
  <si>
    <t>41200007625 FNB Private Core Banking Growth</t>
  </si>
  <si>
    <t>Product Growth Manager</t>
  </si>
  <si>
    <t>Create Mentorship Event for Luvashni Tilakdharee with Maryke Venter</t>
  </si>
  <si>
    <t>5595916</t>
  </si>
  <si>
    <t>Kgomotso Bika</t>
  </si>
  <si>
    <t>Create Mentorship Event for Kgomotso Bika with Jj Jongman</t>
  </si>
  <si>
    <t>4739833</t>
  </si>
  <si>
    <t>Serena Gounden</t>
  </si>
  <si>
    <t>To develop new technical skills, gain exposure in different domains, to be motivated and identify career goals and correct gaps in generic skills and knowledge.</t>
  </si>
  <si>
    <t>Technical Team Leader</t>
  </si>
  <si>
    <t>5056977</t>
  </si>
  <si>
    <t>Sindhuri Ravuri (Terminated)</t>
  </si>
  <si>
    <t>Create Mentorship Event for Sindhuri Ravuri (Terminated) with Serena Gounden</t>
  </si>
  <si>
    <t>To cultivate my path to professional growth and success and also learn to be a leader.</t>
  </si>
  <si>
    <t>Create Mentorship Event for Kgomotso Bika with Borethe Mogwe</t>
  </si>
  <si>
    <t>I'm eager to learn from experienced mentors who can provide guidance and insights that accelerate my growth. I believe in the power of mentorship to expand my perspective, refine my skills, and navigate challenges effectively</t>
  </si>
  <si>
    <t>5242444</t>
  </si>
  <si>
    <t>Afreen Kumandan</t>
  </si>
  <si>
    <t>DirectAxis (Jean-Pierre Crook)</t>
  </si>
  <si>
    <t>99700015118 DA Business Optimisation</t>
  </si>
  <si>
    <t>Dialer Administrator</t>
  </si>
  <si>
    <t>Create Mentorship Event for Afreen Kumandan with Zaheer Ismail</t>
  </si>
  <si>
    <t>To obtain assistance in navigating my career path and formulating strategies to achieve my professional objectives.</t>
  </si>
  <si>
    <t>5605598</t>
  </si>
  <si>
    <t>Leah Zulu</t>
  </si>
  <si>
    <t>Create Mentorship Event for Leah Zulu with Renusha Moodley</t>
  </si>
  <si>
    <t>Good day JP,
I saw that you are a mentor for technical. I really need to up my java skills and also leadership skills. Please would you consider mentoring me? I am really movitated and I want to be promoted this year. So if you give me tasks and a timeline I'd be sure to complete it. Thank you</t>
  </si>
  <si>
    <t>Create Mentorship Event for Thaveshni Govender with JP Erasmus (Terminated)</t>
  </si>
  <si>
    <t>I need mentoring to gain experience or have exposure to daily duties of a Project manager, develop new skills which can help me to move to the role of Project management.</t>
  </si>
  <si>
    <t>4664701</t>
  </si>
  <si>
    <t>Zandile Nene</t>
  </si>
  <si>
    <t>FNB Loans (Muneeb Davies)</t>
  </si>
  <si>
    <t>Create Mentorship Event for Zandile Nene with Hloni Matang
Edit Mentorship Event for Zandile Nene with Hloni Matang</t>
  </si>
  <si>
    <t>3575977</t>
  </si>
  <si>
    <t>Elvira Krishna</t>
  </si>
  <si>
    <t>To be mentored into the SA Lead role by going through the business expectations of an SA Lead.</t>
  </si>
  <si>
    <t>FNB Points of Presence (Pumezo Gulwa)</t>
  </si>
  <si>
    <t>7710441800 FNB POP Data Engineering and Insights</t>
  </si>
  <si>
    <t>Business Analyst Manager</t>
  </si>
  <si>
    <t>5516927</t>
  </si>
  <si>
    <t>Zamokuhle Ngema</t>
  </si>
  <si>
    <t>FNB Core Banking Platform (Jermaine Remley)</t>
  </si>
  <si>
    <t>59600005611 FNB Personal and Private IT Unsecured Lending IT</t>
  </si>
  <si>
    <t>Systems Analyst Team Leader</t>
  </si>
  <si>
    <t>Create Mentorship Event for Zamokuhle Ngema with Elvira Krishna</t>
  </si>
  <si>
    <t>3019055</t>
  </si>
  <si>
    <t>Willem Richard</t>
  </si>
  <si>
    <t>I expect to use this opportunity to leverage my career growth and personal development from Willens experience across the finance and treasury world and create networks within the FirstRand group. My specific areas of mentoring include the following:
Career Guidance
Develop leadership skills
Relationship building and networking</t>
  </si>
  <si>
    <t>Rest of Africa (Luke Woodford (Inherited))</t>
  </si>
  <si>
    <t>77800000CCA RMBSA Broader Africa Finance Team</t>
  </si>
  <si>
    <t>Finance Head</t>
  </si>
  <si>
    <t>4686357</t>
  </si>
  <si>
    <t>Manuel Come Come</t>
  </si>
  <si>
    <t>FNB Mozambique Treasury (Agnallo Nampunda)</t>
  </si>
  <si>
    <t>Mozambique</t>
  </si>
  <si>
    <t>5150MOZ4100 FNB Mozambique Reporting and Planing</t>
  </si>
  <si>
    <t>Financial Reporting Head</t>
  </si>
  <si>
    <t>Create Mentorship Event for Manuel Come Come with Willem Richard</t>
  </si>
  <si>
    <t>Greetings,
I would like to get guidance on maneuvering financial analysis in order to have substantive evidence on my quality of work.</t>
  </si>
  <si>
    <t>5578019</t>
  </si>
  <si>
    <t>Keamogetswe Sema (Terminated)</t>
  </si>
  <si>
    <t>Close Mentorship Event for Keamogetswe Sema (Terminated) with Emmanuel Tsiame (Terminated)
Create Mentorship Event for Keamogetswe Sema (Terminated) with Emmanuel Tsiame (Terminated)</t>
  </si>
  <si>
    <t>Mentor Resigned</t>
  </si>
  <si>
    <t>4532031</t>
  </si>
  <si>
    <t>Naomi Sekgobela</t>
  </si>
  <si>
    <t>Career Development, leadership enablement, emotional intelligence, and personal growth.</t>
  </si>
  <si>
    <t>RMBSA Global Markets Structured Solutions and Trading Enablement (Victor Mofokeng)</t>
  </si>
  <si>
    <t>77800000BNR RMBSA Global Markets Cross Asset and Financing Trading Book Financing</t>
  </si>
  <si>
    <t>Trading Desk Head</t>
  </si>
  <si>
    <t>Financial Markets</t>
  </si>
  <si>
    <t>5153913</t>
  </si>
  <si>
    <t>Nobuhle Ngcobo</t>
  </si>
  <si>
    <t>RMBSA Global Markets (Moses Madilonga)</t>
  </si>
  <si>
    <t>77800000TNE RMBSA Global Markets Trading Desk Support Enablement</t>
  </si>
  <si>
    <t>Trading Desk Support Enablement Analyst</t>
  </si>
  <si>
    <t>Create Mentorship Event for Nobuhle Ngcobo with Naomi Sekgobela</t>
  </si>
  <si>
    <t>4804325</t>
  </si>
  <si>
    <t>Kholofelo Napo</t>
  </si>
  <si>
    <t>I would like to solidify my technical skills, which include SAS Systems, Python, DBMS, AI and Machine Learning in order to be able to perform high level statistical analysis, data insights and analysis, model development etc. I do have an exposure; however, I am not at a comfortable level.
I am also looking into defining purpose on my career, that is, knowing what I want and progress in my career growth and development. I want to develop my business acumen, broader banking understanding, and articulation.</t>
  </si>
  <si>
    <t>FNB Chief Risk Office Interactions and Risk Analytics (Godfrey Kgoedi)</t>
  </si>
  <si>
    <t>39400003184 FNB Chief Risk Office Interactions and Risk Analytics</t>
  </si>
  <si>
    <t>5604389</t>
  </si>
  <si>
    <t>Siyabonga Mthethwa</t>
  </si>
  <si>
    <t>FNB Customer and Sales Interactions (Christiaan Paulsen)</t>
  </si>
  <si>
    <t>21200001751 Home Finance Credit Strategic Credit and Pricing</t>
  </si>
  <si>
    <t>Create Mentorship Event for Siyabonga Mthethwa with Kholofelo Napo</t>
  </si>
  <si>
    <t>I hope this message finds you well. I am writing to express my interest in seeking your mentorship as I embark on advancing my career in project management. Having recently graduated with a BCom in Project Management, I am eager to further develop my skills and knowledge in this field. Your expertise and experience make you an ideal mentor to guide me through this journey. I believe your insights and advice will be invaluable in helping me achieve my career goals and enhance my understanding of effective project management practices. I would greatly appreciate the opportunity to learn from you and benefit from your guidance. Your mentorship will undoubtedly contribute significantly to my professional development. Thank you for considering my request. I look forward to the possibility of discussing this further with you.</t>
  </si>
  <si>
    <t>3143139</t>
  </si>
  <si>
    <t>Kirsty Forbay</t>
  </si>
  <si>
    <t>FNB Financial Advisory (Charles Gordon)</t>
  </si>
  <si>
    <t>27900004818 PB&amp;A Advice Suite</t>
  </si>
  <si>
    <t>Create Mentorship Event for Kirsty Forbay with Betty Moabelo</t>
  </si>
  <si>
    <t>I have been a test analyst for 9 years and have been scared to take the leadership role. I am now ready for this challenge. The fear of the unknown is there but i believe in myself more than ever before now.</t>
  </si>
  <si>
    <t>4876385</t>
  </si>
  <si>
    <t>Prudence Shipalana</t>
  </si>
  <si>
    <t>CDO Kernel (Lucille Jacobs)</t>
  </si>
  <si>
    <t>79000005422 CDO Kernel OCEP</t>
  </si>
  <si>
    <t>Close Mentorship Event for Prudence Shipalana with Rethabile Tsekedi
Create Mentorship Event for Prudence Shipalana with Rethabile Tsekedi</t>
  </si>
  <si>
    <t>5004918</t>
  </si>
  <si>
    <t>Kuda Mukoki</t>
  </si>
  <si>
    <t>Hi Mukoki,
I trust you are well.
I am interested in getting a mentor for the purpose of enhancing my skills in the finance space.
As we know the industry is always changing and growing - so one has to always keep up to date. Hence, I decided to reach out to you.
I need to be mentored to bridge the gap between my current skills and the skills required in order for me to grow in the industry. My objective is to someday become a Financial Manager. I need to understand what skills I currently need to acquire as an accountant and what skills will I need to have to be a financial manager. I am also interested in learning the ropes and understanding the day to day of a financial manager.
I have attached my resume for your perusal.
I hope you find this well. Your assistance will be highly appreciated😊</t>
  </si>
  <si>
    <t>21200003024 HSL Finance Support</t>
  </si>
  <si>
    <t>5276098</t>
  </si>
  <si>
    <t>Thandeka Ntisana</t>
  </si>
  <si>
    <t>PHI Benefit</t>
  </si>
  <si>
    <t>FNB Core Banking Platform (Ashley Govender (Inherited))</t>
  </si>
  <si>
    <t>59600003947 FNB Personal and Private IT Finance</t>
  </si>
  <si>
    <t>Create Mentorship Event for Thandeka Ntisana with Kuda Mukoki</t>
  </si>
  <si>
    <t>The purpose of being mentored by Himal was to ensure a smooth transition into the bank as well as building a successful brand for myself in my new role.</t>
  </si>
  <si>
    <t>5614031</t>
  </si>
  <si>
    <t>Yolandi Pietersen</t>
  </si>
  <si>
    <t>FNB Commercial EFT (Naziem Sallie)</t>
  </si>
  <si>
    <t>68400003918 FNB Commercial EFT Product House Product</t>
  </si>
  <si>
    <t>Create Mentorship Event for Yolandi Pietersen with Himal Parbhoo</t>
  </si>
  <si>
    <t>5020964</t>
  </si>
  <si>
    <t>Ashley Saffy</t>
  </si>
  <si>
    <t>Requiring a mentor to:
1. Evolve and increase current knowledge of FNB
2. Assist with personal development
3. Provide constructive feedback
$. Assist in placing firm boundaries for healthy work -life balance</t>
  </si>
  <si>
    <t>FNB Personal Core Banking (Christelle Pretorius)</t>
  </si>
  <si>
    <t>48100002235 FNB Personal Core Banking Personal VISA</t>
  </si>
  <si>
    <t>Partnerships and Growth Head</t>
  </si>
  <si>
    <t>5023157</t>
  </si>
  <si>
    <t>Kuvashni Krishna</t>
  </si>
  <si>
    <t>RMBSA CDAO Data, Analytics and Business Intelligence (Narisha Govender)</t>
  </si>
  <si>
    <t>77800000FZM FZM - CB Finance FIM</t>
  </si>
  <si>
    <t>Data Solutionist</t>
  </si>
  <si>
    <t>Create Mentorship Event for Kuvashni Krishna with Ashley Saffy</t>
  </si>
  <si>
    <t>I have a few primary goals but have not bedded down one primary "north star" with respect to my career and holistic development. I am however trying to insert more agency and direction within some of the goals I have for myself and I believe the privilege of being able to draw advice or wisdom from a mentor would help accelerate that process.
To provide some background context:
I am currently within the data and analytics world of the financials services industry but I have a keen interest in exploring the corporate finance and asset management world also.
Lastly, high level overview of some of the goals I have that I would appreciate the help and input of a mentor with are the following:
Short term goals include:
1)Understanding Industry Basics
2)Networking
3)Skills Development
My more medium term goals:
1)Job Transition Strategies or Navigating the system
2)Gaining Relevant Experience
3)Curating a career
Thank you,</t>
  </si>
  <si>
    <t>5606969</t>
  </si>
  <si>
    <t>Nhlanhla Tshingilane (Terminated)</t>
  </si>
  <si>
    <t>Create Mentorship Event for Nhlanhla Tshingilane (Terminated) with Naomi Sekgobela</t>
  </si>
  <si>
    <t>3279359</t>
  </si>
  <si>
    <t>Job Mpati</t>
  </si>
  <si>
    <t>Enthusiastic professional recently certified in ISTQB and IT Systems Development (Java), eager to launch a career in software testing. Possesses an understanding of software development life cycle, testing methodologies, and quality assurance principles. A quick learner with a passion for technology and problem solving. Seeking challenging projects to enhance my testing skill through mentorship/job shadowing</t>
  </si>
  <si>
    <t>CDO Kernel iNterfaceX (Mmushi Mosupi)</t>
  </si>
  <si>
    <t>21800009568 CDO Kernel iNterfaceX Tech App and Mobile QA App</t>
  </si>
  <si>
    <t>Test Analyst Manager</t>
  </si>
  <si>
    <t>3726762</t>
  </si>
  <si>
    <t>Patience Dolamo</t>
  </si>
  <si>
    <t>FNB Wealth (Clarissa Mangera)</t>
  </si>
  <si>
    <t>34100001596 PB&amp;A Sales Solutions Suite</t>
  </si>
  <si>
    <t>Sales Advisor</t>
  </si>
  <si>
    <t>Create Mentorship Event for Patience Dolamo with Job Mpati</t>
  </si>
  <si>
    <t>4612590</t>
  </si>
  <si>
    <t>Themba Mabizela</t>
  </si>
  <si>
    <t>Good morning Themba,
Hope you are keeping well.
I need mentorship for career growth and leadership development.
Your assistance will be greatly appreciated.
thank you.</t>
  </si>
  <si>
    <t>FNB Enterprise Chief Executive Office (Mike Naidoo)</t>
  </si>
  <si>
    <t>34400006518 FNB Commercial EXCO</t>
  </si>
  <si>
    <t>Provincial Head</t>
  </si>
  <si>
    <t>3867897</t>
  </si>
  <si>
    <t>Gabi Maya</t>
  </si>
  <si>
    <t>FNB Commercial Sales Gauteng South and Central (Nondumiso Motlhala)</t>
  </si>
  <si>
    <t>34200006532 FNB Commercial Sales Gauteng East 10 to 60M</t>
  </si>
  <si>
    <t>Business Relationship Manager</t>
  </si>
  <si>
    <t>Create Mentorship Event for Gabi Maya with Themba Mabizela</t>
  </si>
  <si>
    <t>The purpose of Jermain being my mentor is to help build and develop skills I need to become a data scientist/analyst in the workspace. We will share insight to gain the knowledge through his experiences and duties he performs in order to help me succeed in the workplace. This will also boost my confidence to complete my studies and do extra courses for added skills.</t>
  </si>
  <si>
    <t>3661954</t>
  </si>
  <si>
    <t>Alexa Flemmer</t>
  </si>
  <si>
    <t>FNB Commercial Chief Risk Office (Leoni Tweedie (Inherited))</t>
  </si>
  <si>
    <t>34400008616 FNB Commercial Chief Risk Office Fraud Risk</t>
  </si>
  <si>
    <t>Fraud Analyst</t>
  </si>
  <si>
    <t>Create Mentorship Event for Alexa Flemmer with Jermaine Varnicker</t>
  </si>
  <si>
    <t>Career guidance
Innovation
Learn how to navigate the system</t>
  </si>
  <si>
    <t>8871054</t>
  </si>
  <si>
    <t>Mx Makhombothi</t>
  </si>
  <si>
    <t>CDO Infrastructure and Security Services (Kabelo Prince Mosapa)</t>
  </si>
  <si>
    <t>Network Engineer</t>
  </si>
  <si>
    <t>Create Mentorship Event for Mx Makhombothi with Jermaine Varnicker
Edit Mentorship Event for Mx Makhombothi with Jermaine Varnicker</t>
  </si>
  <si>
    <t>3519570</t>
  </si>
  <si>
    <t>Godfrey Kgoedi</t>
  </si>
  <si>
    <t>FNB Chief Risk Office Executive (Mark Nasila)</t>
  </si>
  <si>
    <t>5382564</t>
  </si>
  <si>
    <t>Danny Tloubatla</t>
  </si>
  <si>
    <t>FNB International SA (Pranisha Luckan)</t>
  </si>
  <si>
    <t>83200009892 FNB International SA Risk</t>
  </si>
  <si>
    <t>Create Mentorship Event for Danny Tloubatla with Godfrey Kgoedi</t>
  </si>
  <si>
    <t>5414032</t>
  </si>
  <si>
    <t>Helen Mkhize</t>
  </si>
  <si>
    <t>As a driven individual who has a thirst for knowledge and has an academic background in law (even at Master's level). I am interested in developing my career in investment banking not only from a legal perspective, but also from a financial lens as well. As a new joiner at RMB, I am looking to gain practical insights from an experienced professional in the field of banking before I embark on a career change. I believe a mentor would provide me with invaluable support and knowledge, help me navigate the frantic world of investment banking, and assist with making informed decisions about my career path over a 5/6 year period. Through this mentorship, I aim to enhance my professional development, build meaningful relationships and networks, whilst trying to achieve my full career potential in the world of banking and finance through guidance. LinkedIn Link: https://www.linkedin.com/in/karabo-r-38388a184/</t>
  </si>
  <si>
    <t>RMBSA Investment Banking Division (IBD) (Rob Leon)</t>
  </si>
  <si>
    <t>77800000DTR RMBSA IBD Loan Capital Markets &amp; Syndications</t>
  </si>
  <si>
    <t>Loan Capital Market Solutions Head</t>
  </si>
  <si>
    <t>Investment Banking</t>
  </si>
  <si>
    <t>8874820</t>
  </si>
  <si>
    <t>Karabo Rampai</t>
  </si>
  <si>
    <t>RMBSA IBD Operations Transaction Management (Johannes Louw)</t>
  </si>
  <si>
    <t>77800000IBT RMBSA IBD Operations Transaction Management</t>
  </si>
  <si>
    <t>Transaction Management Specialist</t>
  </si>
  <si>
    <t>Create Mentorship Event for Karabo Rampai with Helen Mkhize</t>
  </si>
  <si>
    <t>4651685</t>
  </si>
  <si>
    <t>Wiann Mans</t>
  </si>
  <si>
    <t>Career Goals
Short-Term Goals (1-2 years)
Complete Compliance Management Certification:
Enroll and complete the certification to build my expertise in compliance management.
Gain Practical Experience:
Seek opportunities to work on compliance-related projects or roles within my current organization.
Expand Network:
Join professional associations related to HR, compliance, and risk management.
Attend industry conferences and workshops to connect with professionals in my field.
Medium-Term Goals (3-5 years)
Secure a Leadership Role:
Aiming for a leadership position in compliance or risk management within my organization or another company.
Develop Specialized Skills:
Focusing on acquiring skills in risk assessment, regulatory compliance, and policy development. Consider additional certifications like Certified Risk Manager (CRM) or Certified Compliance and Ethics Professional (CCEP).
Mentorship and Coaching:
Find a mentor in the field of compliance and risk management to guide me. Also, considering mentoring junior colleagues to develop my leadership skills.
Long-Term Goals (5+ years)
Executive Position:
Aiming for an executive role such as Chief Compliance Officer (CCO) or Head of Risk Management.
Thought Leadership:
Establishing myself as a thought leader by publishing articles, speaking at conferences, and participating in industry panels.
Continuous Learning:
keeping updated with industry trends and changes in regulations.
Pursue advanced degrees or certifications if necessary.
Action Plan
Education and Certification
Enrolling in a Compliance Management certification program.
Identifying and pursuing additional relevant certifications (e.g., CRM, CCEP).
Professional Experience
Seeking roles or projects that involve compliance and risk management.
Volunteering for cross-functional teams to gain broader exposure.
Networking and Mentorship
Joining professional associations like the Society for Risk Management Association (RMA).
Attending industry events and webinars.
Finding a mentor and participate in mentorship programs.
Skill Development
Taking online courses or workshops on risk assessment, regulatory compliance, and policy development.
Developing soft skills such as leadership, communication, and strategic thinking.
Career Advancement
Regularly updating my resume and LinkedIn profile to reflect new skills and experiences.
Applying for leadership roles and be proactive in seeking promotions.
Thought Leadership
Writing articles or blog posts on compliance and risk management topics.
Participating in speaking engagements and panel discussions.</t>
  </si>
  <si>
    <t>FNB Namibia Limited (Isdor Angula)</t>
  </si>
  <si>
    <t>5641748</t>
  </si>
  <si>
    <t>Jeckson Tuyoleni</t>
  </si>
  <si>
    <t>FNB Namibia Limited (Carlo Gertze)</t>
  </si>
  <si>
    <t>Create Mentorship Event for Jeckson Tuyoleni with Wiann Mans</t>
  </si>
  <si>
    <t>The mentorship between the mentee and the respective mentor, to guide me in setting mutually agreed upon goals and expectations that we will work towards in the next 7 month. Basically, to increase my knowledge in the project management space, get practical experience and being involved in the actual projects. Thanks</t>
  </si>
  <si>
    <t>4822366</t>
  </si>
  <si>
    <t>Cindy Abrahams</t>
  </si>
  <si>
    <t>FNB HSL (Jody Cornelius)</t>
  </si>
  <si>
    <t>21200003929 Home Finance Business Support Operations</t>
  </si>
  <si>
    <t>Create Mentorship Event for Cindy Abrahams with Renusha Moodley</t>
  </si>
  <si>
    <t>Create Mentorship Event for Nhlanhla Tshingilane (Terminated) with Baile Corrigan</t>
  </si>
  <si>
    <t>4936795</t>
  </si>
  <si>
    <t>Nonhlanhla Gumede Moloto</t>
  </si>
  <si>
    <t>I am interested in changing careers and would love to have a mentor to guide me through this transition. I would love to move into the data analysis space.
Career guidance
Manage a career transition</t>
  </si>
  <si>
    <t>FNB Personal Exco (Lee Mhlongo)</t>
  </si>
  <si>
    <t>5910701900 FNB Retail CDAO</t>
  </si>
  <si>
    <t>Data Head</t>
  </si>
  <si>
    <t>5571995</t>
  </si>
  <si>
    <t>Phemi Maetle</t>
  </si>
  <si>
    <t>Close Mentorship Event for Phemi Maetle with Nonhlanhla Gumede Moloto
Create Mentorship Event for Phemi Maetle with Nonhlanhla Gumede Moloto</t>
  </si>
  <si>
    <t>3602915</t>
  </si>
  <si>
    <t>Siya Motha</t>
  </si>
  <si>
    <t>As part of my professional development, I have been fortunate to shadow Siya Motha, the Customer Service Head. I look forward to this mentorship providing me with invaluable insights into effective suite management and customer service excellence. Siya's strategic approach to leadership and problem-solving aligns perfectly with my aspiration to become a Business Optimization Manager. Observing his methods for optimizing team performance and enhancing customer satisfaction will be enlightening. This experience will not only expand my knowledge but also inspire me to adopt innovative strategies to drive organizational success.</t>
  </si>
  <si>
    <t>FNB Retail Private Wealth Chief Executive Office (Eric Enslin)</t>
  </si>
  <si>
    <t>34100003287 PB&amp;A EXCO</t>
  </si>
  <si>
    <t>Customer Service Centre Head</t>
  </si>
  <si>
    <t>4985559</t>
  </si>
  <si>
    <t>Nthabiseng Mashego</t>
  </si>
  <si>
    <t>FNB Private Banking and Advisory (Carlifonia Muungadi)</t>
  </si>
  <si>
    <t>Create Mentorship Event for Nthabiseng Mashego with Siya Motha</t>
  </si>
  <si>
    <t>4613430</t>
  </si>
  <si>
    <t>Shetal Bhoola</t>
  </si>
  <si>
    <t>Shetal will be a mentor to help prepare me for the next role in my career - System Analyst Team Lead</t>
  </si>
  <si>
    <t>CDO Kernel Decisioning IT (Debashree Naidoo)</t>
  </si>
  <si>
    <t>79000005193 CDO Kernel Decisioning IT</t>
  </si>
  <si>
    <t>5313422</t>
  </si>
  <si>
    <t>Zakaria Mahomed</t>
  </si>
  <si>
    <t>FNB Dynamic Decisioning (Junaid Nakhooda)</t>
  </si>
  <si>
    <t>23900006889 FNB Dynamic Decisioning Campaigns and CLB</t>
  </si>
  <si>
    <t>Systems Owner</t>
  </si>
  <si>
    <t>Close Mentorship Event for Zakaria Mahomed with Shetal Bhoola
Create Mentorship Event for Zakaria Mahomed with Shetal Bhoola
Edit Mentorship Event for Zakaria Mahomed with Shetal Bhoola</t>
  </si>
  <si>
    <t>5180015</t>
  </si>
  <si>
    <t>Jennifer Dutton</t>
  </si>
  <si>
    <t>Dear Jennifer,
I am writing to express my enthusiasm for the opportunity to be mentored by you and to share my motivation and objectives for this mentoring relationship. As someone who is eager to grow both professionally and personally, I believe that your guidance and experience would be invaluable in helping me achieve my goals.
Motivation:
I am currently in the early stages of my career and am keen to develop the skills and knowledge necessary to succeed and make meaningful contributions to my organisation. I have always been passionate about continuous learning and professional development and I believe that a mentoring relationship with you will provide the support and insight I need to navigate my career path effectively.
Areas of Mentoring:
Career Guidance: I am looking for guidance on how to strategically plan my career path. Understanding the various opportunities and challenges within my industry and how to position myself for growth and advancement is crucial. Your insights into career planning and development would help me make informed decisions about my future.
Develop Leadership Skills: Developing strong leadership skills is one of my primary objectives. I aspire to take on leadership roles in the future, and I would greatly benefit from your advice on how to cultivate these skills. Learning about effective leadership styles, decision-making processes and how to inspire and manage teams are areas where your experience would be particularly beneficial.
Relationship Building and Networking: Building a robust professional network and establishing meaningful relationships within my industry are essential for my career progression. I would appreciate your guidance on how to effectively network, foster professional relationships and leverage these connections to achieve my career goals.
Through this mentoring relationship, I aim to gain a deeper understanding of the industry, enhance my leadership capabilities and develop a strategic approach to career development. I am confident that with your mentorship, I can navigate the challenges and opportunities ahead more effectively.
Thank you for considering my request.
Best regards,
Morongwa</t>
  </si>
  <si>
    <t>FNB International SA (Lorna Reid)</t>
  </si>
  <si>
    <t>83200005732 FNB International SA Human Resources</t>
  </si>
  <si>
    <t>Organisational Development Specialist</t>
  </si>
  <si>
    <t>5585104</t>
  </si>
  <si>
    <t>Morongwa Mangope (Terminated)</t>
  </si>
  <si>
    <t>Create Mentorship Event for Morongwa Mangope (Terminated) with Jennifer Dutton</t>
  </si>
  <si>
    <t>I want to attempt the Actuarial Exams starting with A211. I studied Econometrics and want to transition into Actuarial.</t>
  </si>
  <si>
    <t>5471516</t>
  </si>
  <si>
    <t>Khuliso Watson Maela (Terminated)</t>
  </si>
  <si>
    <t>Create Mentorship Event for Khuliso Watson Maela (Terminated) with Sean Christoph</t>
  </si>
  <si>
    <t>4910117</t>
  </si>
  <si>
    <t>Thapelo Modisagae</t>
  </si>
  <si>
    <t>Segment Chief Risk Officer</t>
  </si>
  <si>
    <t>Create Mentorship Event for Vuyiseka Myeki with Thapelo Modisagae</t>
  </si>
  <si>
    <t>4649567</t>
  </si>
  <si>
    <t>Sibongile Ngomani</t>
  </si>
  <si>
    <t>The purpose of this mentorship is to develop my professional knowledge and skills, to advance my career as well as to get professional advice.</t>
  </si>
  <si>
    <t>FNB Points of Presence (Palesa Lethiba)</t>
  </si>
  <si>
    <t>7710236900 FNB POP Regional Office Gauteng South</t>
  </si>
  <si>
    <t>4633059</t>
  </si>
  <si>
    <t>Anna Mashia</t>
  </si>
  <si>
    <t>FNB HSL (Duduzile Roules)</t>
  </si>
  <si>
    <t>21200002641 HSL Call Centre</t>
  </si>
  <si>
    <t>Create Mentorship Event for Anna Mashia with Sibongile Ngomani</t>
  </si>
  <si>
    <t>To provide career guidance, ensuring that I have the right and correct technical skills to help me in my career. To help me prepare for new opportunities such as career opportunities as well as leadership opportunities.</t>
  </si>
  <si>
    <t>5455065</t>
  </si>
  <si>
    <t>Khanyisile Kumbi</t>
  </si>
  <si>
    <t>FNB Private Core Banking (Gontse Letsoalo)</t>
  </si>
  <si>
    <t>41200004892 FNB Private Core Banking Analytics</t>
  </si>
  <si>
    <t>Create Mentorship Event for Khanyisile Kumbi with Godfrey Kgoedi</t>
  </si>
  <si>
    <t>5151597</t>
  </si>
  <si>
    <t>Mukundi Ravhura</t>
  </si>
  <si>
    <t>RMBSA Global Markets Financial Risk (Elzabe Reynolds)</t>
  </si>
  <si>
    <t>77800000TMR RMBSA Global Markets Market Risk</t>
  </si>
  <si>
    <t>Market Risk Analyst</t>
  </si>
  <si>
    <t>Financial Risk</t>
  </si>
  <si>
    <t>Create Mentorship Event for Mukundi Ravhura with Naomi Sekgobela</t>
  </si>
  <si>
    <t>2277042</t>
  </si>
  <si>
    <t>Gavin Tarr</t>
  </si>
  <si>
    <t>Good day. I am looking for someone to guide me in my career path. I started as a Month end reporting accountant at Group Treasury FCC in 2017 where I got my first ever reporting exposure. I then moved to RMB in March 2019 and was part of the consol team. The structure then changed, and I was hired as part of the Client reporting team where I serviced the corporate sector heads. I then moved to FNB in July 2023 within the FDI enablement team. I have enjoyed learning from the different franchises, however, looking into the future I am not sure which direction to take my career. All i have been exposed to thus far is reporting and parts of product, therefore when the question of "What you want to do" is posed I am unable to answer as I don't know what being in like other areas would be like or what their daily activities look like to really answer the question. I also lost my brother in 2022 through suicide and have since then just trying to heal and recover so I did not broach this subject sooner. I am looking for someone who has walked this journey and can offer advice and guidance and also being probed for me as a person to find where I want to go to next. Thanks</t>
  </si>
  <si>
    <t>FNB Commercial Chief Executive Officer Structured Lending Solutions (Jan Baard)</t>
  </si>
  <si>
    <t>33900000847 FNB Commercial Debtor Finance Sales</t>
  </si>
  <si>
    <t>5064775</t>
  </si>
  <si>
    <t>Desiree Govender</t>
  </si>
  <si>
    <t>First Risk and Advisory Services (Bheki Mdlalose)</t>
  </si>
  <si>
    <t>Create Mentorship Event for Desiree Govender with Gavin Tarr</t>
  </si>
  <si>
    <t>I think we might need to formally have record of the mentorship. Thank you for being willing xxx
Proposed mentorship period and frequency: 6 months, 1 session per month.
Seasoned in legal and regulatory (compliance) risk management. IRMCert obtained in ERM from the UK's Institute of Risk Management. Qualification obtained but require experience and mentorship, especially in relation to technical skills associated with Operational Risk Management (my gap).
Purpose:
Broaden organisational knowledge
Career guidance
Develop leadership skills</t>
  </si>
  <si>
    <t>5047676</t>
  </si>
  <si>
    <t>Lizelle La Grange</t>
  </si>
  <si>
    <t>FNB Chief Marketing Office (Faye Mfikwe)</t>
  </si>
  <si>
    <t>22400005479 FNB Marketing Finance</t>
  </si>
  <si>
    <t>Create Mentorship Event for Lizelle La Grange with Rialivhuwa Mudau</t>
  </si>
  <si>
    <t>4696360</t>
  </si>
  <si>
    <t>Adriaan Swanepoel</t>
  </si>
  <si>
    <t>CDO Kernel (Shaakirah Raffie)</t>
  </si>
  <si>
    <t>Software Developer in Test</t>
  </si>
  <si>
    <t>5265010</t>
  </si>
  <si>
    <t>Frank Chalale</t>
  </si>
  <si>
    <t>Create Mentorship Event for Frank Chalale with Adriaan Swanepoel</t>
  </si>
  <si>
    <t>Purpose of this mentorship is to get advice and guidance on a variety of topics in risk management, trends and forecasts, networking, leadership development, and job search strategies.</t>
  </si>
  <si>
    <t>5368472</t>
  </si>
  <si>
    <t>Ayanda Patji</t>
  </si>
  <si>
    <t>CDO Kernel iNterfaceX (Smangele Cunningham)</t>
  </si>
  <si>
    <t>Create Mentorship Event for Ayanda Patji with Smangele Cunningham</t>
  </si>
  <si>
    <t>5159903</t>
  </si>
  <si>
    <t>Alcinda Moezelaar</t>
  </si>
  <si>
    <t>Career and Leadership Development</t>
  </si>
  <si>
    <t>RMBSA TTS Client Groups (Tamara D'Onofrio)</t>
  </si>
  <si>
    <t>77800000SON RMBSA TTS Client Group Sales Enablement</t>
  </si>
  <si>
    <t>Sales Enablement Head</t>
  </si>
  <si>
    <t>5617405</t>
  </si>
  <si>
    <t>Rajiv Mistry</t>
  </si>
  <si>
    <t>RMBSA Operations Client Experience Specialists (Mumbi Odame (Inherited))</t>
  </si>
  <si>
    <t>77800000CXD RMBSA Client Experience Design</t>
  </si>
  <si>
    <t>Create Mentorship Event for Rajiv Mistry with Alcinda Moezelaar</t>
  </si>
  <si>
    <t>4967305</t>
  </si>
  <si>
    <t>Pontso Mohlotsane</t>
  </si>
  <si>
    <t>"Dear Pontso,
I am writing to express my enthusiasm for the opportunity to be mentored by you and to share my motivation and objectives for this mentoring relationship. As someone who is eager to grow both professionally and personally, I believe that your guidance and experience would be invaluable in helping me achieve my goals.
Motivation:
I am currently in the early stages of my career and am keen to develop the skills and knowledge necessary to succeed and make meaningful contributions to my organisation. I have always been passionate about continuous learning and professional development and I believe that a mentoring relationship with you will provide the support and insight I need to navigate my career path effectively.
Areas of Mentoring:
Career Guidance: I am looking for guidance on how to strategically plan my career path. Understanding the various opportunities and challenges within my industry and how to position myself for growth and advancement is crucial. Your insights into career planning and development would help me make informed decisions about my future.
Develop Leadership Skills: Developing strong leadership skills is one of my primary objectives. I aspire to take on leadership roles in the future, and I would greatly benefit from your advice on how to cultivate these skills. Learning about effective leadership styles, decision-making processes and how to inspire and manage teams are areas where your experience would be particularly beneficial.
Relationship Building and Networking: Building a robust professional network and establishing meaningful relationships within my industry are essential for my career progression. I would appreciate your guidance on how to effectively network, foster professional relationships and leverage these connections to achieve my career goals.
Through this mentoring relationship, I aim to gain a deeper understanding of the industry, enhance my leadership capabilities and develop a strategic approach to career development. I am confident that with your mentorship, I can navigate the challenges and opportunities ahead more effectively.
Thank you for considering my request.
Best regards,
Morongwa"</t>
  </si>
  <si>
    <t>FNB Retail Marketing (Qaqamba Godlo)</t>
  </si>
  <si>
    <t>Create Mentorship Event for Morongwa Mangope (Terminated) with Pontso Mohlotsane</t>
  </si>
  <si>
    <t>2964457</t>
  </si>
  <si>
    <t>Dash Naidoo</t>
  </si>
  <si>
    <t>FR Life Assurance (Lee Bromfield)</t>
  </si>
  <si>
    <t>61500010269 FR Life CEO Office</t>
  </si>
  <si>
    <t>4902629</t>
  </si>
  <si>
    <t>Prenesen Naidoo</t>
  </si>
  <si>
    <t>FNB HSL (Vyasan Govender)</t>
  </si>
  <si>
    <t>21200000808 HSL Sales Leads</t>
  </si>
  <si>
    <t>Relationship Manager</t>
  </si>
  <si>
    <t>Create Mentorship Event for Prenesen Naidoo with Dash Naidoo</t>
  </si>
  <si>
    <t>Career guidance
Deal with diversity and inclusion challenges
Develop leadership skills</t>
  </si>
  <si>
    <t>Create Mentorship Event for Lenize Lottering with Adnaan Rayned</t>
  </si>
  <si>
    <t>4943899</t>
  </si>
  <si>
    <t>Tshepo Leroto</t>
  </si>
  <si>
    <t>Seeking new career change and skills development opportunities</t>
  </si>
  <si>
    <t>FNB Fiduciary (Ralton Leach)</t>
  </si>
  <si>
    <t>54100008438 FNB WI Fiduciary Deceased Reporting DIV</t>
  </si>
  <si>
    <t>Fiduciary Administrator</t>
  </si>
  <si>
    <t>5169402</t>
  </si>
  <si>
    <t>Mapule Mpoko</t>
  </si>
  <si>
    <t>33900009123 FNB Commercial Leveraged Finance Head Office</t>
  </si>
  <si>
    <t>Personal Assistant</t>
  </si>
  <si>
    <t>Create Mentorship Event for Mapule Mpoko with Tshepo Leroto</t>
  </si>
  <si>
    <t>3452506</t>
  </si>
  <si>
    <t>Jacqui Calitz</t>
  </si>
  <si>
    <t>I would like to solidify my technical skills, which include SAS Systems, Python, DBMS, AI and Machine Learning in order to be able to perform high level statistical analysis, data insights and analysis, model development etc. I do have an exposure; however, I am not at a comfortable level. 
I would also like for growth and development in my field, understanding the opportunities available and how I can be a good fit. This will help me to work with purpose and set new goals for my career journey.</t>
  </si>
  <si>
    <t>FNB Retail Exco (Keshani Ganasen)</t>
  </si>
  <si>
    <t>85500007549 FNB Integrated Advice</t>
  </si>
  <si>
    <t>Create Mentorship Event for Siyabonga Mthethwa with Jacqui Calitz</t>
  </si>
  <si>
    <t>Hi Godfrey, 
I hope this message finds you well. My name is Shiara, and I am a data analyst with +4 years of experience in data and analytics. As someone who is relatively new to the industry but brimming with curiosity, I am reaching out to see if you'd be willing to mentor me. 
I have spent my time crunching numbers, building dashboards, and occasionally battling the odd rogue dataset. But I have come to realize that mastering data analytics is just one piece of the puzzle. To truly excel and contribute at a strategic level, I need to understand the art and science of business management - and who better to learn from than the esteemed Chief Risk Office Executive?
I am eager to learn not only the technical wizardry of data and analytics but also the leadership skills that make a great executive. Your guidance would be invaluable in helping me integrate my data skills with effective business strategies. 
I would be thrilled to discuss this further and hopefully get a chance to work with you.
Best regards,
Shiara</t>
  </si>
  <si>
    <t>8873877</t>
  </si>
  <si>
    <t>Shiara Pillay</t>
  </si>
  <si>
    <t>CDO Kernel iNterfaceX (Ashlin Kullen)</t>
  </si>
  <si>
    <t>21800005584 CDO Kernel iNterfaceX Data Analysts Development</t>
  </si>
  <si>
    <t>Create Mentorship Event for Shiara Pillay with Godfrey Kgoedi</t>
  </si>
  <si>
    <t>Good day Alcinda, first of all thank you very much for giving me the privilege of being your mentee, I do believe that this opportunity will help me to speed up my technical skills and my Carrer. kindly find below some of the points that I would like to focus on this mentoring process:
Skill Enhancement
1. Advanced Financial Analysis: Guidance on mastering complex financial analysis techniques and tools.
2. Regulatory Knowledge: Keeping up-to-date with the latest accounting standards and financial regulations. 
3. Technical Proficiency: Improving your proficiency with accounting software and financial modeling tools.
Networking
1.Professional Associations: Encouragement to join and actively participate in professional accounting and finance associations.
2.Industry Events: Identifying and attending relevant industry conferences, seminars, and workshops to expand your professional network.
Feedback and Improvement
1.Performance Reviews: Regular, constructive feedback on your work, with specific examples and actionable advice for improvement.
2.Continuous Learning: Recommendations for courses, certifications, and other learning opportunities to stay ahead in your field.
Leadership Skills
1. Project Management: Developing skills to lead and manage financial projects effectively.
Mentorship and Coaching: Learning how to mentor junior colleagues and provide effective coaching.
happy to amend any point above</t>
  </si>
  <si>
    <t>5643635</t>
  </si>
  <si>
    <t>Armando Antonio</t>
  </si>
  <si>
    <t>FNB Mozambique (Manuel Come Come)</t>
  </si>
  <si>
    <t>Financial Services Business Partner</t>
  </si>
  <si>
    <t>Create Mentorship Event for Armando Antonio with Alcinda Moezelaar</t>
  </si>
  <si>
    <t>5275032</t>
  </si>
  <si>
    <t>Mumbi Odame</t>
  </si>
  <si>
    <t>Client Experience Design Head</t>
  </si>
  <si>
    <t>4653955</t>
  </si>
  <si>
    <t>Busi Mdumisi</t>
  </si>
  <si>
    <t>FNB Connect and Service Provider (Ashwin Gobind (Inherited))</t>
  </si>
  <si>
    <t>83100005537 FNB Connect Customer Support</t>
  </si>
  <si>
    <t>Create Mentorship Event for Busi Mdumisi with Mumbi Odame</t>
  </si>
  <si>
    <t>I would like to achieve the following through mentorship broaden my organizational knowledge for a possible career transition. I need career guidance and furthermore, build relationships and network.</t>
  </si>
  <si>
    <t>5503604</t>
  </si>
  <si>
    <t>Samantha Williams</t>
  </si>
  <si>
    <t>FirstRand Short Term Insurance (Onkgopotse Moeletsi)</t>
  </si>
  <si>
    <t>79900010214 ST PLOC Claims</t>
  </si>
  <si>
    <t>Legal Advisor Law on Call</t>
  </si>
  <si>
    <t>Create Mentorship Event for Samantha Williams with Yasmin Kadwa</t>
  </si>
  <si>
    <t>I am interested in transitioning into the marketing field. This mentorship relationship would allow me to learn from someone who has been where I want to go, offering insights into the industry, networking opportunities, and advice on career development.
I am hoping my mentee will provide guidance and support as I work towards my personal and professional goals.</t>
  </si>
  <si>
    <t>5310857</t>
  </si>
  <si>
    <t>Modjadji Mashego (Terminated)</t>
  </si>
  <si>
    <t>Create Mentorship Event for Modjadji Mashego (Terminated) with Pontso Mohlotsane</t>
  </si>
  <si>
    <t>Good Day Mrs. Williams,
I would like to learn more and get exposure about the HR functions with the organization. I am specifically interested in areas such as Learning and Development as well as selection and recruitment. Other areas of interest are HR soft skills that one should have while working in the Human Resources field.
I have only ever worked for FNB and have never put my qualification in the HR field to use and that is why I am very eager to learn. Having access to a Mentor will really broaden my horizon beyond what I have learned.
www.linkedin.com/in/otilie-sameul-a80130137</t>
  </si>
  <si>
    <t>4874862</t>
  </si>
  <si>
    <t>Otilie Sameul</t>
  </si>
  <si>
    <t>FNB Namibia Limited (Elsoline Hendricks)</t>
  </si>
  <si>
    <t>302000016045 FNB Namibia Retail Operations Support</t>
  </si>
  <si>
    <t>Client Support Specialist</t>
  </si>
  <si>
    <t>Create Mentorship Event for Otilie Sameul with Annastasia Williams</t>
  </si>
  <si>
    <t>5319579</t>
  </si>
  <si>
    <t>Samira Harris</t>
  </si>
  <si>
    <t>I would like you Mentor Me in order to develop and grow Learn New Things within the Business I have now worked for almost 5 years to be exact at Direct axis started in the Inbound Digicon/ Digital which Dissolved to end to end space I have Learnt a lot had Been Upskilled with Customer Services Income verifications and Communications I Believe that I need Growth Now I've In this department For long I need New challenges which will take me out of my comfort zone I have been applying on other roles as well to show case my skills I have applied on Some roles But I haven't been successful as yet
I have LQ 5 ( FAIS ) Matriculated in 2011</t>
  </si>
  <si>
    <t>FNB Personal Segment Advisory and Suites (Jillian April)</t>
  </si>
  <si>
    <t>97200011158 FNB PSAS Transact</t>
  </si>
  <si>
    <t>5230772</t>
  </si>
  <si>
    <t>Zimbini Mteza</t>
  </si>
  <si>
    <t>DirectAxis (Nafeesah Newman)</t>
  </si>
  <si>
    <t>99700015106 DA Business Unit 3</t>
  </si>
  <si>
    <t>Create Mentorship Event for Zimbini Mteza with Samira Harris</t>
  </si>
  <si>
    <t>2024721</t>
  </si>
  <si>
    <t>Gary Frank</t>
  </si>
  <si>
    <t>I would like to broaden my organizational knowledge and get guidance on the next step in my career. I would also appreciate assistance on relationship building and networking.
LinkedIn Profile: https://www.linkedin.com/in/clement-molapo?lipi=urn%3Ali%3Apage%3Ad_flagship3_profile_view_base_contact_details%3Bxu%2BhRwGYTOK87DnDK%2FkuNw%3D%3D</t>
  </si>
  <si>
    <t>5604729</t>
  </si>
  <si>
    <t>Clement Molapo</t>
  </si>
  <si>
    <t>FNB Commercial Core Juristic Platform (Chanel Meghrajh)</t>
  </si>
  <si>
    <t>34200009023 FNB Commercial CJP Credit Lending IT Architecture</t>
  </si>
  <si>
    <t>Create Mentorship Event for Clement Molapo with Gary Frank</t>
  </si>
  <si>
    <t>Hi Candice, I am a qualified Industrial Engineer, currently working in the bank as a team lead for Business Process Management in Core Banking Platform (CBP). I am looking to transition from Business process management and also get more exposure into what the rest of the business is about. I am keen to grow my career into a role that will afford me an opportunity to be exposed to strategy formulation and strategy execution, which I have had exposure to while I was in Management Consulting and I believe that Product Management could be a gateway for getting more exposure to strategy.
Though I may not particularly have Product Management experience, I believe that the analytical, problem solving, solution focused, people and stakeholder management skills I have acquired throughout my career would enable me to bring a different perspective in the Product Management space. In my current role, I do engage with various stakeholders, of which I am aware is a key skill required in Product Management. I have also been exposed to working and presenting to Exco forums throughout my career.
I would be delighted to be granted an opportunity to learn from you on what the role actually entails, and how to succeed in product management but also to truly ascertain whether this is indeed a role that will be suitable for me at this stage.
I have also attached a link to my LinkedIn Profile (as suggested on this Workday application form) so that you can get to know a little bit more about me and my career thus far and I suppose also see if I would be a good fit as a mentee that you can mentor.
I do hope to hear back from you soon.
LinkedIn Profile Link:  www.linkedin.com/in/mbali-modjela-7a62435a</t>
  </si>
  <si>
    <t>5126703</t>
  </si>
  <si>
    <t>Mbali Modjela</t>
  </si>
  <si>
    <t>FNB Private Core Banking (Chanel Mudaly)</t>
  </si>
  <si>
    <t>41200004426 FNB Private Core Banking Credit Risk and Analytics</t>
  </si>
  <si>
    <t>Create Mentorship Event for Mbali Modjela with Candice Lee Kondominas</t>
  </si>
  <si>
    <t>5251443</t>
  </si>
  <si>
    <t>Nicki Hill</t>
  </si>
  <si>
    <t>I have 14 years banking experience, rooted in sales &amp; services and my long-term career goal is to be CX specialist in the financial industry because my passion is service. Therefore, customer service is very dear to my heart, and I am requesting you Ms Nicki to be my career mentor as I belief your skills and knowledge and wisdom will brightly guide and empower me with necessary skills in crafting unforgettable customer journey, expand my experience, build my confidence, advance my career position.</t>
  </si>
  <si>
    <t>FNB Personal Segment Advisory and Suites (Monique Smith)</t>
  </si>
  <si>
    <t>97200008195 PSAS CVP, Digital, CEX</t>
  </si>
  <si>
    <t>Customer Experience Head</t>
  </si>
  <si>
    <t>4768299</t>
  </si>
  <si>
    <t>Tumi Kgaswane</t>
  </si>
  <si>
    <t>FNB Commercial EFT (Gerjo Schreuder)</t>
  </si>
  <si>
    <t>Create Mentorship Event for Tumi Kgaswane with Nicki Hill</t>
  </si>
  <si>
    <t>5546885</t>
  </si>
  <si>
    <t>Mongezi Mahlangu</t>
  </si>
  <si>
    <t>I would like insight on different accounting and administration that the First Rand Group uses to better equip myself for career opportunities. My previous mentor resigned recently and I was left without all my objectives being met.</t>
  </si>
  <si>
    <t>FNB Commercial TxP (Phillip Mthimunye)</t>
  </si>
  <si>
    <t>39800003339 FNB Commercial TxP Finance</t>
  </si>
  <si>
    <t>Create Mentorship Event for Keamogetswe Sema (Terminated) with Mongezi Mahlangu</t>
  </si>
  <si>
    <t>5464692</t>
  </si>
  <si>
    <t>Deseree Noxolo Gumede</t>
  </si>
  <si>
    <t>FNB eBucks (Raeesah Karriem)</t>
  </si>
  <si>
    <t>25600005675 FNB eBucks User Experience</t>
  </si>
  <si>
    <t>Usability Interface Specialist</t>
  </si>
  <si>
    <t>4659678</t>
  </si>
  <si>
    <t>Sipho Maseko</t>
  </si>
  <si>
    <t>FNB Commercial Projects and Operations (Luvo Mabandla)</t>
  </si>
  <si>
    <t>34200009237 FNB Commercial Fulfilment Core</t>
  </si>
  <si>
    <t>Create Mentorship Event for Sipho Maseko with Deseree Noxolo Gumede</t>
  </si>
  <si>
    <t>As a young man only new to the workspace, I believe it's ideal and vital for me to seek mentorship for an easier integration into the corporate industry. Furthermore, getting career guidance from an individual with more years of experience in the workplace would contribute to my personal growth, career wise. Below are other points that find this initiative purposeful;
Mentor within the bank can help teach the banking culture as a whole (As I am relatively new to the organization)
Leadership skills and development skills
Networking Skills
Problem solving and conflict resolutions within the workplace</t>
  </si>
  <si>
    <t>8870507</t>
  </si>
  <si>
    <t>Thato Thamage (Terminated)</t>
  </si>
  <si>
    <t>Create Mentorship Event for Thato Thamage (Terminated) with Collen Tshebo</t>
  </si>
  <si>
    <t>Mentorship on management career path</t>
  </si>
  <si>
    <t>8872029</t>
  </si>
  <si>
    <t>Kaahsifa Ahmed</t>
  </si>
  <si>
    <t>Chief Digital Office Kernel (Patience Malumba)</t>
  </si>
  <si>
    <t>Close Mentorship Event for Kaahsifa Ahmed with Elvira Krishna
Create Mentorship Event for Kaahsifa Ahmed with Elvira Krishna</t>
  </si>
  <si>
    <t>3415546</t>
  </si>
  <si>
    <t>Nondumiso Motlhala</t>
  </si>
  <si>
    <t>As someone currently participating in the Khula Leadership Program, I have been working diligently on developing my leadership skills and nurturing strong relationships with my mentors.
This program has been invaluable in helping me grow, both professionally and personally.
Joining the Mentorship Program aligns with my ongoing journey of self-development. I believe that the guidance and support offered through the program will not only help me refine my leadership capabilities but also broaden my perspective in areas where I seek further growth. I understand the importance of professionalism and maintaining a positive relationship with mentors, both of which I value deeply.
Being part of the Mentorship Program would provide an excellent opportunity for me to receive structured feedback, enhance my problem-solving skills, and gain insights from experienced professionals who can help me navigate the challenges and opportunities in my career. It would also allow me to contribute meaningfully to the organization by becoming more effective in my role.</t>
  </si>
  <si>
    <t>FNB Commercial Sales Gauteng North (Selvan Govender)</t>
  </si>
  <si>
    <t>4791789</t>
  </si>
  <si>
    <t>Noluthando Ndlovu (Terminated)</t>
  </si>
  <si>
    <t>Create Mentorship Event for Noluthando Ndlovu (Terminated) with Nondumiso Motlhala</t>
  </si>
  <si>
    <t>4814762</t>
  </si>
  <si>
    <t>Dean Sauls</t>
  </si>
  <si>
    <t>FNB Points of Presence (Ayanda Ngema)</t>
  </si>
  <si>
    <t>38100000930 FNB POP SSD GN-Main</t>
  </si>
  <si>
    <t>Create Mentorship Event for Dean Sauls with Sipho Khumalo</t>
  </si>
  <si>
    <t>4735897</t>
  </si>
  <si>
    <t>Bertus Huisman</t>
  </si>
  <si>
    <t>As per the RMB credit mentoring program.</t>
  </si>
  <si>
    <t>RMBSA IBD Legal, Risk and Compliance (Werner Van Oudenhove De St Gery)</t>
  </si>
  <si>
    <t>77800000SFC RMBSA IBD Structured Credit Analysts</t>
  </si>
  <si>
    <t>3436470</t>
  </si>
  <si>
    <t>Doug Mundopa</t>
  </si>
  <si>
    <t>RMBSA TTS Credit Analysts (Tokollo Matsapola)</t>
  </si>
  <si>
    <t>77800000SFA RMBSA IBD Credit Analysts</t>
  </si>
  <si>
    <t>Create Mentorship Event for Doug Mundopa with Bertus Huisman</t>
  </si>
  <si>
    <t>5508576</t>
  </si>
  <si>
    <t>Tumelo Nkwane</t>
  </si>
  <si>
    <t>FNB Retail CDAO (Carmelita Adams)</t>
  </si>
  <si>
    <t>5910151530 FNB Retail CDAO DA Marketing</t>
  </si>
  <si>
    <t>Market Research Analyst</t>
  </si>
  <si>
    <t>Create Mentorship Event for Tumelo Nkwane with Athena Botha</t>
  </si>
  <si>
    <t>2694972</t>
  </si>
  <si>
    <t>Jason Nader</t>
  </si>
  <si>
    <t>I would like to develop my leadership skills in preparation for my next role. What I would like to get out of this mentorship is:
An understanding of what leadership looks like at corporate level
Career guidance
Develop leadership skills
Manage a career transition
Relationship building and networking
LinkedIn profile: Khathutshelo Shaun Matidza | LinkedIn</t>
  </si>
  <si>
    <t>65100004404 FNB Premium Cash Investments Development</t>
  </si>
  <si>
    <t>Business Development Head</t>
  </si>
  <si>
    <t>5234824</t>
  </si>
  <si>
    <t>Khathutshelo Shaun Matidza</t>
  </si>
  <si>
    <t>RMBSA Global Markets Technology PAQT Team C (Moeketsi Msimango)</t>
  </si>
  <si>
    <t>77800000BTT RMBSA Global Markets Technology PAQT</t>
  </si>
  <si>
    <t>Create Mentorship Event for Khathutshelo Shaun Matidza with Jason Nader</t>
  </si>
  <si>
    <t>4533151</t>
  </si>
  <si>
    <t>Jean Du Plessis</t>
  </si>
  <si>
    <t>Mentorships as communicated.</t>
  </si>
  <si>
    <t>RMBSA LRC Credit Risk Management (Thabani Zungu)</t>
  </si>
  <si>
    <t>77800000CRD RMBSA Credit Risk South Africa Team</t>
  </si>
  <si>
    <t>Workout and Debt Restructuring Specialist</t>
  </si>
  <si>
    <t>4889320</t>
  </si>
  <si>
    <t>Jean Erasmus (Terminated)</t>
  </si>
  <si>
    <t>Create Mentorship Event for Jean Erasmus (Terminated) with Jean Du Plessis</t>
  </si>
  <si>
    <t>I would like to unpack my current skills set and explore opportunities to enhance my skills and explore new career paths within the group.</t>
  </si>
  <si>
    <t>4710169</t>
  </si>
  <si>
    <t>Lizanne Philander</t>
  </si>
  <si>
    <t>RMBSA Global Markets Operations Custody Client Services (Trenton Booth)</t>
  </si>
  <si>
    <t>77800000OPV RMBSA Global Markets Operations Custody Client Services</t>
  </si>
  <si>
    <t>Custody Client Service Specialist</t>
  </si>
  <si>
    <t>Create Mentorship Event for Lizanne Philander with Mumbi Odame</t>
  </si>
  <si>
    <t>3004473</t>
  </si>
  <si>
    <t>Raymond Tyler</t>
  </si>
  <si>
    <t>To grow my skills and knowledge in Risk Management as part of development for my next role</t>
  </si>
  <si>
    <t>FNB Retail COO (Sthokozile Zwezwe (Inherited))</t>
  </si>
  <si>
    <t>69000015126 FNB COO LRC</t>
  </si>
  <si>
    <t>3596826</t>
  </si>
  <si>
    <t>Tumelo Thoka</t>
  </si>
  <si>
    <t>FNB Fiduciary (Nqobile Gigaba)</t>
  </si>
  <si>
    <t>Quality Assurance Manager</t>
  </si>
  <si>
    <t>Create Mentorship Event for Tumelo Thoka with Raymond Tyler</t>
  </si>
  <si>
    <t>3830810</t>
  </si>
  <si>
    <t>Aneshree Pather</t>
  </si>
  <si>
    <t>Career guidance</t>
  </si>
  <si>
    <t>FNB HSL (Vasna Ramdass)</t>
  </si>
  <si>
    <t>38500008977 HSL. Product Insurance and CVM</t>
  </si>
  <si>
    <t>Document Specialist</t>
  </si>
  <si>
    <t>5514355</t>
  </si>
  <si>
    <t>Makailia Manthary</t>
  </si>
  <si>
    <t>FirstRand Short Term Insurance (Alan Pullin)</t>
  </si>
  <si>
    <t>79900010216 ST Comp claims</t>
  </si>
  <si>
    <t>Controller</t>
  </si>
  <si>
    <t>Create Mentorship Event for Makailia Manthary with Aneshree Pather</t>
  </si>
  <si>
    <t>3527328</t>
  </si>
  <si>
    <t>Leon Sharfman</t>
  </si>
  <si>
    <t>RMB Credit mentorship programme</t>
  </si>
  <si>
    <t>RMBSA TTS LRC Credit Risk Management (Bertus Huisman)</t>
  </si>
  <si>
    <t>Credit Team Lead</t>
  </si>
  <si>
    <t>8870268</t>
  </si>
  <si>
    <t>Tshilidzi Loyd Mufamadi (Terminated)</t>
  </si>
  <si>
    <t>Create Mentorship Event for Tshilidzi Loyd Mufamadi (Terminated) with Leon Sharfman</t>
  </si>
  <si>
    <t>3458652</t>
  </si>
  <si>
    <t>Thembi Ngobeni</t>
  </si>
  <si>
    <t>For purposes of the RMB credit program</t>
  </si>
  <si>
    <t>8873260</t>
  </si>
  <si>
    <t>Faith Duff</t>
  </si>
  <si>
    <t>Create Mentorship Event for Faith Duff with Thembi Ngobeni</t>
  </si>
  <si>
    <t>3434591</t>
  </si>
  <si>
    <t>Riaz Shaik</t>
  </si>
  <si>
    <t>I am a person of many interests. One of them being a system administrator. I have worked at a web hosting company before so I do have an understanding of the kind of work is done (at least within that industry) but I the problem I have is the practical experience. At some point, I created a virtual machine on my home computer with Linux installed but I always felt that it never gave me what I was looking for which is to be able to work with the systems of the business as the configuration and setups are completely different.
I have an understanding of Python as well and currently practicing at home when I can (still beginner). I would like to improve both skills in order to get a career in that field.</t>
  </si>
  <si>
    <t>Software Architect</t>
  </si>
  <si>
    <t>5578485</t>
  </si>
  <si>
    <t>Zaheer Badroodien</t>
  </si>
  <si>
    <t>DirectAxis (Ulrich Van Wijngaarden)</t>
  </si>
  <si>
    <t>99700015108 DA Scripting</t>
  </si>
  <si>
    <t>User Experience Writer</t>
  </si>
  <si>
    <t>Close Mentorship Event for Zaheer Badroodien with Riaz Shaik
Create Mentorship Event for Zaheer Badroodien with Riaz Shaik</t>
  </si>
  <si>
    <t>3955125</t>
  </si>
  <si>
    <t>Shaun Rampersad</t>
  </si>
  <si>
    <t>Technical Up-Skillin</t>
  </si>
  <si>
    <t>CDO Infrastructure and Security Services (Maryke Bester)</t>
  </si>
  <si>
    <t>20700002565 CDO Infrastructure and Security Services Containers</t>
  </si>
  <si>
    <t>Systems Architect</t>
  </si>
  <si>
    <t>5348366</t>
  </si>
  <si>
    <t>Dustan Bedhasie</t>
  </si>
  <si>
    <t>FNB Core Banking Platform (Megan Schaffers)</t>
  </si>
  <si>
    <t>59600007235 FNB Personal and Private IT Home Loans IT Systems</t>
  </si>
  <si>
    <t>Systems Administrator</t>
  </si>
  <si>
    <t>Create Mentorship Event for Dustan Bedhasie with Shaun Rampersad</t>
  </si>
  <si>
    <t>5391458</t>
  </si>
  <si>
    <t>Cuthbert (Sedutla) Sekgotodi</t>
  </si>
  <si>
    <t>I am looking to get into a role that that will allow me to detect, resolve and mitigate against organizational inefficiencies.</t>
  </si>
  <si>
    <t>5512026</t>
  </si>
  <si>
    <t>Katlego Maphutha</t>
  </si>
  <si>
    <t>Create Mentorship Event for Katlego Maphutha with Cuthbert (Sedutla) Sekgotodi</t>
  </si>
  <si>
    <t>As per RMB Credit Mentor programme</t>
  </si>
  <si>
    <t>5335280</t>
  </si>
  <si>
    <t>Bavanisha Varaden</t>
  </si>
  <si>
    <t>Create Mentorship Event for Bavanisha Varaden with Bertus Huisman</t>
  </si>
  <si>
    <t>4527798</t>
  </si>
  <si>
    <t>Handri Kymdell</t>
  </si>
  <si>
    <t>RMBSA LRC Credit Risk Management (Noah Ngcobo)</t>
  </si>
  <si>
    <t>77800000GCP RMBSA Broader Africa Credit Risk Management Team</t>
  </si>
  <si>
    <t>Credit Origination Head Broader Africa</t>
  </si>
  <si>
    <t>5632838</t>
  </si>
  <si>
    <t>Desmond Medupe (Terminated)</t>
  </si>
  <si>
    <t>Create Mentorship Event for Desmond Medupe (Terminated) with Handri Kymdell</t>
  </si>
  <si>
    <t>4519523</t>
  </si>
  <si>
    <t>Willy Robinson</t>
  </si>
  <si>
    <t>RMB Credit mentoring programme</t>
  </si>
  <si>
    <t>Credit Executive Sponsor</t>
  </si>
  <si>
    <t>5100038</t>
  </si>
  <si>
    <t>Snazo Maepane</t>
  </si>
  <si>
    <t>FNB Chief Financial Office (Gideon Joubert)</t>
  </si>
  <si>
    <t>39400001969 FNB Finance and Support Executive Support</t>
  </si>
  <si>
    <t>Functional Business Planning and Delivery Specialist</t>
  </si>
  <si>
    <t>Create Mentorship Event for Snazo Maepane with Willy Robinson</t>
  </si>
  <si>
    <t>3455920</t>
  </si>
  <si>
    <t>Mmajobo Tsholo</t>
  </si>
  <si>
    <t>77800000BCR RMBSA Global Markets Credit Risk</t>
  </si>
  <si>
    <t>5640555</t>
  </si>
  <si>
    <t>Morathi Ramokgopa</t>
  </si>
  <si>
    <t>Create Mentorship Event for Morathi Ramokgopa with Mmajobo Tsholo</t>
  </si>
  <si>
    <t>4526058</t>
  </si>
  <si>
    <t>Wilhelm Pauer</t>
  </si>
  <si>
    <t>Credit Executive</t>
  </si>
  <si>
    <t>5389984</t>
  </si>
  <si>
    <t>Precious Monareng</t>
  </si>
  <si>
    <t>RMBSA TTS Trade and Working Capital Transactors (Francois Van Der Plas)</t>
  </si>
  <si>
    <t>77800000TAW RMBSA TTS Trade and Working Capital</t>
  </si>
  <si>
    <t>Transactor</t>
  </si>
  <si>
    <t>Create Mentorship Event for Precious Monareng with Wilhelm Pauer</t>
  </si>
  <si>
    <t>3259803</t>
  </si>
  <si>
    <t>Jan Botha</t>
  </si>
  <si>
    <t>5091853</t>
  </si>
  <si>
    <t>Andrea Andre (Terminated)</t>
  </si>
  <si>
    <t>Create Mentorship Event for Andrea Andre (Terminated) with Jan Botha</t>
  </si>
  <si>
    <t>4521250</t>
  </si>
  <si>
    <t>Terence O'Neill</t>
  </si>
  <si>
    <t>5335795</t>
  </si>
  <si>
    <t>Michael Mills</t>
  </si>
  <si>
    <t>RMBSA TTS Credit Analysts (Simone Burger)</t>
  </si>
  <si>
    <t>Create Mentorship Event for Michael Mills with Terence O'Neill</t>
  </si>
  <si>
    <t>Career Interests
Leadership has been a keen interest of mine since I started my MBA program. I look forward to a more challenging and strategic role with a long-term view and implementation plan. Business Development within the retail space has been a good building block to exercise some managerial expertise and I would love to expand that expertise to include people management, organizational strategy and planning.</t>
  </si>
  <si>
    <t>4975189</t>
  </si>
  <si>
    <t>Yonela Mgwedli</t>
  </si>
  <si>
    <t>Create Mentorship Event for Yonela Mgwedli with Jason Nader</t>
  </si>
  <si>
    <t>5493862</t>
  </si>
  <si>
    <t>Mangi Mahlaba</t>
  </si>
  <si>
    <t>RMBSA IBD Credit Analysts (Danny Ma)</t>
  </si>
  <si>
    <t>Create Mentorship Event for Mangi Mahlaba with Willy Robinson</t>
  </si>
  <si>
    <t>5400430</t>
  </si>
  <si>
    <t>Maite Leshabane (Terminated)</t>
  </si>
  <si>
    <t>Create Mentorship Event for Maite Leshabane (Terminated) with Terence O'Neill</t>
  </si>
  <si>
    <t>4516850</t>
  </si>
  <si>
    <t>Werner Van Oudenhove De St Gery</t>
  </si>
  <si>
    <t>RMBSA Investment Banking Division (IBD) (Ashwin Lakhan)</t>
  </si>
  <si>
    <t>77800000EXC RMBSA IBD Executives</t>
  </si>
  <si>
    <t>Chief Risk Officer Sponsor and IBD</t>
  </si>
  <si>
    <t>4874129</t>
  </si>
  <si>
    <t>Danny Ma</t>
  </si>
  <si>
    <t>RMBSA IBD LRC Credit Risk Management (Thembi Ngobeni)</t>
  </si>
  <si>
    <t>Create Mentorship Event for Danny Ma with Werner Van Oudenhove De St Gery</t>
  </si>
  <si>
    <t>4632303</t>
  </si>
  <si>
    <t>J.R. Hume</t>
  </si>
  <si>
    <t>5132649</t>
  </si>
  <si>
    <t>Nitesh Khemchandani [C]</t>
  </si>
  <si>
    <t>RMB International Subs (Pankaj Shah [C])</t>
  </si>
  <si>
    <t>India</t>
  </si>
  <si>
    <t>77800000IBH FRSPL India Office</t>
  </si>
  <si>
    <t>Country Analyst</t>
  </si>
  <si>
    <t>Create Mentorship Event for Nitesh Khemchandani [C] with J.R. Hume</t>
  </si>
  <si>
    <t>5186838</t>
  </si>
  <si>
    <t>Tsholofelo Mathye</t>
  </si>
  <si>
    <t>As per Grow First PDF</t>
  </si>
  <si>
    <t>FNB Wealth (Daniel Malete)</t>
  </si>
  <si>
    <t>5330475</t>
  </si>
  <si>
    <t>Deepam Gopal (Terminated)</t>
  </si>
  <si>
    <t>Create Mentorship Event for Deepam Gopal (Terminated) with Tsholofelo Mathye</t>
  </si>
  <si>
    <t>2098423</t>
  </si>
  <si>
    <t>Fazia Parker</t>
  </si>
  <si>
    <t>I would like to learn more about leadership styles</t>
  </si>
  <si>
    <t>RMBSA IBD Operations Collateral Management (Marisa Gilbert)</t>
  </si>
  <si>
    <t>77800000LAC RMBSA IBD Operations Collateral Management</t>
  </si>
  <si>
    <t>Collateral Specialist</t>
  </si>
  <si>
    <t>3798305</t>
  </si>
  <si>
    <t>Lettisha Sooknannan</t>
  </si>
  <si>
    <t>CDO Kernel (Doreen Mnisi)</t>
  </si>
  <si>
    <t>79000003718 FNB Enablement OCIO PMO</t>
  </si>
  <si>
    <t>Senior Project Manager</t>
  </si>
  <si>
    <t>Create Mentorship Event for Lettisha Sooknannan with Fazia Parker</t>
  </si>
  <si>
    <t>5136628</t>
  </si>
  <si>
    <t>Mayuri Ravjee</t>
  </si>
  <si>
    <t>5623391</t>
  </si>
  <si>
    <t>Ushenka Angath</t>
  </si>
  <si>
    <t>RMBSA TTS Credit Analysts (Bavanisha Varaden)</t>
  </si>
  <si>
    <t>Create Mentorship Event for Ushenka Angath with Mayuri Ravjee</t>
  </si>
  <si>
    <t>4657810</t>
  </si>
  <si>
    <t>Coenraad Pretorius</t>
  </si>
  <si>
    <t>To help me understand the PMO space better, give advise whilst i study Project Management, help me navigate through this journey.</t>
  </si>
  <si>
    <t>FNB Loans (Priscilla Gerber)</t>
  </si>
  <si>
    <t>4886658</t>
  </si>
  <si>
    <t>Vanesa Reid</t>
  </si>
  <si>
    <t>FNB HSL. (Natasha Naidoo)</t>
  </si>
  <si>
    <t>21200003096 Home Finance Product Department</t>
  </si>
  <si>
    <t>Create Mentorship Event for Vanesa Reid with Coenraad Pretorius</t>
  </si>
  <si>
    <t>5185270</t>
  </si>
  <si>
    <t>Chetna Patel</t>
  </si>
  <si>
    <t>Create Mentorship Event for Chetna Patel with Bertus Huisman</t>
  </si>
  <si>
    <t>5601088</t>
  </si>
  <si>
    <t>Nondumiso Blose</t>
  </si>
  <si>
    <t>Create Mentorship Event for Nondumiso Blose with Mayuri Ravjee</t>
  </si>
  <si>
    <t>5184851</t>
  </si>
  <si>
    <t>Annanda Basson</t>
  </si>
  <si>
    <t>To help me grow within my career
To extract the potential</t>
  </si>
  <si>
    <t>RMBSA Global Markets Technology (Thomas Evje)</t>
  </si>
  <si>
    <t>77800000BMU RMBSA Global Markets Technology Murex</t>
  </si>
  <si>
    <t>Business Technology Head</t>
  </si>
  <si>
    <t>5660947</t>
  </si>
  <si>
    <t>Tumelo Mabiletsa</t>
  </si>
  <si>
    <t>RMBSA Global Markets Technology Murex Team C (Lizelle Fouche)</t>
  </si>
  <si>
    <t>Murex Specialist</t>
  </si>
  <si>
    <t>Create Mentorship Event for Tumelo Mabiletsa with Annanda Basson
Edit Mentorship Event for Tumelo Mabiletsa with Annanda Basson</t>
  </si>
  <si>
    <t>4524136</t>
  </si>
  <si>
    <t>Lambrie Van Straaten</t>
  </si>
  <si>
    <t>RMBSA LRC Credit Risk Management South Africa (Pete Cottrell)</t>
  </si>
  <si>
    <t>5058937</t>
  </si>
  <si>
    <t>Tshaimo Seanego</t>
  </si>
  <si>
    <t>RMB Segment (Marnus Breed)</t>
  </si>
  <si>
    <t>77800000QTS RMBSA Credit Risk Portfolio Management</t>
  </si>
  <si>
    <t>Credit Quantitative Analyst</t>
  </si>
  <si>
    <t>Create Mentorship Event for Tshaimo Seanego with Lambrie Van Straaten</t>
  </si>
  <si>
    <t>5597862</t>
  </si>
  <si>
    <t>Nina Claasen</t>
  </si>
  <si>
    <t>RMBSA IBD Credit Analysts (Senzo Manzini)</t>
  </si>
  <si>
    <t>Create Mentorship Event for Nina Claasen with Lambrie Van Straaten</t>
  </si>
  <si>
    <t>3527018</t>
  </si>
  <si>
    <t>Thabang Moroa</t>
  </si>
  <si>
    <t>77800000RAX RMBSA Broader Africa Cross-functional Executive Leadership Team</t>
  </si>
  <si>
    <t>5353793</t>
  </si>
  <si>
    <t>Thobi Khumalo</t>
  </si>
  <si>
    <t>RMBSA Investment Banking Division (Siyanda Mflathelwa)</t>
  </si>
  <si>
    <t>77800000IFS RMBSA IBD Infrastructure Finance</t>
  </si>
  <si>
    <t>Create Mentorship Event for Thobi Khumalo with Thabang Moroa</t>
  </si>
  <si>
    <t>4830938</t>
  </si>
  <si>
    <t>Kefiloe Mphatwe</t>
  </si>
  <si>
    <t>RMBSA Finance (Lunga Boyana)</t>
  </si>
  <si>
    <t>77800000FPC RMBSA Central Finance Leadership Team</t>
  </si>
  <si>
    <t>Create Mentorship Event for Kefiloe Mphatwe with Thembi Ngobeni</t>
  </si>
  <si>
    <t>5368243</t>
  </si>
  <si>
    <t>Dayan Du Toit</t>
  </si>
  <si>
    <t>Create Mentorship Event for Dayan Du Toit with Thembi Ngobeni</t>
  </si>
  <si>
    <t>Create Mentorship Event for Mayuri Ravjee with Thembi Ngobeni</t>
  </si>
  <si>
    <t>3725203</t>
  </si>
  <si>
    <t>Smangele Majola</t>
  </si>
  <si>
    <t>To assist to transition to product house after completing short course. I'd like to match the knowledge i'd be acquiring to the actual duties in product house.</t>
  </si>
  <si>
    <t>FNB Personal Core Banking (Thato Bapela)</t>
  </si>
  <si>
    <t>48100004398 FNB Personal Core Banking Hyper Segments and Niches</t>
  </si>
  <si>
    <t>5397162</t>
  </si>
  <si>
    <t>Laona Dikgole</t>
  </si>
  <si>
    <t>FNB Connect and Service Provider (Mondli Cele)</t>
  </si>
  <si>
    <t>83100005534 FNB Connect Technology</t>
  </si>
  <si>
    <t>Create Mentorship Event for Laona Dikgole with Smangele Majola</t>
  </si>
  <si>
    <t>3458342</t>
  </si>
  <si>
    <t>Prince Moloto (Terminated)</t>
  </si>
  <si>
    <t>Create Mentorship Event for Prince Moloto (Terminated) with Thembi Ngobeni</t>
  </si>
  <si>
    <t>5163536</t>
  </si>
  <si>
    <t>Denis Nhatumbo</t>
  </si>
  <si>
    <t>Career guidance and Character development</t>
  </si>
  <si>
    <t>CDO Infrastructure and Security Services (Vuyokazi Rozani)</t>
  </si>
  <si>
    <t>20700008475 CDO Networks and Security Services End User Support</t>
  </si>
  <si>
    <t>IT Support Technician Team Lead</t>
  </si>
  <si>
    <t>5443032</t>
  </si>
  <si>
    <t>Ofentse Ditsele</t>
  </si>
  <si>
    <t>FNB Wealth and Investments (Wicus Potgieter)</t>
  </si>
  <si>
    <t>31400008459 FNB WI SPM Willowbridge</t>
  </si>
  <si>
    <t>Portfolio Management Assistant</t>
  </si>
  <si>
    <t>Create Mentorship Event for Ofentse Ditsele with Denis Nhatumbo</t>
  </si>
  <si>
    <t>3526399</t>
  </si>
  <si>
    <t>David Johnson</t>
  </si>
  <si>
    <t>5484898</t>
  </si>
  <si>
    <t>Linda Shiba</t>
  </si>
  <si>
    <t>RMBSA TTS Operations Trade Operations Johannesburg (Chetna Patel)</t>
  </si>
  <si>
    <t>Create Mentorship Event for Linda Shiba with David Johnson</t>
  </si>
  <si>
    <t>4522990</t>
  </si>
  <si>
    <t>Colin Struwig</t>
  </si>
  <si>
    <t>3526747</t>
  </si>
  <si>
    <t>Marnus Breed</t>
  </si>
  <si>
    <t>RMBSA LRC Credit Risk Portfolio and Capital Management (J.R. Hume)</t>
  </si>
  <si>
    <t>Credit Quantitative Analytics Head</t>
  </si>
  <si>
    <t>Create Mentorship Event for Marnus Breed with Colin Struwig</t>
  </si>
  <si>
    <t>3604721</t>
  </si>
  <si>
    <t>Natasha Nadasen</t>
  </si>
  <si>
    <t>5465508</t>
  </si>
  <si>
    <t>Philip Karammel</t>
  </si>
  <si>
    <t>Create Mentorship Event for Philip Karammel with Natasha Nadasen</t>
  </si>
  <si>
    <t>3300943</t>
  </si>
  <si>
    <t>Nivesh Jivan</t>
  </si>
  <si>
    <t>Better integration into a team/business unit
Broaden organisational knowledge
Learn how to navigate the system</t>
  </si>
  <si>
    <t>FNB Dynamic Decisioning (Leone Van'T Zand)</t>
  </si>
  <si>
    <t>23900007172 FNB Dynamic Decisioning NLP Conversational AI</t>
  </si>
  <si>
    <t>5570603</t>
  </si>
  <si>
    <t>Fhulufhelo Ramphabana</t>
  </si>
  <si>
    <t>FNB Retail Strategic Credit and Analytics (Cornelda Faber)</t>
  </si>
  <si>
    <t>5910522100 FNB Retail Strategic Credit and Analytics</t>
  </si>
  <si>
    <t>Create Mentorship Event for Fhulufhelo Ramphabana with Nivesh Jivan</t>
  </si>
  <si>
    <t>5030374</t>
  </si>
  <si>
    <t>Ookame Maruping</t>
  </si>
  <si>
    <t>RMBSA IBD Real Estate Team A (Dylan Stevenson)</t>
  </si>
  <si>
    <t>77800000SFP RMBSA IBD Real Estate</t>
  </si>
  <si>
    <t>8871890</t>
  </si>
  <si>
    <t>Njabulo Hlophe</t>
  </si>
  <si>
    <t>RMBSA Global Markets NBFI Credit Risk (Gareth Viljoen)</t>
  </si>
  <si>
    <t>Create Mentorship Event for Njabulo Hlophe with Ookame Maruping</t>
  </si>
  <si>
    <t>5671159</t>
  </si>
  <si>
    <t>Andile Nkohliso</t>
  </si>
  <si>
    <t>Create Mentorship Event for Andile Nkohliso with Colin Struwig</t>
  </si>
  <si>
    <t>4529537</t>
  </si>
  <si>
    <t>Pete Cottrell</t>
  </si>
  <si>
    <t>5267986</t>
  </si>
  <si>
    <t>Senzo Manzini</t>
  </si>
  <si>
    <t>Create Mentorship Event for Senzo Manzini with Pete Cottrell</t>
  </si>
  <si>
    <t>5088844</t>
  </si>
  <si>
    <t>Mary Ramodisa</t>
  </si>
  <si>
    <t>FNB Dynamic Decisioning (Miranda Ntushelo)</t>
  </si>
  <si>
    <t>Create Mentorship Event for Mary Ramodisa with Betty Moabelo</t>
  </si>
  <si>
    <t>3529924</t>
  </si>
  <si>
    <t>Dolly Mphahlele (Terminated)</t>
  </si>
  <si>
    <t>I am looking for an opportunity where I would be involved in Consolidating and analysing financial data, considering business financial standing. Providing creative alternatives and recommendations to reduce costs and improve financial performance.  Assembling and summarizing data to structure sophisticated reports on financial status and risks.</t>
  </si>
  <si>
    <t>Create Mentorship Event for Tshepo Leroto with Dolly Mphahlele (Terminated)</t>
  </si>
  <si>
    <t>5171164</t>
  </si>
  <si>
    <t>Shanice Sunderpersadh</t>
  </si>
  <si>
    <t>FNB Commercial TxP (Lauren Deva)</t>
  </si>
  <si>
    <t>39800004465 FNB Commercial TxP Transact Products</t>
  </si>
  <si>
    <t>5502357</t>
  </si>
  <si>
    <t>Meera Bhana</t>
  </si>
  <si>
    <t>FNB Private Core Banking (Bhavnesh Vallabh)</t>
  </si>
  <si>
    <t>41200006384 FNB Private Core Banking Self Employed Value Propositions</t>
  </si>
  <si>
    <t>Create Mentorship Event for Meera Bhana with Shanice Sunderpersadh</t>
  </si>
  <si>
    <t>3604675</t>
  </si>
  <si>
    <t>Cameron Peel</t>
  </si>
  <si>
    <t>5547253</t>
  </si>
  <si>
    <t>Keziah Aiyer</t>
  </si>
  <si>
    <t>Banking Division (Dayan Du Toit)</t>
  </si>
  <si>
    <t>Create Mentorship Event for Keziah Aiyer with Cameron Peel</t>
  </si>
  <si>
    <t>5001439</t>
  </si>
  <si>
    <t>Mitesh Makan</t>
  </si>
  <si>
    <t>FNB COO Head Office (Dane Liebenberg)</t>
  </si>
  <si>
    <t>69000005399 FNB Retail Platform Enablement</t>
  </si>
  <si>
    <t>Solutions Platform Manager</t>
  </si>
  <si>
    <t>5586585</t>
  </si>
  <si>
    <t>Simbani Banda</t>
  </si>
  <si>
    <t>FNB Zambia Operations (Chiti Ndhlovu)</t>
  </si>
  <si>
    <t>Create Mentorship Event for Simbani Banda with Mitesh Makan</t>
  </si>
  <si>
    <t>3834654</t>
  </si>
  <si>
    <t>Mante Mothiba</t>
  </si>
  <si>
    <t>Career guidance - looking to switch careers from Data Analytics to Asset Management.</t>
  </si>
  <si>
    <t>FNB Cash Investments (Komal Dhoolab)</t>
  </si>
  <si>
    <t>65100006551 FNB Premium Cash Investments Liabilities</t>
  </si>
  <si>
    <t>Investment Specialist</t>
  </si>
  <si>
    <t>5429331</t>
  </si>
  <si>
    <t>Ndivho Mamathuba</t>
  </si>
  <si>
    <t>FNB Loans (Ben Pillay)</t>
  </si>
  <si>
    <t>Create Mentorship Event for Ndivho Mamathuba with Mante Mothiba</t>
  </si>
  <si>
    <t>3760073</t>
  </si>
  <si>
    <t>Zaheer Moosa</t>
  </si>
  <si>
    <t>The purpose of this mentorship is to further develop my knowledge and leadership capabilities, while also seeking valuable guidance to support my career progression.</t>
  </si>
  <si>
    <t>FNB Core Banking Platform (Reuben Pretorius)</t>
  </si>
  <si>
    <t>4992903</t>
  </si>
  <si>
    <t>Ashante Maitin</t>
  </si>
  <si>
    <t>FNB Core Banking Platform (Zaheer Moosa)</t>
  </si>
  <si>
    <t>Production Support Specialist</t>
  </si>
  <si>
    <t>Create Mentorship Event for Ashante Maitin with Zaheer Moosa</t>
  </si>
  <si>
    <t>I would like the guidance of a mentor to assist me navigate my career and other key areas which affect my growth.
I currently find myself feeling stagnated and I am not certain which direction I should take to move forward and grow.</t>
  </si>
  <si>
    <t>5583136</t>
  </si>
  <si>
    <t>Oarabile Moshoeu</t>
  </si>
  <si>
    <t>FirstRand Short Term Insurance (Harold Thafeni)</t>
  </si>
  <si>
    <t>Paralegal Secretary</t>
  </si>
  <si>
    <t>Create Mentorship Event for Oarabile Moshoeu with Yasmin Kadwa</t>
  </si>
  <si>
    <t>2745232</t>
  </si>
  <si>
    <t>John Cronje</t>
  </si>
  <si>
    <t>Hi There,
Trust you are well
I am currently working as a User Experience Writer/Content Analyst, and I’m reaching out to seek your insights into the role of a Sales Specialist, as it aligns with my career aspirations.
I want to learn from someone who has already achieved success in the field and can guide me to enhance my knowledge.
With your guidance, I can feel more confident in turning prospects into customers.
I want to deepen my understanding of the market and industry to become a trusted partner in helping customers thrive.
I want to grow my network and access opportunities I wouldn’t find on my own.
I want to accelerate my career growth and prepare myself for leadership in sales.</t>
  </si>
  <si>
    <t>FNB Loans (Yaasin Nordien)</t>
  </si>
  <si>
    <t>79100005608 FNB Consumer Loans Support Operations</t>
  </si>
  <si>
    <t>4919157</t>
  </si>
  <si>
    <t>Meagan Fisher</t>
  </si>
  <si>
    <t>FNB Personal Segment Advisory and Suites (Meagan De Bruin)</t>
  </si>
  <si>
    <t>Close Mentorship Event for Meagan Fisher with John Cronje
Create Mentorship Event for Meagan Fisher with John Cronje</t>
  </si>
  <si>
    <t>5189365</t>
  </si>
  <si>
    <t>Shaun Caromba</t>
  </si>
  <si>
    <t>34100007661 PB&amp;A Inland Lowveld Wealth</t>
  </si>
  <si>
    <t>Channel Management Head</t>
  </si>
  <si>
    <t>8876149</t>
  </si>
  <si>
    <t>Khauhelo Mofokeng</t>
  </si>
  <si>
    <t>FNB Retail COO (Tech Tyatyaza)</t>
  </si>
  <si>
    <t>Create Mentorship Event for Khauhelo Mofokeng with Shaun Caromba</t>
  </si>
  <si>
    <t>Good Morning
Trust you are well.
I have a strong background in IT Asset Management and System Analysis. As a former IT Asset Management Team Leader, I led a team of 7 direct reports, managing IT assets for over 600 cost centers in both Branch and Support roles. My collaborative work with the BI team, Technology Managers, I&amp;SS, and project managers has significantly improved efficiency across the board. I hold a BCom degree in Supply Chain Management and have always sought opportunities for growth within the business.
I am looking for a mentor who will teach me more about the organization and teach me new skills.
Thank You</t>
  </si>
  <si>
    <t>4749073</t>
  </si>
  <si>
    <t>Farmeena Hoosen</t>
  </si>
  <si>
    <t>FNB Points of Presence (Elvira Krishna)</t>
  </si>
  <si>
    <t>Create Mentorship Event for Farmeena Hoosen with Coenraad Pretorius</t>
  </si>
  <si>
    <t>4834070</t>
  </si>
  <si>
    <t>Jolandi Wassermann (Terminated)</t>
  </si>
  <si>
    <t>2856204</t>
  </si>
  <si>
    <t>Prabashnee Govender</t>
  </si>
  <si>
    <t>FNB Commercial Projects and Operations (Natalie Rodrigues)</t>
  </si>
  <si>
    <t>34200003333 FNB Commercial National Sales Operations</t>
  </si>
  <si>
    <t>National Operations Manager</t>
  </si>
  <si>
    <t>Create Mentorship Event for Prabashnee Govender with Jolandi Wassermann (Terminated)</t>
  </si>
  <si>
    <t>4709179</t>
  </si>
  <si>
    <t>Elaine Knoetsec</t>
  </si>
  <si>
    <t>Career growth (Leadership Development)</t>
  </si>
  <si>
    <t>5003520</t>
  </si>
  <si>
    <t>Emelda Ndlovu</t>
  </si>
  <si>
    <t>FNB Private Banking and Advisory (Van Wyk Pienaar)</t>
  </si>
  <si>
    <t>34100007667 PB&amp;A Inland North West Wealth</t>
  </si>
  <si>
    <t>Create Mentorship Event for Emelda Ndlovu with Elaine Knoetsec</t>
  </si>
  <si>
    <t>4784545</t>
  </si>
  <si>
    <t>Lesego Nkepe</t>
  </si>
  <si>
    <t>To gain insights and advises from experienced leaders</t>
  </si>
  <si>
    <t>FNB Botswana Retail (Serwalo Mabotho)</t>
  </si>
  <si>
    <t>5028337</t>
  </si>
  <si>
    <t>Elmah Mosipi</t>
  </si>
  <si>
    <t>FNB Botswana Channels (Amantle Mphoeng (Inherited))</t>
  </si>
  <si>
    <t>Create Mentorship Event for Elmah Mosipi with Lesego Nkepe</t>
  </si>
  <si>
    <t>5244552</t>
  </si>
  <si>
    <t>Loren Johnson</t>
  </si>
  <si>
    <t>FNB Customer and Sales Interactions (Donovan Pretorius)</t>
  </si>
  <si>
    <t>99100007928 FNB Customer and Sales Interactions Analytics</t>
  </si>
  <si>
    <t>5604672</t>
  </si>
  <si>
    <t>Rekgethile Maduna</t>
  </si>
  <si>
    <t>99100009981 FNB Customer and Sales Interactions Enablement</t>
  </si>
  <si>
    <t>Create Mentorship Event for Rekgethile Maduna with Loren Johnson</t>
  </si>
  <si>
    <t>Broaden organisational knowledge
Career guidance
Develop leadership skills</t>
  </si>
  <si>
    <t>3821889</t>
  </si>
  <si>
    <t>Carla Blom</t>
  </si>
  <si>
    <t>FNB Commercial Core Juristic Platform (Bonokwakhe Mbuthu)</t>
  </si>
  <si>
    <t>Create Mentorship Event for Carla Blom with Gary Frank</t>
  </si>
  <si>
    <t>Throughout my tenure at FNB, I have admired your leadership and the remarkable achievements you have accomplished in the Customer Sales and Interactions space. Your strategic vision and ability to navigate complex challenges have been particularly inspiring to me. As I aspire to grow and make a significant impact in my field, I believe that your guidance and insights would be invaluable.
I am eager to learn from your experiences and am confident that your mentorship would not only help me enhance my skills but also provide me with the perspective needed to achieve my long-term career goals.
I am committed to making the most of this opportunity and am open to any format or schedule that suits you best.
LinkedIn - www.linkedin.com/in/shreyan-pale-24190817b</t>
  </si>
  <si>
    <t>5569982</t>
  </si>
  <si>
    <t>Shreyan Pale</t>
  </si>
  <si>
    <t>FNB Retail Legal Risk and Compliance (Naas Du Toit)</t>
  </si>
  <si>
    <t>Create Mentorship Event for Shreyan Pale with Maryke Venter</t>
  </si>
  <si>
    <t>5590949</t>
  </si>
  <si>
    <t>Mill Makanda</t>
  </si>
  <si>
    <t>Broaden organisational knowledge
Career guidance
Develop leadership skills
LinkedIN Profile link:
https://secure-web.cisco.com/1MomCdubGzNKq5aG_sarpVGhFjZxagcK9m5Lvscag-7YwiXg8KWC126cQAYHAJYivXv3O2PX9VA2S8oVQiggkOuIgv2F5hADIiYRhcazgZ2oOb7IZe_irVpPlz5YOiKR2AfJLhclJT3jmtrgYUHdqkb9eSIrZAoR6gKlnPG1QAKQe2jISUOxvxJvI2IkfQrOlg979yxdtuOpdG-qGo_sFe4OHnP_c4l9vsfCWgfR9fBcynoXrkUfJihsUPZYRmyN_eiXeOFKtkjPurPPYt_KRYB8J0kwIioZh4xQ3eXcADDywdoQIMxirzqRCReTjsrpZJsAnsMKdFloE1amtc3vDVg/https%3A%2F%2Fwww.linkedin.com%2Fin%2Fshingai-faith-chikoko-65043425%3Futm_source%3Dshare%26utm_campaign%3Dshare_via%26utm_content%3Dprofile%26utm_medium%3Dios_app</t>
  </si>
  <si>
    <t>FR Ashburton (Mduduzi Ndlovu)</t>
  </si>
  <si>
    <t>77400000OHO Ashburton Operations Management Team</t>
  </si>
  <si>
    <t>5617839</t>
  </si>
  <si>
    <t>Shingai Chikoko</t>
  </si>
  <si>
    <t>RMBSA Global Markets Operations GSS Custody (Nthabiseng Sehlapelo)</t>
  </si>
  <si>
    <t>77800000OPQ RMBSA Global Markets Operations Corporate Actions</t>
  </si>
  <si>
    <t>Custody Operations Manager</t>
  </si>
  <si>
    <t>Create Mentorship Event for Shingai Chikoko with Mill Makanda</t>
  </si>
  <si>
    <t>Require assistance to evolve and thrive in information management</t>
  </si>
  <si>
    <t>Create Mentorship Event for Kuvashni Krishna with Athena Botha</t>
  </si>
  <si>
    <t>5149584</t>
  </si>
  <si>
    <t>Nadira Umraw</t>
  </si>
  <si>
    <t>Obtain relevant practical experience within the Fiduciary environment due to career change.</t>
  </si>
  <si>
    <t>FNB Fiduciary (David Lovett)</t>
  </si>
  <si>
    <t>30300008732 FNB WI Fiduciary Administration DBN</t>
  </si>
  <si>
    <t>Create Mentorship Event for Mapule Mpoko with Nadira Umraw</t>
  </si>
  <si>
    <t>5612217</t>
  </si>
  <si>
    <t>Barbara Engle</t>
  </si>
  <si>
    <t>I am an application developer who started my career in insurance brokers. I've been with the team for 4-5 year where I have been promoted to a senior developer. I feel the need for a new journey as I no longer feel technically challenged. However, I find it difficult to look for new opportunities with the experience I have. I also find it difficult on knowing which technology I need to focus on, as there is so many to choose from. I would like to be full stack developer, but I feel stuck and need a sense of direction.</t>
  </si>
  <si>
    <t>FNB eBucks (Meshaan Ramgadhu (Inherited))</t>
  </si>
  <si>
    <t>25600005667 FNB eBucks Technology</t>
  </si>
  <si>
    <t>5335450</t>
  </si>
  <si>
    <t>Esronique Du Plessis</t>
  </si>
  <si>
    <t>First Risk and Advisory Services (Cynthia Mashego (Inherited))</t>
  </si>
  <si>
    <t>Create Mentorship Event for Esronique Du Plessis with Barbara Engle</t>
  </si>
  <si>
    <t>having Jacqueline Becker as a Mentor will assist me greatly. This is a step into achieving my career goal of understanding Smart Trade and business better .i love analyzing and understanding Processes /things to details.
i have watched her grow and excel in this particular role and always admired how she helps by contributing towards the busines.so with all that i believe having her to guide me in this career journey with her personal experiences will be of great help with me becoming the person i want to be.</t>
  </si>
  <si>
    <t>4811992</t>
  </si>
  <si>
    <t>Victory Mukhuwana</t>
  </si>
  <si>
    <t>FNB Real Estate Management Services (Yvette Eva Mkhatshwa)</t>
  </si>
  <si>
    <t>22300009629 REMS Fairland Catering</t>
  </si>
  <si>
    <t>Events Coordinator</t>
  </si>
  <si>
    <t>Create Mentorship Event for Victory Mukhuwana with Jacqueline Becker</t>
  </si>
  <si>
    <t>8020797</t>
  </si>
  <si>
    <t>Thirumala Pillay</t>
  </si>
  <si>
    <t>To help facilitate my personal and professional growth by providing guidance, support, and knowledge transfer from experienced mentors to mentees.</t>
  </si>
  <si>
    <t>FRCC RRM FR Group Compliance (Rozanne Gany)</t>
  </si>
  <si>
    <t>20200007959 FRCC RRM FR Group Compliance</t>
  </si>
  <si>
    <t>5557305</t>
  </si>
  <si>
    <t>Covani Govender</t>
  </si>
  <si>
    <t>FNB International SA (Nosikhumbuzo Mbelu Nxumalo)</t>
  </si>
  <si>
    <t>Create Mentorship Event for Covani Govender with Thirumala Pillay</t>
  </si>
  <si>
    <t>3458555</t>
  </si>
  <si>
    <t>Thabani Zungu</t>
  </si>
  <si>
    <t>RMB South Africa (Emrie Brown)</t>
  </si>
  <si>
    <t>77800000HOF RMBSA Executive Committee</t>
  </si>
  <si>
    <t>Chief Credit Officer</t>
  </si>
  <si>
    <t>5389992</t>
  </si>
  <si>
    <t>Thato Diko</t>
  </si>
  <si>
    <t>Create Mentorship Event for Thato Diko with Thabani Zungu</t>
  </si>
  <si>
    <t>Create Mentorship Event for Ookame Maruping with Thabani Zungu</t>
  </si>
  <si>
    <t>Guidance through my professional development by offering insights, advice and support based on my own experiences.</t>
  </si>
  <si>
    <t>5078660</t>
  </si>
  <si>
    <t>Tom Seleka</t>
  </si>
  <si>
    <t>Create Mentorship Event for Tom Seleka with Themba Mabizela</t>
  </si>
  <si>
    <t>Career growth.</t>
  </si>
  <si>
    <t>5294258</t>
  </si>
  <si>
    <t>Sufyaan Beg</t>
  </si>
  <si>
    <t>FNB HSL (Adila Katz)</t>
  </si>
  <si>
    <t>21200004026 HSL Servicing and Collections Arrears Pre Legal</t>
  </si>
  <si>
    <t>Create Mentorship Event for Sufyaan Beg with Eddie Roodt</t>
  </si>
  <si>
    <t>4751795</t>
  </si>
  <si>
    <t>Molai Mothejoa</t>
  </si>
  <si>
    <t>5669189</t>
  </si>
  <si>
    <t>Luyanda Koni</t>
  </si>
  <si>
    <t>Create Mentorship Event for Luyanda Koni with Molai Mothejoa</t>
  </si>
  <si>
    <t>5379830</t>
  </si>
  <si>
    <t>Caleb Qoyo</t>
  </si>
  <si>
    <t>RMBSA Broader Africa Country Risk (Gunther Kuschke)</t>
  </si>
  <si>
    <t>77800000EMS RMBSA Broader Africa Country Risk</t>
  </si>
  <si>
    <t>Create Mentorship Event for Caleb Qoyo with Molai Mothejoa</t>
  </si>
  <si>
    <t>Good day,
As an FNB employee who is employed as a Universal Advisor. As a recent graduate i possess a Bachelor of Commerce degree in Accounting and Finance , i would like mentorship in the finance sector as i am very passionate about the world of Finance.</t>
  </si>
  <si>
    <t>8877032</t>
  </si>
  <si>
    <t>Obakeng Mokalapa</t>
  </si>
  <si>
    <t>FNB Points of Presence (Tebogo Mahanke)</t>
  </si>
  <si>
    <t>7710109800 FNB POP Branch Delivery Sunninghill</t>
  </si>
  <si>
    <t>Create Mentorship Event for Obakeng Mokalapa with Mongezi Mahlangu</t>
  </si>
  <si>
    <t>I have done my research on Helen and have heard very good testimonials on how she helps young professionals in Investment Banking navigate the new environment and helps and supports them reaching their full potential career-wise.
Being in Loan Capital Markets Solutions, I am sure Helen can advise me on the growth areas for a new Credit Analyst in the Retail and Consumer space, who is open to learning and see how different areas of the bank interact.</t>
  </si>
  <si>
    <t>5354595</t>
  </si>
  <si>
    <t>Tebogo Moloanyana</t>
  </si>
  <si>
    <t>Create Mentorship Event for Tebogo Moloanyana with Helen Mkhize</t>
  </si>
  <si>
    <t>As a recent graduate with a diploma in Information Technology (Software Development), I am eager to transition from my current role in the cash floor to a career in IT, where I can build and refine my coding skills. To achieve this, I plan to strengthen my existing knowledge by focusing on core programming languages such as Python, JavaScript, and Java, while learning new technologies and frameworks. I will leverage online platforms like Codecademy, freeCodeCamp, and Coursera to take structured courses and work on interactive coding challenges through LeetCode and HackerRank. Hands-on practice will be crucial, so I plan to build personal projects, contribute to open-source initiatives, and create a portfolio on GitHub to showcase my work. Additionally, I will network with professionals in the IT field via LinkedIn and attend meetups or webinars to stay informed about industry trends and best practices. I will also look for entry-level positions, internships, or even internal opportunities within my current company to gain practical experience. Through continuous learning, persistence, and the completion of real-world projects, I am confident that I will successfully transition into the IT field and begin building the experience necessary for a long-term career in software development.</t>
  </si>
  <si>
    <t>8870969</t>
  </si>
  <si>
    <t>Nkosinathi Nwamba</t>
  </si>
  <si>
    <t>FNB Commercial Cash Centre Pretoria (Elias Thamaga)</t>
  </si>
  <si>
    <t>76100000967 FNB Commercial Cash Centre Pretoria</t>
  </si>
  <si>
    <t>Create Mentorship Event for Nkosinathi Nwamba with Jermaine Varnicker</t>
  </si>
  <si>
    <t>2962233</t>
  </si>
  <si>
    <t>Grant Pentelow</t>
  </si>
  <si>
    <t>I am a motivated individual eager to expand my technical skills and deepen my understanding of software development life cycles (SDLC) and solutions architecture processes. My goal is to gain insight into how these frameworks drive innovation and deliver value. I am excited about the opportunity to collaborate, learn from experienced professionals, and contribute to meaningful projects as part of this journey</t>
  </si>
  <si>
    <t>FNB Core Banking Platform (Sandy Pillay)</t>
  </si>
  <si>
    <t>59600005436 FNB Personal and Private IT HR</t>
  </si>
  <si>
    <t>5430496</t>
  </si>
  <si>
    <t>Itumeleng Mothapo</t>
  </si>
  <si>
    <t>FNB Chief Risk Office Interactions and Risk Analytics (Kholofelo Napo)</t>
  </si>
  <si>
    <t>Create Mentorship Event for Itumeleng Mothapo with Grant Pentelow</t>
  </si>
  <si>
    <t>3459519</t>
  </si>
  <si>
    <t>Deolin Govender</t>
  </si>
  <si>
    <t>Career guidance
Manage a career transition
Relationship building and networking</t>
  </si>
  <si>
    <t>FNB Private Banking and Advisory (Tshepiso Martin)</t>
  </si>
  <si>
    <t>34100008332 PB&amp;A Cape Peninsula Affluent</t>
  </si>
  <si>
    <t>5113741</t>
  </si>
  <si>
    <t>Phelela Majikijela</t>
  </si>
  <si>
    <t>FNB Private Banking and Advisory (Deolin Govender)</t>
  </si>
  <si>
    <t>Private Banking Analyst Private Clients</t>
  </si>
  <si>
    <t>Create Mentorship Event for Phelela Majikijela with Deolin Govender</t>
  </si>
  <si>
    <t>5056853</t>
  </si>
  <si>
    <t>Rebotile Tisani</t>
  </si>
  <si>
    <t>FNB Commercial Forex Strategy (Scholtz Molipa)</t>
  </si>
  <si>
    <t>81800007681 FNB Commercial Forex Advisory Desk</t>
  </si>
  <si>
    <t>Client Service Consultant</t>
  </si>
  <si>
    <t>Create Mentorship Event for Rebotile Tisani with Reginald Mothubakgang</t>
  </si>
  <si>
    <t>5151058</t>
  </si>
  <si>
    <t>Zukisani Dyasi</t>
  </si>
  <si>
    <t>RMB TTS Client Groups (Kevin Ssemwogerere)</t>
  </si>
  <si>
    <t>77800000TXS RMBSA TTS Transactional Banking Sales</t>
  </si>
  <si>
    <t>Business Development Strategist</t>
  </si>
  <si>
    <t>8875474</t>
  </si>
  <si>
    <t>Yama Mathobo</t>
  </si>
  <si>
    <t>RMBSA TTS Client Group Sales Enablement (Alcinda Moezelaar)</t>
  </si>
  <si>
    <t>TTS Client Intelligence Portfolio Analyst</t>
  </si>
  <si>
    <t>Create Mentorship Event for Yama Mathobo with Zukisani Dyasi</t>
  </si>
  <si>
    <t>5334187</t>
  </si>
  <si>
    <t>Steven Harris</t>
  </si>
  <si>
    <t>RMBSA IBD Leverage Finance Team A (Duncan Smith)</t>
  </si>
  <si>
    <t>77800000AQN RMBSA IBD Leverage Finance</t>
  </si>
  <si>
    <t>Create Mentorship Event for Tebogo Moloanyana with Steven Harris</t>
  </si>
  <si>
    <t>5645840</t>
  </si>
  <si>
    <t>Tebatso Mokgokolo</t>
  </si>
  <si>
    <t>Good Day Tebatso
I hope this message finds you well. I am reaching out to seek your guidance and support as I transition into a career in software development. I believe that your mentorship would be invaluable during this pivotal time in my career.
As I embark on this journey, I am eager to learn not only the technical skills required but also the best practices, industry insights, and strategies that can help me navigate this field effectively. I am particularly interested in [specific areas of software development, such as web development, mobile applications, etc.], and I would greatly appreciate your advice on resources, learning paths, or any projects you think would be beneficial for me.
I am committed to putting in the effort and would be grateful for any time you could spare for discussions or guidance. Thank you for considering my request. Your mentorship could make a significant difference in my professional growth.
Looking forward to hearing from you.
Best regards,
Sello Precias Masango</t>
  </si>
  <si>
    <t>CDO Payments Corporate and Acquiring (Isabel Abelho)</t>
  </si>
  <si>
    <t>79000006202 CDO Payments Settlement and Swift</t>
  </si>
  <si>
    <t>4980654</t>
  </si>
  <si>
    <t>Sello Masango</t>
  </si>
  <si>
    <t>CDO Infrastructure and Security Services (Callista Adams)</t>
  </si>
  <si>
    <t>20700007237 CDO Infrastructure and Security Services End User Service Desk</t>
  </si>
  <si>
    <t>IT Help Desk Technician</t>
  </si>
  <si>
    <t>Create Mentorship Event for Sello Masango with Tebatso Mokgokolo</t>
  </si>
  <si>
    <t>To foster personal and professional growth by creating meaningful connections between experienced mentors and myself, providing guidance, support and knowledge-sharing.</t>
  </si>
  <si>
    <t>8877581</t>
  </si>
  <si>
    <t>Gibson Friar (Terminated)</t>
  </si>
  <si>
    <t>N/A (Ghana)</t>
  </si>
  <si>
    <t>Ghana</t>
  </si>
  <si>
    <t>Create Mentorship Event for Gibson Friar (Terminated) with Andre Olivier</t>
  </si>
  <si>
    <t>I am currently in Finance as part of the Finance partner team for the corporate and investment department. I want to learn move about Corporate and investment finance and well as treasury so i can give me best to the team. I aim is to be a treasury accountant. I hope you will take me as a mantee to coach me. i am willing and readily available to avail myself to be mentored.</t>
  </si>
  <si>
    <t>5353610</t>
  </si>
  <si>
    <t>Michael Mac-Kittah</t>
  </si>
  <si>
    <t>Ghana Support Functions (Eric Brenyah Anane)</t>
  </si>
  <si>
    <t>55400003872 FNB Ghana Business AGRI</t>
  </si>
  <si>
    <t>Accountant</t>
  </si>
  <si>
    <t>Create Mentorship Event for Michael Mac-Kittah with Helen Mkhize</t>
  </si>
  <si>
    <t>3847764</t>
  </si>
  <si>
    <t>Duane Ryan</t>
  </si>
  <si>
    <t>Strategic gain against data and business development.</t>
  </si>
  <si>
    <t>FNB Customer and Sales Interactions (Laura Irving)</t>
  </si>
  <si>
    <t>Solution Strategist</t>
  </si>
  <si>
    <t>4968700</t>
  </si>
  <si>
    <t>Lillian Kalenzi</t>
  </si>
  <si>
    <t>FNB Customer and Sales Interactions (Lizelle Van Der Walt)</t>
  </si>
  <si>
    <t>Create Mentorship Event for Lillian Kalenzi with Duane Ryan</t>
  </si>
  <si>
    <t>4979133</t>
  </si>
  <si>
    <t>Phepsile Dlamini (Terminated)</t>
  </si>
  <si>
    <t>5591988</t>
  </si>
  <si>
    <t>Adeel Amod</t>
  </si>
  <si>
    <t>FNB Commercial Property Finance (Lourens Swanepoel)</t>
  </si>
  <si>
    <t>33900009242 FNB Commercial Leveraged Finance Inland</t>
  </si>
  <si>
    <t>Deal Maker</t>
  </si>
  <si>
    <t>Create Mentorship Event for Adeel Amod with Phepsile Dlamini (Terminated)</t>
  </si>
  <si>
    <t>4506367</t>
  </si>
  <si>
    <t>Willem Van Der Westhuizen</t>
  </si>
  <si>
    <t>RMBSA Global Markets Credit Risk (Keith Flemmer)</t>
  </si>
  <si>
    <t>5632935</t>
  </si>
  <si>
    <t>Axolile Majola</t>
  </si>
  <si>
    <t>Create Mentorship Event for Axolile Majola with Willem Van Der Westhuizen</t>
  </si>
  <si>
    <t>4776690</t>
  </si>
  <si>
    <t>Caryn Bell</t>
  </si>
  <si>
    <t>I am requesting mentorship to advance my career in cybersecurity. I have acquired skills in this field that have increased my knowledge, and I believe a mentor can help me further develop my expertise and career trajectory.</t>
  </si>
  <si>
    <t>CDO Infrastructure and Security Services (Eugene Pretorius)</t>
  </si>
  <si>
    <t>20700005429 CDO Infrastructure and Security Services CRM</t>
  </si>
  <si>
    <t>5183340</t>
  </si>
  <si>
    <t>Siphiwe Sitwayi</t>
  </si>
  <si>
    <t>CDO Infrastructure and Security Services (Denis Nhatumbo)</t>
  </si>
  <si>
    <t>Create Mentorship Event for Siphiwe Sitwayi with Caryn Bell</t>
  </si>
  <si>
    <t>My purpose is to become a dialer administrator and I already posses a NQF 5 and 6 in Business Analysis, but with your skills and experience I hope to become one or just know what the role is about</t>
  </si>
  <si>
    <t>5233003</t>
  </si>
  <si>
    <t>Giovanno Sheppard</t>
  </si>
  <si>
    <t>DirectAxis (Shamiela Mohammed)</t>
  </si>
  <si>
    <t>99700015137 DA IT Operations</t>
  </si>
  <si>
    <t>Application Support Analyst</t>
  </si>
  <si>
    <t>Create Mentorship Event for Giovanno Sheppard with Afreen Kumandan</t>
  </si>
  <si>
    <t>5309409</t>
  </si>
  <si>
    <t>Bjorn Coetzee</t>
  </si>
  <si>
    <t>To set up structure on how we're going to go about with our sessions.</t>
  </si>
  <si>
    <t>FNB Core Banking Platform (Farieda Mayet)</t>
  </si>
  <si>
    <t>User Experience Manager</t>
  </si>
  <si>
    <t>3106675</t>
  </si>
  <si>
    <t>Colin Makwe</t>
  </si>
  <si>
    <t>FNB Core Banking Platform (Grant Pentelow)</t>
  </si>
  <si>
    <t>Create Mentorship Event for Colin Makwe with Bjorn Coetzee</t>
  </si>
  <si>
    <t>5385571</t>
  </si>
  <si>
    <t>Mwamba Musambo</t>
  </si>
  <si>
    <t>To better understand my work path</t>
  </si>
  <si>
    <t>FNB Zambia Chief Executive Office (Kapumpe Chola)</t>
  </si>
  <si>
    <t>55300003061 FNB Zambia Retail Segment</t>
  </si>
  <si>
    <t>Retail Head</t>
  </si>
  <si>
    <t>8871992</t>
  </si>
  <si>
    <t>Alex Mulenga</t>
  </si>
  <si>
    <t>FNB Zambia Retail Segment (Brenda Mukuka Musonda)</t>
  </si>
  <si>
    <t>55300005792 FNB Zambia Luanshya Branch</t>
  </si>
  <si>
    <t>Create Mentorship Event for Alex Mulenga with Mwamba Musambo</t>
  </si>
  <si>
    <t>Good day Athena,
Trust you are well.
Please kindly consider me for the opportunity of being your mentee. I am humbly requesting your mentorship as I have witnessed you thrive, be very impactful and knowledgeable about Data Management topics.
While I already delivery in one of the Data Management knowledge areas, I would like to ask for your mentorship in order to help me with guided implementation and delivery of my work, especially for optimum stakeholder enablement, all of which will contribute to the development of my knowledge.
With this opportunity I intend to utilize my professional skills, soft skills, and gain more technical and leadership skills in order to be proactive and excel on requirements. By integrating my passion for Data Management with the learnings I will gain from you and additional training opportunities to further advance my skills, I intend to grow in my career and ultimately add measurable and valuable contributions to the business.
I have recently completed the DMF training and will be writing towards my certification soon. I have plans to further specialize in Data Governance and possibly Data Quality, while also expanding my knowledge across the Data Management knowledge areas.
Kind regards,
Ntokozo</t>
  </si>
  <si>
    <t>5575486</t>
  </si>
  <si>
    <t>Ntokozo Mdluli</t>
  </si>
  <si>
    <t>FNB Commercial Analytics Insights Data (Zama Ntuli Zama)</t>
  </si>
  <si>
    <t>Information Management Specialist</t>
  </si>
  <si>
    <t>Create Mentorship Event for Ntokozo Mdluli with Athena Botha</t>
  </si>
  <si>
    <t>4662458</t>
  </si>
  <si>
    <t>Kgotso Buys</t>
  </si>
  <si>
    <t>To gain support for my personal and professional development. Through guidance, sharing experiences, and offering.</t>
  </si>
  <si>
    <t>RMBSA Technology (Christiaan Du Preez)</t>
  </si>
  <si>
    <t>77800000BTL RMBSA IBD Technology Team</t>
  </si>
  <si>
    <t>Chief Information Officer Sponsor and IBD</t>
  </si>
  <si>
    <t>5388783</t>
  </si>
  <si>
    <t>Ramafa Makhafola</t>
  </si>
  <si>
    <t>Create Mentorship Event for Ramafa Makhafola with Kgotso Buys</t>
  </si>
  <si>
    <t>5107547</t>
  </si>
  <si>
    <t>Nolu Hlwatika</t>
  </si>
  <si>
    <t>To guide and provide exposure to the design culture and methods practiced/used within the FNB design space.</t>
  </si>
  <si>
    <t>FNB COO Head Office (Mareli Benn)</t>
  </si>
  <si>
    <t>69000004783 FNB COO - Communications</t>
  </si>
  <si>
    <t>Communications Manager</t>
  </si>
  <si>
    <t>Communication and Public Relations</t>
  </si>
  <si>
    <t>5049059</t>
  </si>
  <si>
    <t>Jason Meyer</t>
  </si>
  <si>
    <t>FNB Personal Segment Advisory and Suites (Ayanda Mlangeni)</t>
  </si>
  <si>
    <t>97200005296 PSAS Premier Chat</t>
  </si>
  <si>
    <t>Create Mentorship Event for Jason Meyer with Nolu Hlwatika</t>
  </si>
  <si>
    <t>Data Science Mentorship</t>
  </si>
  <si>
    <t>5595371</t>
  </si>
  <si>
    <t>Ontlametse Activia Selobile</t>
  </si>
  <si>
    <t>RMBSA Systems Accounting and Financial Controls Team (Munawwara Ebrahim)</t>
  </si>
  <si>
    <t>77800000RNP RMBSA Systems Accounting and Financial Controls Team</t>
  </si>
  <si>
    <t>Financial Data Quality Analyst</t>
  </si>
  <si>
    <t>Create Mentorship Event for Ontlametse Activia Selobile with Kholofelo Napo</t>
  </si>
  <si>
    <t>3301834</t>
  </si>
  <si>
    <t>Patrick Motshweni</t>
  </si>
  <si>
    <t>To grow within Data Analytical space</t>
  </si>
  <si>
    <t>FNB Commercial Chief Data and Analytics (Ryan Prozesky)</t>
  </si>
  <si>
    <t>5057884</t>
  </si>
  <si>
    <t>Martha Mafisa</t>
  </si>
  <si>
    <t>FNB Commercial Merchant Services (Carrie Anne Feldman)</t>
  </si>
  <si>
    <t>22800008303 FNB Commercial Merchant Services Pricing Analytics</t>
  </si>
  <si>
    <t>Create Mentorship Event for Martha Mafisa with Patrick Motshweni</t>
  </si>
  <si>
    <t>5527066</t>
  </si>
  <si>
    <t>Michelle Ashen</t>
  </si>
  <si>
    <t>Good day Michelle.
I hope this message finds you well. My name is Kgomotso Makhananesa, and I am currently working in the sales department for FNB CCXC. I have graduated with a Diploma in Public Relations and Communications and have developed a strong interest in transitioning into the marketing and communication space.
I believe that under your mentorship, I could gain invaluable knowledge and skills that would help me make a successful transition into marketing and communication space. 
I am committed to learning and am eager to contribute to any projects or initiatives you may be working on. I am confident that with your guidance, I can develop the necessary skills to excel in this field.
I hope to hear from you.
regards,
K</t>
  </si>
  <si>
    <t>FNB Retail Marketing Pillar (Tanya Weitz)</t>
  </si>
  <si>
    <t>4768612</t>
  </si>
  <si>
    <t>Kgomotso Makhananesa</t>
  </si>
  <si>
    <t>FNB Central Finance (Nicolene Peens (Inherited))</t>
  </si>
  <si>
    <t>39400005848 FNB Central Finance PMO</t>
  </si>
  <si>
    <t>Communication Assistant</t>
  </si>
  <si>
    <t>Create Mentorship Event for Kgomotso Makhananesa with Michelle Ashen</t>
  </si>
  <si>
    <t>3799379</t>
  </si>
  <si>
    <t>Vukile Sikhakhane</t>
  </si>
  <si>
    <t>Broaden organisational knowledge
Career guidance
Develop leadership skills
Manage a career transition
Relationship building and networking</t>
  </si>
  <si>
    <t>FNB iCustomer (Sajiv Bhikha)</t>
  </si>
  <si>
    <t>39400005972 FNB iCustomer Customer Data Management</t>
  </si>
  <si>
    <t>Data Privacy Officer</t>
  </si>
  <si>
    <t>5308046</t>
  </si>
  <si>
    <t>Sunitha Govender</t>
  </si>
  <si>
    <t>DirectAxis (Asterico Adams)</t>
  </si>
  <si>
    <t>Create Mentorship Event for Sunitha Govender with Vukile Sikhakhane</t>
  </si>
  <si>
    <t>Deal with diversity and inclusion challenges
Develop leadership skills
Learn how to navigate the system</t>
  </si>
  <si>
    <t>5035597</t>
  </si>
  <si>
    <t>Christopher Thabane</t>
  </si>
  <si>
    <t>FR Hyphen Technology (Vishal Ramnath)</t>
  </si>
  <si>
    <t>23300002344 FR Hyphen Information Technology</t>
  </si>
  <si>
    <t>IT Test Manager</t>
  </si>
  <si>
    <t>Create Mentorship Event for Christopher Thabane with Maleseli Lorraine Chefa</t>
  </si>
  <si>
    <t>Assist with upskilling from a system analyst to a system analyst lead</t>
  </si>
  <si>
    <t>Create Mentorship Event for Kaahsifa Ahmed with Shetal Bhoola</t>
  </si>
  <si>
    <t>5448255</t>
  </si>
  <si>
    <t>Humbulani Colbert Nekhumbe</t>
  </si>
  <si>
    <t>To equip myself with necessary skills in the space of Machine Learning. This will enable me to build ML models and assist business going forward.</t>
  </si>
  <si>
    <t>FNB Integrated Advice (Ermi Du Plessis)</t>
  </si>
  <si>
    <t>85500004971 FNB Sustainability &amp; ESG Solutions</t>
  </si>
  <si>
    <t>Create Mentorship Event for Siyabonga Mthethwa with Humbulani Colbert Nekhumbe</t>
  </si>
  <si>
    <t>To grow within Analytical and information management space</t>
  </si>
  <si>
    <t>5151120</t>
  </si>
  <si>
    <t>Dakalo Mulaudzi</t>
  </si>
  <si>
    <t>RMBSA TTS LRC Operational Risk Management (Vedanti Applesamy)</t>
  </si>
  <si>
    <t>77800000CRO RMBSA TTS Operational Risk</t>
  </si>
  <si>
    <t>Operational Risk Analyst</t>
  </si>
  <si>
    <t>Create Mentorship Event for Dakalo Mulaudzi with Kgotso Buys</t>
  </si>
  <si>
    <t>4991583</t>
  </si>
  <si>
    <t>Thandiwe Mkalipi</t>
  </si>
  <si>
    <t>I hope you are doing well. I am reaching out to express my interest in learning from your expertise in Business Analysis. I have recently completed an NQF Level 5 Business Analysis certification and have been actively job shadowing with FNB Commercial TXP for the past two years, gaining experience in requirement gathering, stakeholder engagement, and process improvement.
As I work towards transitioning into a Business Analyst role, I would greatly appreciate the opportunity to learn from your insights and guidance. Your expertise in [mention any specific skills or achievements of the mentor] is inspiring, and I believe your mentorship would be invaluable in helping me refine my skills, navigate challenges, and grow in this field.
I understand your time is valuable, and I would be grateful for the chance to connect at your convenience, whether through a brief call, a coffee chat, or periodic check-ins. Please let me know if you would be open to this, and I would be happy to accommodate your schedule.
Thank you for your time and consideration—I look forward to the possibility of learning from you.
Best regards,</t>
  </si>
  <si>
    <t>FNB Commercial Projects and Operations (Shari Taaibosch)</t>
  </si>
  <si>
    <t>34200009245 FNB Commercial Fulfilment Support</t>
  </si>
  <si>
    <t>Platform Enablement Lead</t>
  </si>
  <si>
    <t>4679253</t>
  </si>
  <si>
    <t>Lebogang Serache</t>
  </si>
  <si>
    <t>Close Mentorship Event for Lebogang Serache with Thandiwe Mkalipi
Create Mentorship Event for Lebogang Serache with Thandiwe Mkalipi</t>
  </si>
  <si>
    <t>Mentee Withdrawal - Difficulty Connecting</t>
  </si>
  <si>
    <t>0079332</t>
  </si>
  <si>
    <t>Sue-Lynn Sheldon</t>
  </si>
  <si>
    <t>2x Years in Leadership. Guidance with challenges experiencing</t>
  </si>
  <si>
    <t>WB Motor Operations (Kreelan Chetty)</t>
  </si>
  <si>
    <t>30100007371 WB WesBank Way</t>
  </si>
  <si>
    <t>Consultant Coaching for Effectiveness</t>
  </si>
  <si>
    <t>5086078</t>
  </si>
  <si>
    <t>Racquel Nelson</t>
  </si>
  <si>
    <t>FNB Retail Judgemental Credit (Joshni Narotam)</t>
  </si>
  <si>
    <t>85500005752 RJC Inland</t>
  </si>
  <si>
    <t>Retail Judgemental Credit Specialist</t>
  </si>
  <si>
    <t>Create Mentorship Event for Racquel Nelson with Sue-Lynn Sheldon</t>
  </si>
  <si>
    <t>personal growth and development, i want to improve my coding skills and learn best practices from someone with more experience and expand my knowledge in specific areas.
I want to also improve my communication skills and learn how to effectively collaborate with team members above all, I'm motivated to learn and grow as a developer.</t>
  </si>
  <si>
    <t>4985621</t>
  </si>
  <si>
    <t>Andiswa Tini</t>
  </si>
  <si>
    <t>FNB ConnectMe IT (Verushka Naidoo)</t>
  </si>
  <si>
    <t>84900009691 FNB ConnectMe IT Catalysts</t>
  </si>
  <si>
    <t>JAVA Developer</t>
  </si>
  <si>
    <t>Create Mentorship Event for Andiswa Tini with Barbara Engle</t>
  </si>
  <si>
    <t>developing skills and knowledge in risk and compliance within banking sector</t>
  </si>
  <si>
    <t>3389855</t>
  </si>
  <si>
    <t>Jo-Ann Nels</t>
  </si>
  <si>
    <t>Create Mentorship Event for Jo-Ann Nels with Yamillah Katjirua</t>
  </si>
  <si>
    <t>4754557</t>
  </si>
  <si>
    <t>Zanele Seshoka</t>
  </si>
  <si>
    <t>I hope you are doing well. I am reaching out to express my interest in learning from your expertise in Business Analysis. I have recently completed an NQF Level 5 Business Analysis certification and have been actively job shadowing with FNB Commercial TXP for the past two years, gaining experience in requirement gathering, stakeholder engagement, and process improvement.
As I work towards transitioning into a Business Analyst role, I would greatly appreciate the opportunity to learn from your insights and guidance. Your expertise in is inspiring, and I believe your mentorship would be invaluable in helping me refine my skills, navigate challenges, and grow in this field.
I understand your time is valuable, and I would be grateful for the chance to connect at your convenience, whether through a brief call, a coffee chat, or periodic check-ins. Please let me know if you would be open to this, and I would be happy to accommodate your schedule.
Thank you for your time and consideration—I look forward to the possibility of learning from you.
Best regards,</t>
  </si>
  <si>
    <t>CDO Kernel iNterfaceX (Kefilwe Megalane)</t>
  </si>
  <si>
    <t>21800009856 CDO Kernel iNterfaceX Online Banking Business Analysis</t>
  </si>
  <si>
    <t>Close Mentorship Event for Lebogang Serache with Zanele Seshoka
Create Mentorship Event for Lebogang Serache with Zanele Seshoka</t>
  </si>
  <si>
    <t>I am deeply passionate about building a successful career in Banking and I am eager to learn from experienced professionals who can guide me in navigating the industry. A mentor's insights, expertise and advice would be invaluable in helping me develop the technical skills, strategic mindset and leadership qualities required to excel. I am committed to continuous growth and believe that mentorship will accelerate my ability to make meaningful contributions, overcome challenges and achieve my long-term career goals in Banking.
Thank you</t>
  </si>
  <si>
    <t>8876991</t>
  </si>
  <si>
    <t>Katlego Bogopa</t>
  </si>
  <si>
    <t>Create Mentorship Event for Katlego Bogopa with Caroline Kepaletswe</t>
  </si>
  <si>
    <t>5056837</t>
  </si>
  <si>
    <t>Tshepho Rasemphe</t>
  </si>
  <si>
    <t>WB IT Business Enablement (Thokozile Khobane)</t>
  </si>
  <si>
    <t>30100002006 WB IT Business Analysis</t>
  </si>
  <si>
    <t>Close Mentorship Event for Lebogang Serache with Tshepho Rasemphe
Create Mentorship Event for Lebogang Serache with Tshepho Rasemphe</t>
  </si>
  <si>
    <t>3794687</t>
  </si>
  <si>
    <t>Aileen Spanier-Marson</t>
  </si>
  <si>
    <t>Dear Aileen , 
I hope this message finds you well.
My name is Marcelo Coutinho , and I am currently working as a Desktop technician at FNB . I have been looking for a mentor to help me grow my IT and security Career in FNB .
I am excited to expand my knowledge and skills in It and Security at FNB, and I believe that your guidance and mentorship would be invaluable in helping me achieve my professional goals. I am eager to learn from your experience and insights, and I am committed to putting in the effort required to grow and succeed in this area.
I would be honored if you could consider mentoring me as I navigate this path. Your mentorship would greatly contribute to my development and help me make meaningful contributions to FNB and also my IT Career. 
Thank you for considering my request. I am looking forward to the possibility of learning from you.
Best regards,
Marcelo Coutinho</t>
  </si>
  <si>
    <t>RMBSA Technology  IT Security and Access (Angela Henry)</t>
  </si>
  <si>
    <t>77800000BTZ BTZ-RMB IT Security and Access</t>
  </si>
  <si>
    <t>Information Security Architect</t>
  </si>
  <si>
    <t>5391466</t>
  </si>
  <si>
    <t>Marcelo Coutinho</t>
  </si>
  <si>
    <t>CDO Infrastructure and Security Services (Manny Stathakis)</t>
  </si>
  <si>
    <t>Create Mentorship Event for Marcelo Coutinho with Aileen Spanier-Marson</t>
  </si>
  <si>
    <t>5134358</t>
  </si>
  <si>
    <t>Nicole Dooling</t>
  </si>
  <si>
    <t>The purpose of this mentorship is to map out a career path, gain insights into various roles, apply and prepare for potential roles which may become available.</t>
  </si>
  <si>
    <t>FR Life Assurance (Jabulile Sigasa)</t>
  </si>
  <si>
    <t>61500010272 FR Life Marketing</t>
  </si>
  <si>
    <t>5532302</t>
  </si>
  <si>
    <t>Janine Hartley</t>
  </si>
  <si>
    <t>FNB Private Banking and Advisory (Maheshwarie Naidu)</t>
  </si>
  <si>
    <t>34100003238 PB&amp;A Admin and System Access</t>
  </si>
  <si>
    <t>Create Mentorship Event for Janine Hartley with Nicole Dooling</t>
  </si>
  <si>
    <t>5430577</t>
  </si>
  <si>
    <t>Jones Mabapa</t>
  </si>
  <si>
    <t>I am seeking a mentor to advise me on my career development. My long-term ambition is to take on a leadership role within this field, and I believe having a mentor will provide valuable insights on the skills and competencies necessary to achieve this goal. Additionally, I am eager to learn from a mentor's experience, gain perspective on navigating challenges. Another key reason for my interest in mentorship is to foster meaningful professional relationships and expand my network, which I believe will contribute to my continued success and development within the industry.</t>
  </si>
  <si>
    <t>RMBSA Global Markets Technical Risk Advisory Projects (Michelle Verwey)</t>
  </si>
  <si>
    <t>77800000EQS RMBSA Global Markets Operational Risk</t>
  </si>
  <si>
    <t>Risk Programme Manager</t>
  </si>
  <si>
    <t>8873619</t>
  </si>
  <si>
    <t>Lee-Roy Yonga</t>
  </si>
  <si>
    <t>FNB Chief Risk Office Interactions and Risk Analytics (Chantelle Pretorius (Inherited))</t>
  </si>
  <si>
    <t>Create Mentorship Event for Lee-Roy Yonga with Jones Mabapa</t>
  </si>
  <si>
    <t>3336182</t>
  </si>
  <si>
    <t>Veronica Ntshalintshali</t>
  </si>
  <si>
    <t>With a BA Hons in Psychology and a major in Organizational Psychology, coupled with my experience in FNB Sales (Retail &amp; Commercial), I am eager to leverage my background to contribute to and learn from your esteemed team.
My academic and professional journey (been with the bank since 2014) have afforded me an opportunity to develop a deep understanding of human behavior, motivation, and organizational dynamics. My studies in psychology have equipped me with the skills to analyze and understand the complexities of human interactions within a workplace.
Although I am currently in a Sales role, my passion lies in the field of Human Capital. I am particularly interested in how organizations can optimize their workforce, foster a positive work culture, and implement effective talent management strategies.
I believe that my background in psychology &amp; contact center experience could provide the organization with a unique perspective that can contribute to innovative solutions in human capital management.</t>
  </si>
  <si>
    <t>N/A (Eswatini)</t>
  </si>
  <si>
    <t>FNB Eswatini FCC (Thokozani Dlamini)</t>
  </si>
  <si>
    <t>Eswatini</t>
  </si>
  <si>
    <t>5020466400 FNB Eswatini FCC</t>
  </si>
  <si>
    <t>Director Human Resources</t>
  </si>
  <si>
    <t>4789482</t>
  </si>
  <si>
    <t>Thandeka Makhanya</t>
  </si>
  <si>
    <t>FNB Business CXC (Conrad Julius)</t>
  </si>
  <si>
    <t>34300006546 FNB Business CXC New to Bank Sales</t>
  </si>
  <si>
    <t>Create Mentorship Event for Thandeka Makhanya with Veronica Ntshalintshali</t>
  </si>
  <si>
    <t>My name is Tebogo, and I am currently working as an external sales and service consultant. I hold a postgraduate diploma in Management Information Systems, specialising in Business and Systems Analysis, along with a Bachelor of Business Administration.
As I look to advance my career, I am seeking to deepen my knowledge and understanding of business analysis. I am particularly interested in learning about best practices, required skills, and the evolving landscape of the field. Your expertise and experience in this area have inspired me, and I believe that your guidance would be incredibly valuable as I navigate this transition.
I would be grateful for the opportunity to connect with you for a brief chat or meeting, where I can gain insights into your career journey and gather advice on how I might enhance my skills in business analysis.</t>
  </si>
  <si>
    <t>8878703</t>
  </si>
  <si>
    <t>TEBOGO KOMANE</t>
  </si>
  <si>
    <t>FNB Points of Presence (Pinky Duiker)</t>
  </si>
  <si>
    <t>7710305600 FNB PoP Branch Delivery External Mobile Team</t>
  </si>
  <si>
    <t>External Sales and Service Advisor OBR</t>
  </si>
  <si>
    <t>Create Mentorship Event for TEBOGO KOMANE with Zanele Seshoka</t>
  </si>
  <si>
    <t>My name is Tebogo, and I am currently working as an external sales and service consultant. I hold a postgraduate diploma in Management Information Systems, specializing in Business and Systems Analysis, along with a Bachelor of Business Administration.
As I look to advance my career, I am seeking to deepen my knowledge and understanding of business analysis. I am particularly interested in learning about best practices, required skills, and the evolving landscape of the field. Your expertise and experience in this area have inspired me, and I believe that your guidance would be incredibly valuable as I navigate this transition.
I would be grateful for the opportunity to connect with you for a brief chat or meeting, where I can gain insights into your career journey and gather advice on how I might enhance my skills in business analysis.</t>
  </si>
  <si>
    <t>Create Mentorship Event for TEBOGO KOMANE with Cuthbert (Sedutla) Sekgotodi</t>
  </si>
  <si>
    <t>5112575</t>
  </si>
  <si>
    <t>Jurgens Van Rooyen</t>
  </si>
  <si>
    <t>To get support with professional development through guidance, sharing experiences, and offering.</t>
  </si>
  <si>
    <t>77800000RNJ RMB RNJ RMB Client Tech</t>
  </si>
  <si>
    <t>Chief Information Officer Client Coverage</t>
  </si>
  <si>
    <t>Create Mentorship Event for Ramafa Makhafola with Jurgens Van Rooyen</t>
  </si>
  <si>
    <t>To build my skills, career guidance, Relationship building and networking</t>
  </si>
  <si>
    <t>5262135</t>
  </si>
  <si>
    <t>Collen Skosana</t>
  </si>
  <si>
    <t>FR Life Assurance (Ramarara Maponyane)</t>
  </si>
  <si>
    <t>61500010283 FR Life Ops Claims</t>
  </si>
  <si>
    <t>Claims Administrator</t>
  </si>
  <si>
    <t>Create Mentorship Event for Collen Skosana with Cuthbert (Sedutla) Sekgotodi</t>
  </si>
  <si>
    <t>Key objectives :
Better integration into a team/business unit
Bridging the gap for graduates and first-time joiners to the workplace
Broaden organisational knowledge
Career guidance
Deal with diversity and inclusion challenges
Develop leadership skills
Disruptive technologies
Innovation
Learn how to navigate the system
Manage a career transition
Relationship building and networking</t>
  </si>
  <si>
    <t>4727479</t>
  </si>
  <si>
    <t>Shonise Naidoo</t>
  </si>
  <si>
    <t>Create Mentorship Event for Shonise Naidoo with Mervyn Moodley</t>
  </si>
  <si>
    <t>3829073</t>
  </si>
  <si>
    <t>Christopher Pillay</t>
  </si>
  <si>
    <t>Career mentoring</t>
  </si>
  <si>
    <t>IT Service Operations Manager</t>
  </si>
  <si>
    <t>3675653</t>
  </si>
  <si>
    <t>Nevashin Govindasamy</t>
  </si>
  <si>
    <t>FNB Commercial Core Juristic Platform (Gumani Sibeli)</t>
  </si>
  <si>
    <t>34200010083 FNB Commercial CJP FML IT</t>
  </si>
  <si>
    <t>Systems and Support Analyst</t>
  </si>
  <si>
    <t>Create Mentorship Event for Nevashin Govindasamy with Christopher Pillay</t>
  </si>
  <si>
    <t>Provide leadership insights and challenge my thinking.</t>
  </si>
  <si>
    <t>2970295</t>
  </si>
  <si>
    <t>Marius Lombard</t>
  </si>
  <si>
    <t>Segment Chief Information Officer (Allen Pillay)</t>
  </si>
  <si>
    <t>59600005369 FNB Personal and Private IT Exco</t>
  </si>
  <si>
    <t>Create Mentorship Event for Marius Lombard with Sue-Lynn Sheldon</t>
  </si>
  <si>
    <t>Advance my technical skills.</t>
  </si>
  <si>
    <t>8877103</t>
  </si>
  <si>
    <t>Nkulani Moshaba</t>
  </si>
  <si>
    <t>FNB International SA (Pretash Bhoola)</t>
  </si>
  <si>
    <t>Graduate Programme</t>
  </si>
  <si>
    <t>Specialised Development Programs (Graduate/ Trainee)</t>
  </si>
  <si>
    <t>Create Mentorship Event for Nkulani Moshaba with Siyabonga Mthethwa</t>
  </si>
  <si>
    <t>8876776</t>
  </si>
  <si>
    <t>Rohan Schoeman</t>
  </si>
  <si>
    <t>FNB Connect and Service Provider (Marlon Joel)</t>
  </si>
  <si>
    <t>83100002439 FNB Connect BI</t>
  </si>
  <si>
    <t>Create Mentorship Event for Rohan Schoeman with Himal Parbhoo</t>
  </si>
  <si>
    <t>Hi Mongezi,
I trust this is received well.
I am working towards growing within my career, I would like my next career step to become a financial manager. To learn good leadership skills and also need to know what I need to do to grow professionally. I would really appreciate it if you can set up time so we can chat to see how you can hold my hand in me achieving my objective.</t>
  </si>
  <si>
    <t>Create Mentorship Event for Thandeka Ntisana with Mongezi Mahlangu</t>
  </si>
  <si>
    <t>Hi Bertus,
I hope that you are well.
I am Chanelle van Heerden and I am currently a FirstJob Graduate working as a Transaction Manager for the Debt Trade and Solutions team in the Investment Banking Division.
I am applying for this mentorship program as I seek to leverage guidance, support, and industry insights to accelerate my personal and professional growth. As someone who aims to be a Credit Analyst at some point in my career. I hope this mentorship will help me gain valuable knowledge, develop strategic skills, and expand my network. I want to use this mentorship to learn from an experienced mentor who can offer tailored advice, challenge my perspectives, and empower me to achieve my goals. Ultimately, I believe this mentorship will equip me with the confidence, expertise, and resilience necessary to drive meaningful impact in my career.
I look forward to meeting you, because I believe you can help me in all stages of my career.</t>
  </si>
  <si>
    <t>8874854</t>
  </si>
  <si>
    <t>Chanelle Van Heerden</t>
  </si>
  <si>
    <t>RMBSA IBD Operations Transaction Management (Samantha Yena)</t>
  </si>
  <si>
    <t>Create Mentorship Event for Chanelle Van Heerden with Bertus Huisman</t>
  </si>
  <si>
    <t>Aileen is a senior member of staff that is A-typical, her expertise in this aspect will aid me in exploring corporate and my ADHD. Her work in introducing LLMs and exploring the benefits or downsides of introducing them to FirstRands programmers.</t>
  </si>
  <si>
    <t>8878676</t>
  </si>
  <si>
    <t>Caide Lander</t>
  </si>
  <si>
    <t>Group Finance Accounting (Giselle Ras)</t>
  </si>
  <si>
    <t>20200003713 FRCC ERM GCR Risk reporting and Training</t>
  </si>
  <si>
    <t>Quantitative Graduate Trainee</t>
  </si>
  <si>
    <t>Create Mentorship Event for Caide Lander with Aileen Spanier-Marson</t>
  </si>
  <si>
    <t>0186767</t>
  </si>
  <si>
    <t>Nicholas Litton</t>
  </si>
  <si>
    <t>Dear Nicholas Litton,
I hope this message finds you well. My name is Siyaan Davids, and I am currently working as a Client Desirability Analyst within the FNB CRO - Screening Services team. I recently completed my degree, and I am eager to further develop my skills and knowledge in the compliance field.
I am reaching out to you with the hope of establishing a mentorship relationship, as I believe that your guidance would be invaluable as I navigate the early stages of my career.
Specifically, I am interested in the following areas of mentoring:
Career Guidance: I would greatly appreciate your insights on how to effectively chart a career path within compliance, including potential opportunities for advancement and the skills that are most critical for success in this field.
Managing a Career Transition: As I transition from my academic background into a professional role, I would like to learn how to adapt my skills and knowledge to meet the demands of the industry. Your advice on overcoming challenges during this transition would be particularly beneficial.
Relationship Building and Networking: I understand the importance of building a strong professional network in compliance. I would like to learn from your experiences on how to cultivate meaningful relationships within the industry and leverage these connections for career growth.
I am committed to making the most of this mentorship opportunity and I am eager to learn from your expertise. Thank you for considering my request. I look forward to the possibility of working together and gaining your insights.
Kind regards,
Siyaan Davids</t>
  </si>
  <si>
    <t>FNB Credit Card Legal Risk and Compliance (Robert Cawse)</t>
  </si>
  <si>
    <t>39400001973 FNB Chief Risk Office Retail and Commercial Compliance</t>
  </si>
  <si>
    <t>5001609</t>
  </si>
  <si>
    <t>Siyaan Davids</t>
  </si>
  <si>
    <t>FNB Chief Risk Office Client Desirability Risk Management (Prabashnee Naidoo)</t>
  </si>
  <si>
    <t>39400005345 FNB Chief Risk Office Screening Services AML</t>
  </si>
  <si>
    <t>Create Mentorship Event for Siyaan Davids with Nicholas Litton</t>
  </si>
  <si>
    <t>3795373</t>
  </si>
  <si>
    <t>Yudhvir Seetharam</t>
  </si>
  <si>
    <t>Exposure to data science field
Industry Insights
Practical Experience
Career Guidance
Networking</t>
  </si>
  <si>
    <t>34300003334 FNB Commercial Analytics Insights and Research</t>
  </si>
  <si>
    <t>Create Mentorship Event for Vuyiseka Myeki with Yudhvir Seetharam</t>
  </si>
  <si>
    <t>2968576</t>
  </si>
  <si>
    <t>Dima Thaba</t>
  </si>
  <si>
    <t>FNB POP Chief Executive Office (Zibuyile Nqala)</t>
  </si>
  <si>
    <t>7710396500 FNB POP Executives</t>
  </si>
  <si>
    <t>3745708</t>
  </si>
  <si>
    <t>Sandile Dube</t>
  </si>
  <si>
    <t>Create Mentorship Event for Sandile Dube with Dima Thaba</t>
  </si>
  <si>
    <t>5154375</t>
  </si>
  <si>
    <t>Leeresha Dehaloo</t>
  </si>
  <si>
    <t>Leeresha was able to guide me and assist me with navigating the code bases</t>
  </si>
  <si>
    <t>CDO Kernel iNterfaceX (Shaimal Bhika)</t>
  </si>
  <si>
    <t>21800004117 CDO Kernel iNterfaceX Data Science Engineering</t>
  </si>
  <si>
    <t>5382319</t>
  </si>
  <si>
    <t>Mpho Mosotho</t>
  </si>
  <si>
    <t>CDO Kernel iNterfaceX (Futhi Mwelase)</t>
  </si>
  <si>
    <t>21800005249 CDO Kernel iNterfaceX Systems Analysis</t>
  </si>
  <si>
    <t>Close Mentorship Event for Mpho Mosotho with Leeresha Dehaloo
Create Mentorship Event for Mpho Mosotho with Leeresha Dehaloo</t>
  </si>
  <si>
    <t>5329132</t>
  </si>
  <si>
    <t>Nabeel Makkan</t>
  </si>
  <si>
    <t>Assisted with expanding my domain knowledge in IAG. Worked with me to ensure all our Use Cases were up to UML standards.</t>
  </si>
  <si>
    <t>FNB eBucks Technology (Kuven Pillay)</t>
  </si>
  <si>
    <t>Close Mentorship Event for Leeresha Dehaloo with Nabeel Makkan
Create Mentorship Event for Leeresha Dehaloo with Nabeel Makkan</t>
  </si>
  <si>
    <t>5054729</t>
  </si>
  <si>
    <t>Linda Hlophe (Terminated)</t>
  </si>
  <si>
    <t>Career growth and guidance with aspirations of becoming a great senior.</t>
  </si>
  <si>
    <t>5649528</t>
  </si>
  <si>
    <t>Handry Xulu</t>
  </si>
  <si>
    <t>FNB eBucks (Norma Tshoke)</t>
  </si>
  <si>
    <t>25600005663 FNB eBucks Business Decision Support</t>
  </si>
  <si>
    <t>Create Mentorship Event for Handry Xulu with Linda Hlophe (Terminated)</t>
  </si>
  <si>
    <t>2913844</t>
  </si>
  <si>
    <t>Kehiloe Makhele</t>
  </si>
  <si>
    <t>I am seeking a mentor within my workplace to guide me in transitioning from my current role as a Learning Architect to a career in Digital Marketing and Brand Media. With my background in content creation, design, and audience engagement, I am eager to apply my skills in a more strategic and impactful way within the marketing space. A mentor would provide invaluable insights into industry best practices, brand positioning, and corporate marketing strategies while helping me navigate the shift within the financial sector. Their guidance would enhance my understanding of digital marketing trends, strengthen my strategic thinking, and ensure a seamless transition into a role where I can contribute meaningfully to the organization’s brand growth and digital presence.</t>
  </si>
  <si>
    <t>FNB Corporate Affairs Internal Branding (Jennifer Heeger)</t>
  </si>
  <si>
    <t>39400005485 FNB Corporate Affairs Internal Branding</t>
  </si>
  <si>
    <t>Digital Communications Manager</t>
  </si>
  <si>
    <t>5568927</t>
  </si>
  <si>
    <t>Sibusiso Mnisi</t>
  </si>
  <si>
    <t>FNB Loans (Angelina Semetsi)</t>
  </si>
  <si>
    <t>79100009676 FNB Consumer Loans Human Resources</t>
  </si>
  <si>
    <t>Learning Architect</t>
  </si>
  <si>
    <t>Create Mentorship Event for Sibusiso Mnisi with Kehiloe Makhele</t>
  </si>
  <si>
    <t>8872336</t>
  </si>
  <si>
    <t>Dido Wa Kalonji</t>
  </si>
  <si>
    <t>5599024</t>
  </si>
  <si>
    <t>Kenneth Mnguni</t>
  </si>
  <si>
    <t>FNB ConnectMe (Rakatsa Pelo)</t>
  </si>
  <si>
    <t>84900008643 FNB ConnectMe 2nd Level Supp</t>
  </si>
  <si>
    <t>Create Mentorship Event for Kenneth Mnguni with Dido Wa Kalonji</t>
  </si>
  <si>
    <t>3868664</t>
  </si>
  <si>
    <t>Tibane Lebese</t>
  </si>
  <si>
    <t>Enhancement of strategical-thinking and decision making
Improve problem solving from operational to long-term focus
CDAO strategical alignment with retail segments
Effective resource management</t>
  </si>
  <si>
    <t>Business Intelligence Head</t>
  </si>
  <si>
    <t>3366405</t>
  </si>
  <si>
    <t>Solomzi Klaas</t>
  </si>
  <si>
    <t>FNB HSL (Ariel Eliasov (Inherited))</t>
  </si>
  <si>
    <t>38500009748 HSL. Business Intelligence</t>
  </si>
  <si>
    <t>Create Mentorship Event for Solomzi Klaas with Tibane Lebese</t>
  </si>
  <si>
    <t>To grow my domain knowledge on the different systems, learn how to use applications and tools for the systems analyst role.</t>
  </si>
  <si>
    <t>5603595</t>
  </si>
  <si>
    <t>Simishka Dasupan</t>
  </si>
  <si>
    <t>FNB Points of Presence (Agmat Kenny)</t>
  </si>
  <si>
    <t>7710664100 FNB POP IT Application Development SSD</t>
  </si>
  <si>
    <t>Close Mentorship Event for Simishka Dasupan with Leeresha Dehaloo
Create Mentorship Event for Simishka Dasupan with Leeresha Dehaloo</t>
  </si>
  <si>
    <t>1935275</t>
  </si>
  <si>
    <t>Fernando Moreira [C]</t>
  </si>
  <si>
    <t>Mainframe Leadership development.</t>
  </si>
  <si>
    <t>79000005142 FNB Enablement OCIO Executive</t>
  </si>
  <si>
    <t>5232813</t>
  </si>
  <si>
    <t>Cameron Scott</t>
  </si>
  <si>
    <t>20700005533 CDO Infrastructure and Security Services Mainframe</t>
  </si>
  <si>
    <t>Create Mentorship Event for Cameron Scott with Fernando Moreira [C]</t>
  </si>
  <si>
    <t>5189543</t>
  </si>
  <si>
    <t>Nolwazi Ndlovu</t>
  </si>
  <si>
    <t>I am seeking a mentorship opportunity to enhance my digital marketing skills and achieve my goal of becoming a digital marketer. Through this mentoring relationship, I aim to:
Develop leadership skills: I aspire to take on more leadership roles within digital marketing and improve my ability to lead and inspire marketing teams effectively.
Broaden organizational knowledge: I want to gain a deeper understanding of digital marketing practices across different functions and operations within my company to better align my work with the overall business objectives.
Relationship building and networking: I am keen to build strong professional relationships and expand my network within the digital marketing community to open up new opportunities for collaboration and career advancement.
Ultimately, the purpose of this mentorship is for me to become a digital marketer, where I can leverage my skills and experience to lead successful marketing campaigns and drive positive outcomes for my organization.
I am highly motivated and committed to making the most of this mentorship experience. I believe that with the guidance and support of a mentor, I can achieve my career aspirations and contribute more effectively to my organization.</t>
  </si>
  <si>
    <t>FNB Integrated Advice (Ester Ochse)</t>
  </si>
  <si>
    <t>4968247</t>
  </si>
  <si>
    <t>Kelin Van Der Westhuizen</t>
  </si>
  <si>
    <t>FNB Connect and Service Provider (Tebogo Sape)</t>
  </si>
  <si>
    <t>Create Mentorship Event for Kelin Van Der Westhuizen with Nolwazi Ndlovu</t>
  </si>
  <si>
    <t>I hope you're doing well. I’m reaching out to express my interest in learning from your expertise as I work toward transitioning into a Business Analyst role. 
With eight years of experience as a Client Service Specialist, I have developed a strong foundation in problem-solving, stakeholder management, and process improvement. Additionally, I completed a Business Analysis NQF Level 5 certification and gained hands-on experience through a two-year job shadowing program at Commercial TXP.
As I continue refining my skills and preparing for this transition, I would greatly appreciate the opportunity to learn from your insights—whether through guidance, advice, or occasional check-ins. Your experience in [specific area, e.g., business process modeling, stakeholder engagement] would be invaluable in helping me navigate this journey.
If you're open to it, I would love to set up a brief meeting at your convenience to discuss this further. Please let me know a time that works for you.
Thank you for your time and consideration—I truly appreciate it.
Best regards,
Lebogang Serache</t>
  </si>
  <si>
    <t>Create Mentorship Event for Lebogang Serache with Cuthbert (Sedutla) Sekgotodi</t>
  </si>
  <si>
    <t>Assisting with code bases and understanding code for Online banking back end, managing codebases/git.</t>
  </si>
  <si>
    <t>Close Mentorship Event for Nabeel Makkan with Leeresha Dehaloo
Create Mentorship Event for Nabeel Makkan with Leeresha Dehaloo</t>
  </si>
  <si>
    <t>4527658</t>
  </si>
  <si>
    <t>Richard Foaden</t>
  </si>
  <si>
    <t>My objection is to equip myself with road map to step into a career of my choice (No experience), not necessary to get a job in that field, but to get more insight in that field / get exposure and weigh possibilities.
In short to assist with career choice / education / networking amongst others.</t>
  </si>
  <si>
    <t>FNB Commercial Structured Finance Solutions (Charl Jansen Van Rensburg)</t>
  </si>
  <si>
    <t>33900009241 FNB Commercial Leveraged Finance Gauteng East</t>
  </si>
  <si>
    <t>Deal Maker Leverage Finance</t>
  </si>
  <si>
    <t>5378982</t>
  </si>
  <si>
    <t>Edison Mabanna</t>
  </si>
  <si>
    <t>FirstRand Short Term Insurance (Jade Griffin)</t>
  </si>
  <si>
    <t>79900010208 ST Operations</t>
  </si>
  <si>
    <t>Underwriter</t>
  </si>
  <si>
    <t>Create Mentorship Event for Edison Mabanna with Richard Foaden</t>
  </si>
  <si>
    <t>Nabeel helped with explaining processes in online banking, showing me how to do use cases, guided me through projects, process mapping, API's and business functions. He also assisted in helping me understand what the roles and responsibilities of being a systems analyst are and how to manage projects. We were assigned in multiple projects together where he showed great collaboration and helped me gather even more domain knowledge.</t>
  </si>
  <si>
    <t>Create Mentorship Event for Simishka Dasupan with Nabeel Makkan</t>
  </si>
  <si>
    <t>Assistance in these projects through my first year being a Systems Analyst. Supported me through meetings, guidance, technical understanding, detailed documentation and presenting
Passthrough parameters
EBE Sales Entry Point Enablement
Account Reactivations
Zobb seamless reg
RMB POP Template change
OBE events into BDP</t>
  </si>
  <si>
    <t>5019214</t>
  </si>
  <si>
    <t>Albertina Andowa</t>
  </si>
  <si>
    <t>FNB Namibia Limited (Andria Liebenberg)</t>
  </si>
  <si>
    <t>302031B9N510 FNB Namibia Coast and Central North Area Office Walvis Bay</t>
  </si>
  <si>
    <t>Create Mentorship Event for Albertina Andowa with Annastasia Williams</t>
  </si>
  <si>
    <t>My goal is to get advice and guidance to help me grow both personally and professionally. I want to learn new skills, overcome challenges, and find opportunities that match my ambitions. By working with a mentor, I hope to gain confidence, clarity, and stay motivated while also building connections and expanding my knowledge.</t>
  </si>
  <si>
    <t>5516943</t>
  </si>
  <si>
    <t>Shantel Lutchman</t>
  </si>
  <si>
    <t>FNB Personal Segment Advisory and Suites (Janine Napier)</t>
  </si>
  <si>
    <t>97200011062 FNB PSAS Connect Chat</t>
  </si>
  <si>
    <t>Create Mentorship Event for Shantel Lutchman with Zaheer Ismail</t>
  </si>
  <si>
    <t>Guidance in my career.</t>
  </si>
  <si>
    <t>5605164</t>
  </si>
  <si>
    <t>Pashlin Naidoo</t>
  </si>
  <si>
    <t>CDO Kernel iNterfaceX (Liam Brodie)</t>
  </si>
  <si>
    <t>Create Mentorship Event for Pashlin Naidoo with Thaveshni Govender</t>
  </si>
  <si>
    <t>3878414</t>
  </si>
  <si>
    <t>Lorna Reid</t>
  </si>
  <si>
    <t>Hey Lorna, trust you're well.
I am particularly drawn to you as I can see you're currently in the FNB International area, which is where I'm interested in venturing into that leadership space. I believe that your guidance through mentorship will help me develop essential skills and knowledge. Your mentorship will not only enhance my professional development, but it'll also provide me with a valuable network support system.
Regards
Zamo</t>
  </si>
  <si>
    <t>FNB International SA (Trevor Kunda)</t>
  </si>
  <si>
    <t>Segment Lead Org Development, Design and Transformation</t>
  </si>
  <si>
    <t>Create Mentorship Event for Zamokuhle Ngema with Lorna Reid</t>
  </si>
  <si>
    <t>Assisted me with P24/068 - Digital Wallet Registration - Removal of email OTP as verification method (S)</t>
  </si>
  <si>
    <t>5454468</t>
  </si>
  <si>
    <t>Raphaahle Tema</t>
  </si>
  <si>
    <t>Create Mentorship Event for Raphaahle Tema with Leeresha Dehaloo</t>
  </si>
  <si>
    <t>Leadership mentorship, and career mentorship</t>
  </si>
  <si>
    <t>5126215</t>
  </si>
  <si>
    <t>Thato Kgalamono</t>
  </si>
  <si>
    <t>RMBSA Client Group Technology OCEP (Tyrone Naidoo)</t>
  </si>
  <si>
    <t>77800000CTJ CTJ-Client Engagement Technology</t>
  </si>
  <si>
    <t>Create Mentorship Event for Thato Kgalamono with Kgotso Buys</t>
  </si>
  <si>
    <t>5074258</t>
  </si>
  <si>
    <t>Stacy Jeannes</t>
  </si>
  <si>
    <t>FNB Central Finance (Cayoom Garrido)</t>
  </si>
  <si>
    <t>39400004304 FNB Finance Support Legal and Risk</t>
  </si>
  <si>
    <t>3903087</t>
  </si>
  <si>
    <t>Simone Dalliah-Pillay</t>
  </si>
  <si>
    <t>FNB Finance Business Solutions (Glaicy Dhurgaduth)</t>
  </si>
  <si>
    <t>32100000214 FNB Finance Business Solutions Finance Operation Centre East Coast</t>
  </si>
  <si>
    <t>Team Leader Administration</t>
  </si>
  <si>
    <t>Create Mentorship Event for Simone Dalliah-Pillay with Stacy Jeannes</t>
  </si>
  <si>
    <t>4612744</t>
  </si>
  <si>
    <t>Naeem Motala</t>
  </si>
  <si>
    <t>Hi there Naeem, hope you're well. I saw that your title is the head of Procurement, and I want to be exactly where you are in future. I'm currently in procurement myself as a requester and I enjoy it and would love to learn the broader aspects of and what your role entails. I have my bachelor's degree in commerce and will soon start my Honours specializing in supply chain. Thank you for your consideration</t>
  </si>
  <si>
    <t>FNB Private Chief Financial Office (Yashen Singh)</t>
  </si>
  <si>
    <t>85500008554 FNB Retail IT Procurement</t>
  </si>
  <si>
    <t>Procurement Head</t>
  </si>
  <si>
    <t>5125928</t>
  </si>
  <si>
    <t>Alyssia Pillay</t>
  </si>
  <si>
    <t>FNB Core Banking Platform (Urshla Jackson)</t>
  </si>
  <si>
    <t>Financial Administrator</t>
  </si>
  <si>
    <t>Create Mentorship Event for Alyssia Pillay with Naeem Motala</t>
  </si>
  <si>
    <t>Dear Naomi,
I hope this letter finds you in good health :).
I am Rivoningo Maphanga, I'm currently a Data Scientist at FNB. My journey so far has been fueled by a deep-seated passion for applying quantitative models to solve complex problems. I’ve spent years analyzing data, improving predictive models, and tackling financial challenges. Now, I find myself drawn to the dynamic world of global markets - a space that blends innovation, strategy, and the fast-paced nature of financial decision-making.
My specific interest lies in roles like Front Office Quantitative Analyst, Market Risk Analyst, Trading, and Structuring. I am fascinated by how mathematical models and advanced analytics can help anticipate market movements, optimize trading strategies, and manage risks effectively. This intersection of data science and finance excites me because it presents an opportunity to use my technical skills in new ways - shaping market strategies, enhancing risk mitigation tactics, and ultimately driving business success in the global financial landscape.
While my background has prepared me with a robust foundation in mathematics and data science, I’m aware that the shift to global markets requires a different set of insights and strategic thinking. The landscape is ever-evolving, and I am eager to understand the nuances of this field - be it the intricacies of trading dynamics, the application of advanced risk models, or the real-world pressures that shape financial markets. I am not just looking for advice on how to transition, but rather a mentor who can guide me through the learning curve, challenge my assumptions, and help me refine my skills to excel in this new space.
My desire for mentorship is driven by a strong commitment to grow, adapt, and push the boundaries of my own potential. I am seeking guidance from an industry expert who can provide me with the knowledge, practical insights, and career strategies to ensure a seamless and successful transition into global markets. Your experience and success in the industry are qualities that I deeply admire, and I am confident that with your mentorship, I can gain the clarity and direction I need to successfully make this shift in my career.
I have included a link to my LinkedIn profile below for your reference, where you can review my background and experiences in more detail:
http://linkedin.com/in/rivo-tervin-maphanga-phd-5a27a5193.
My contact details are as follows:
Cell Phone: 079 664 3355
Email Work: rivoningo.maphanga@fnb.co.za and Personal: rivoningo.maphanga@gmail.com
I would be highly honored if you can allow us sometime in your busy schedule to meet for a coffee chat. It would also be an honor if you can consider my request, and I will always be excited about the possibility of working together and learning from your expertise. Thank you so much.
Sincerely,
Rivoningo Maphanga</t>
  </si>
  <si>
    <t>5471710</t>
  </si>
  <si>
    <t>Rivoningo Maphanga (Terminated)</t>
  </si>
  <si>
    <t>Create Mentorship Event for Rivoningo Maphanga (Terminated) with Naomi Sekgobela</t>
  </si>
  <si>
    <t>Get guidance on how to better fulfill my role as Mainframe Systems Architect.</t>
  </si>
  <si>
    <t>2875403</t>
  </si>
  <si>
    <t>Rishi Thulsie</t>
  </si>
  <si>
    <t>Create Mentorship Event for Rishi Thulsie with Fernando Moreira [C]</t>
  </si>
  <si>
    <t>3351068</t>
  </si>
  <si>
    <t>Melanie Sacks</t>
  </si>
  <si>
    <t>Dear Melanie,
I wanted to express my sincere gratitude for agreeing to mentor me. I am excited to learn from your experience and insights, and I am confident that your guidance will help me to achieve my goals.
I would like to pursue my career in Project Management. The main purpose of this mentorship is to achieve my short-term goals (1-2 years) and would like to focus on the following under your guidance.
1. Identify key skills required for desired role and focus on developing them.
2. Pursue relevant certifications or training to enhance my skills and knowledge.
3. Pairing with experienced project managers to understand project management skills and techniques to the real-time projects.
I will define an action plan and then meet on consistent basis. Thank you again for your time and support, I look forward to our first meeting.</t>
  </si>
  <si>
    <t>FNB Commercial TxP (Rob Lanning)</t>
  </si>
  <si>
    <t>39800004193 FNB Commercial Core Transaction Services</t>
  </si>
  <si>
    <t>4965302</t>
  </si>
  <si>
    <t>Sushma Gundala</t>
  </si>
  <si>
    <t>IT Business Analyst</t>
  </si>
  <si>
    <t>Create Mentorship Event for Sushma Gundala with Melanie Sacks</t>
  </si>
  <si>
    <t>Career development
Guidance on education and professional growth
Building confidence and decision-making skills
Networking and Industry insight
Accountability and support</t>
  </si>
  <si>
    <t>3344886</t>
  </si>
  <si>
    <t>Fikile Zwane</t>
  </si>
  <si>
    <t>FNB Commercial Sales Gauteng North (Ash Naidoo)</t>
  </si>
  <si>
    <t>34200006523 FNB Commercial Sales Gauteng Sandton 10 to 60M A</t>
  </si>
  <si>
    <t>Create Mentorship Event for Fikile Zwane with Thirumala Pillay</t>
  </si>
  <si>
    <t>To get guidance from Fernando w.r.t Technical skills, Management Skills, Life Skills and career guidance .</t>
  </si>
  <si>
    <t>5238161</t>
  </si>
  <si>
    <t>Geveza Nhlapo</t>
  </si>
  <si>
    <t>20700005355 CDO Infrastructure and Security Services Mainframe Storage</t>
  </si>
  <si>
    <t>Create Mentorship Event for Geveza Nhlapo with Fernando Moreira [C]</t>
  </si>
  <si>
    <t>To have self-confidence and more confident in myself and my work.</t>
  </si>
  <si>
    <t>3366782</t>
  </si>
  <si>
    <t>Mantsho Msibi</t>
  </si>
  <si>
    <t>RMBSA Central Operations Quality Assurance (Portia Orgill)</t>
  </si>
  <si>
    <t>77800000QLA RMBSA Quality Assurance</t>
  </si>
  <si>
    <t>Create Mentorship Event for Mantsho Msibi with Mumbi Odame</t>
  </si>
  <si>
    <t>Help with relationship building and networking, learn how to navigate the system. Deal with diversity and inclusion challenges.</t>
  </si>
  <si>
    <t>3903508</t>
  </si>
  <si>
    <t>Fahmeeda Darsot</t>
  </si>
  <si>
    <t>IT Technical Support Manager</t>
  </si>
  <si>
    <t>Create Mentorship Event for Fahmeeda Darsot with Fernando Moreira [C]</t>
  </si>
  <si>
    <t>I want to learn to build models.</t>
  </si>
  <si>
    <t>5568935</t>
  </si>
  <si>
    <t>Kabelo Sekgala</t>
  </si>
  <si>
    <t>FNB Wealth and Investments (Nkgopoleng Senkoto)</t>
  </si>
  <si>
    <t>46800004262 FNB WI Data and Analytics</t>
  </si>
  <si>
    <t>Create Mentorship Event for Kabelo Sekgala with Itumeleng Kgoare</t>
  </si>
  <si>
    <t>I joined the bank about five months ago and am currently in the process of familiarising myself with the organisational structure and how things are done. As part of my growth, I’m also actively seeking career guidance and opportunities to develop my leadership skills.
One area I’ve been finding particularly challenging is relationship-building and networking, and it’s something I’d really like to grow more confident in</t>
  </si>
  <si>
    <t>8877271</t>
  </si>
  <si>
    <t>Gugu Sogobile</t>
  </si>
  <si>
    <t>FNB Private Core Banking (Diahann Neves)</t>
  </si>
  <si>
    <t>41200007812 FNB Private Core Banking Transact Account and Facility</t>
  </si>
  <si>
    <t>Customer Experience Specialist</t>
  </si>
  <si>
    <t>Create Mentorship Event for Gugu Sogobile with Malebo Phahlamohlaka</t>
  </si>
  <si>
    <t>Career growth and progression into a risk role</t>
  </si>
  <si>
    <t>4855612</t>
  </si>
  <si>
    <t>Rodney Mputla</t>
  </si>
  <si>
    <t>FNB Retail COO (Thalente Teresia Mushayi)</t>
  </si>
  <si>
    <t>Create Mentorship Event for Rodney Mputla with Raymond Tyler</t>
  </si>
  <si>
    <t>4807200</t>
  </si>
  <si>
    <t>Muhammad Seedat</t>
  </si>
  <si>
    <t>Business Architect</t>
  </si>
  <si>
    <t>Create Mentorship Event for Muhammad Seedat with Ashley Saffy</t>
  </si>
  <si>
    <t>Hi Muhammad,
I hope this message finds you well. My name is Nompumelelo Manzini, and I am currently working as a Systems Analyst in Retail Collections. I am passionate about advancing my career and aspire to become a Business Architect.
I would greatly appreciate your guidance and mentorship to help me achieve this goal. Your expertise and experience in the field would be invaluable to me as I navigate this career path.
Thank you for considering my request. I look forward to the opportunity to learn from you.
http://www.linkedin.com/in/nompumelelo-manzini-6292b821
Best regards,
Nompumelelo</t>
  </si>
  <si>
    <t>5496667</t>
  </si>
  <si>
    <t>Nompumelelo Manzini</t>
  </si>
  <si>
    <t>FNB Core Banking Platform Collections IT (Bongani Msibi)</t>
  </si>
  <si>
    <t>59600005979 FNB Personal and Private IT Collections IT</t>
  </si>
  <si>
    <t>Create Mentorship Event for Nompumelelo Manzini with Muhammad Seedat</t>
  </si>
  <si>
    <t>5012457</t>
  </si>
  <si>
    <t>Tejal Daya</t>
  </si>
  <si>
    <t>To assist with transitioning into leadership and help with career development</t>
  </si>
  <si>
    <t>FNB Private Banking &amp; Advisory (Kotane Lekota)</t>
  </si>
  <si>
    <t>34100003505 PB&amp;A Coverage Wealth</t>
  </si>
  <si>
    <t>5126827</t>
  </si>
  <si>
    <t>Juhi Sewpersadh</t>
  </si>
  <si>
    <t>FNB Private Banking and Advisory (Keshir Gokul)</t>
  </si>
  <si>
    <t>34100003746 PB&amp;A Fairlands South Affluent</t>
  </si>
  <si>
    <t>Create Mentorship Event for Juhi Sewpersadh with Tejal Daya</t>
  </si>
  <si>
    <t>2363895</t>
  </si>
  <si>
    <t>Mapule Mahlangu</t>
  </si>
  <si>
    <t>Develop leadership skills
Better integration into a team/business unit
Relationship building and networking</t>
  </si>
  <si>
    <t>FNB Commercial Sales Gauteng North (Thabang Mafora)</t>
  </si>
  <si>
    <t>34300006539 FNB Commercial Growth Tshwane South</t>
  </si>
  <si>
    <t>Create Mentorship Event for Brian Sithole with Mapule Mahlangu</t>
  </si>
  <si>
    <t>Hi Lorna
I currently work as a Partner Growth Manager in the FNB eBucks space. I'm considering changing roles at the moment and would appreciate some guidance in navigating this. Having a background in Psychology and having worked in the startup environment and at an agency before, I'm looking for something that is more orientated around people, communication and processes as opposed my role at the moment which is more orientated towards revenue growth, negotiation and analytics. Your profile seems really interesting especially your work around change management.</t>
  </si>
  <si>
    <t>5534313</t>
  </si>
  <si>
    <t>Caitlin Gow</t>
  </si>
  <si>
    <t>FNB eBucks Chief Executive Office (Tilene Narainan)</t>
  </si>
  <si>
    <t>25600005686 FNB eBucks Relationship Management Retailers</t>
  </si>
  <si>
    <t>Partner Growth Manager</t>
  </si>
  <si>
    <t>Create Mentorship Event for Caitlin Gow with Lorna Reid</t>
  </si>
  <si>
    <t>I am a new technical manager. I need help with transitioning to my new role and also help with coaching and a soundboard.</t>
  </si>
  <si>
    <t>5304334</t>
  </si>
  <si>
    <t>Yolanda Xaba</t>
  </si>
  <si>
    <t>CDO Kernel Workflow (Innocent Gumede)</t>
  </si>
  <si>
    <t>79000006375 CDO Kernel Workflow</t>
  </si>
  <si>
    <t>Create Mentorship Event for Yolanda Xaba with Shetal Bhoola</t>
  </si>
  <si>
    <t>5558883</t>
  </si>
  <si>
    <t>Chuene Modikoa</t>
  </si>
  <si>
    <t>FNB Integrated Advice (Raeesa Makda)</t>
  </si>
  <si>
    <t>85500004896 FNB Private Integrated Advice</t>
  </si>
  <si>
    <t>Data Administrator</t>
  </si>
  <si>
    <t>Create Mentorship Event for Chuene Modikoa with Humbulani Colbert Nekhumbe</t>
  </si>
  <si>
    <t>SAS Technical Skills Coaching/Enhancement</t>
  </si>
  <si>
    <t>3664023</t>
  </si>
  <si>
    <t>Keke Msiza</t>
  </si>
  <si>
    <t>Create Mentorship Event for Keke Msiza with Linda Hlophe (Terminated)</t>
  </si>
  <si>
    <t>5376963</t>
  </si>
  <si>
    <t>Mohammed Abdul Hamid</t>
  </si>
  <si>
    <t>Career development, technical skill growth and overall guidance.</t>
  </si>
  <si>
    <t>CDO Kernel iNterfaceX (Direshan Govender)</t>
  </si>
  <si>
    <t>5605350</t>
  </si>
  <si>
    <t>Amokelane Baloyi</t>
  </si>
  <si>
    <t>Create Mentorship Event for Amokelane Baloyi with Mohammed Abdul Hamid</t>
  </si>
  <si>
    <t>Someone once said, "Poor people ought to take rich people out to dinner and listen." (Networking) Perhaps not rich in terms of net worth, rich can be a broad spectrum.
That is what I would say is my purpose for this mentoring relationship. Having basically nonexistent professional education my best bet is hard work, continuous learning and charm.</t>
  </si>
  <si>
    <t>5228824</t>
  </si>
  <si>
    <t>Siyabonga Gumede</t>
  </si>
  <si>
    <t>FNB Points of Presence (Themba Gova)</t>
  </si>
  <si>
    <t>7710523500 FNB POP Security Operations</t>
  </si>
  <si>
    <t>Create Mentorship Event for Siyabonga Gumede with Caryn Bell</t>
  </si>
  <si>
    <t>4698576</t>
  </si>
  <si>
    <t>Heidi Coetzee</t>
  </si>
  <si>
    <t>Career and Leadership mentorship</t>
  </si>
  <si>
    <t>RMBSA IBD Technology Cluster 3 (Bhavesh Desaraj (Inherited))</t>
  </si>
  <si>
    <t>77800000BXC RMBSA TTS Technology Trade</t>
  </si>
  <si>
    <t>IT Quality Test Manager</t>
  </si>
  <si>
    <t>4789571</t>
  </si>
  <si>
    <t>Palesa Phosisi</t>
  </si>
  <si>
    <t>RMBSA IBD Technology Cluster 3 Testing Team (Heidi Coetzee)</t>
  </si>
  <si>
    <t>Create Mentorship Event for Palesa Phosisi with Heidi Coetzee</t>
  </si>
  <si>
    <t>To gain strategic insight and leadership guidance in the area of cash investments and broader treasury functions, helping me connect my analytical foundation (through the CFA and graduate program) with real-world decision-making at an executive level. I hope to learn how to think beyond the numbers—to understand how senior leaders balance liquidity, yield, risk, and stakeholder priorities in a banking context. Ultimately, I aim to develop into a well-rounded investment professional who can contribute meaningfully to both product innovation and client strategy.</t>
  </si>
  <si>
    <t>8878650</t>
  </si>
  <si>
    <t>Blessing Mpafa</t>
  </si>
  <si>
    <t>FNB Private Banking &amp; Advisory (Amanda Meijer)</t>
  </si>
  <si>
    <t>34100005962 PB&amp;A Sandton Affluent</t>
  </si>
  <si>
    <t>Private Clients Advisor</t>
  </si>
  <si>
    <t>Create Mentorship Event for Blessing Mpafa with Himal Parbhoo</t>
  </si>
  <si>
    <t>I have been awarded learnership for Occupational Certificate: Organizational Risk Practitioner. Therefore, I require guidance and assistance for me to be able to achieve the required objectives and acquire knowledge in the field of Risk Management and to be able to grow into my aspired future role.</t>
  </si>
  <si>
    <t>Create Mentorship Event for Nomvula Luphoko with Renusha Moodley</t>
  </si>
  <si>
    <t>4975278</t>
  </si>
  <si>
    <t>Mashudu Matsila</t>
  </si>
  <si>
    <t>The reason i would like to have a mentor is because i would like to advance my career in the finance space since i myself am a bachelor of commerce in accounting and finance degree holder. I am very eager to learn from others and also to apply the knowledge i have acquired from the qualification i possess.
Hope to hear from you soon.</t>
  </si>
  <si>
    <t>REMS Real Estate Management Services (Lodi Mothiba)</t>
  </si>
  <si>
    <t>22300006243 REMS Finance</t>
  </si>
  <si>
    <t>Create Mentorship Event for Obakeng Mokalapa with Mashudu Matsila</t>
  </si>
  <si>
    <t>I recently completed my Postgraduate Diploma in Risk Management, and I would like to broaden my knowledge and skills in risk management. My goal is to go into the risk management field and with the help and guidance of a mentor I believe I will gain a lot of insight.</t>
  </si>
  <si>
    <t>5010349</t>
  </si>
  <si>
    <t>Nondumiso Gumbi</t>
  </si>
  <si>
    <t>FNB Private Banking and Advisory (Amanda Nematswerane)</t>
  </si>
  <si>
    <t>34100008793 PB&amp;A MyFAIS Solutions</t>
  </si>
  <si>
    <t>Create Mentorship Event for Nondumiso Gumbi with Rialivhuwa Mudau</t>
  </si>
  <si>
    <t>Dear Tammy,
I hope this message finds you well.
As previously discussed, I have a keen interest in pursuing a career in Compliance.
I am reaching out to you because I admire your extensive experience and expertise in the field. I believe that your guidance would be invaluable as I navigate the early stages of my career. I am eager to learn from your insights and experiences, and I am committed to developing my skills in this area.
Thank you for considering my request. I look forward to hearing from you.
Warm regards,
Siyaan</t>
  </si>
  <si>
    <t>Create Mentorship Event for Siyaan Davids with Thirumala Pillay</t>
  </si>
  <si>
    <t>5527171</t>
  </si>
  <si>
    <t>Thuba Mthembu (Terminated)</t>
  </si>
  <si>
    <t>Good Evening, my name is Kamogelo Moleya, I'm currently in the cash space and would like to move to the Digital Marketing space. I am currently studying Advanced Digital Marketing.</t>
  </si>
  <si>
    <t>5611172</t>
  </si>
  <si>
    <t>Kamogelo Moleya</t>
  </si>
  <si>
    <t>FNB Commercial Cash Operations Support (Thembisa Mcetywa)</t>
  </si>
  <si>
    <t>Create Mentorship Event for Kamogelo Moleya with Thuba Mthembu (Terminated)</t>
  </si>
  <si>
    <t>As a current Quality Assurance (QA) professional and a second year IT student. I am actively working toward a career transition into the broader field of Information Technology, with a specific interest in software development. I am passionate about developing and have already gained experience learning programming languages such as Python, Java, JavaScript.
I had the opportunity to participate in the 2025 FNB App Academy, which deepened my interest in development and gave me practical exposure to building applications.
To support my career transition and growth, I am seeking a mentor who can provide:
Career Guidance: Help me gain clarity on the best development paths within IT, understand industry expectations and advise on certifications and skills to focus on.
Career Transition Management: Assist me in navigating the shift from QA to development, including leveraging my existing skills, building a strong development portfolio and gaining confidence in new responsibilities.
Relationship Building and Networking: Guide me on how to build meaningful professional connections within the IT industry and connect with communities and opportunities that support my growth.
Having a mentor experienced in software development would be invaluable as I work towards building a successful career in IT.
I would have liked to attach my CV for your reference, but unfortunately, the attachment section does not provide an option to upload documents. If there's an alternative way I can share it with you such as via email or a shared link please let me know and I'd be happy to do so.</t>
  </si>
  <si>
    <t>5665582</t>
  </si>
  <si>
    <t>Basetsana Sekaja</t>
  </si>
  <si>
    <t>FirstRand Short Term Insurance (Charlotte Sikhakhane)</t>
  </si>
  <si>
    <t>Create Mentorship Event for Basetsana Sekaja with Henry Lesar</t>
  </si>
  <si>
    <t>3086178</t>
  </si>
  <si>
    <t>Goitsemodimo Melesi</t>
  </si>
  <si>
    <t>FNB Public Relations Office (Sipho Silinda)</t>
  </si>
  <si>
    <t>84100005287 FNB Commercial Public Sector EXCO</t>
  </si>
  <si>
    <t>Business Solutions Head</t>
  </si>
  <si>
    <t>5489814</t>
  </si>
  <si>
    <t>Mbali Ndhlovu</t>
  </si>
  <si>
    <t>FNB Commercial Chief Risk Office (Dhaamin Pietersen)</t>
  </si>
  <si>
    <t>Create Mentorship Event for Mbali Ndhlovu with Goitsemodimo Melesi</t>
  </si>
  <si>
    <t>4994868</t>
  </si>
  <si>
    <t>Kavilan Rajagopaul Pillay</t>
  </si>
  <si>
    <t>FNB Retail COO (Felicity Dlamini)</t>
  </si>
  <si>
    <t>5003229</t>
  </si>
  <si>
    <t>Lezandre Adams</t>
  </si>
  <si>
    <t>FNB Connect and Service Provider (Elvira Moses)</t>
  </si>
  <si>
    <t>83100005572 FNB Connect Operations</t>
  </si>
  <si>
    <t>Create Mentorship Event for Lezandre Adams with Kavilan Rajagopaul Pillay</t>
  </si>
  <si>
    <t>As an aspiring accounting and finance professional seeking to start a career in the global market space, I believe that having your guidance could sharpen my analytical skills, broaden my perspective on market behavior, and help me grow into a well-rounded professional</t>
  </si>
  <si>
    <t>8877593</t>
  </si>
  <si>
    <t>Georgette Akua Baah-Danquah</t>
  </si>
  <si>
    <t>Ghana Corporate and Investment Banking (Stephen Mordey)</t>
  </si>
  <si>
    <t>55400006504 Ghana Custody</t>
  </si>
  <si>
    <t>Corporate Actions Specialist</t>
  </si>
  <si>
    <t>Create Mentorship Event for Georgette Akua Baah-Danquah with Annanda Basson</t>
  </si>
  <si>
    <t>For Job development and analysis improvement</t>
  </si>
  <si>
    <t>3516547</t>
  </si>
  <si>
    <t>Tanya Zackey</t>
  </si>
  <si>
    <t>Create Mentorship Event for Tanya Zackey with Heidi Coetzee</t>
  </si>
  <si>
    <t>4943384</t>
  </si>
  <si>
    <t>Kevin Smith</t>
  </si>
  <si>
    <t>To guide me by sharing knowledge, best practices, and problem-solving strategies. To also help foster growth, confidence, and technical excellence within the team.</t>
  </si>
  <si>
    <t>CDO Kernel ECM (Lucas Molea)</t>
  </si>
  <si>
    <t>79000004946 CDO Kernel ECM</t>
  </si>
  <si>
    <t>8877067</t>
  </si>
  <si>
    <t>Xolani Dennis Zwane</t>
  </si>
  <si>
    <t>CDO Kernel ECM (Kaone Leshomo)</t>
  </si>
  <si>
    <t>78200000INE FRCC INE - India Expenses</t>
  </si>
  <si>
    <t>Learnership</t>
  </si>
  <si>
    <t>Close Mentorship Event for Xolani Dennis Zwane with Kevin Smith
Create Mentorship Event for Xolani Dennis Zwane with Kevin Smith
Edit Mentorship Event for Xolani Dennis Zwane with Kevin Smith</t>
  </si>
  <si>
    <t>5385741</t>
  </si>
  <si>
    <t>Matthew West</t>
  </si>
  <si>
    <t>Close Mentorship Event for Matthew West with Kevin Smith
Create Mentorship Event for Matthew West with Kevin Smith</t>
  </si>
  <si>
    <t>Dear Kavilan,
I trust you are well. My journey in the volunteer space since 2016 has been partnering with schools specifically Tembisa High School to assist with their challenges, I provide solutions and implementation of these solutions. There are times where the derived goals were a Program or a Project. During my volunteer journey, I have been supported by many Executives within the FirstRand group. Whilst I am truly grateful for the support that I received, I would like to gain the technical support and expertise to assist me further and I believe that with your guidance, this can be achieved.
Kind regards,
Logeshnie</t>
  </si>
  <si>
    <t>4611004</t>
  </si>
  <si>
    <t>Lu Pillay</t>
  </si>
  <si>
    <t>FNB Private Banking &amp; Advisory (Wendy Mcfadden)</t>
  </si>
  <si>
    <t>34100003202 PB&amp;A Sandton Wealth</t>
  </si>
  <si>
    <t>Private Wealth Advisor</t>
  </si>
  <si>
    <t>Create Mentorship Event for Lu Pillay with Kavilan Rajagopaul Pillay</t>
  </si>
  <si>
    <t>5597900</t>
  </si>
  <si>
    <t>Aobakwe Kgobokoe</t>
  </si>
  <si>
    <t>Getting guidance about what system analyst does as a career
This for me to understand the functional requirements, technical requirement and business requirement
getting more knowledge about the business system operations.</t>
  </si>
  <si>
    <t>FNB Core Banking Platform (Johan Van Rooyen)</t>
  </si>
  <si>
    <t>5281725</t>
  </si>
  <si>
    <t>Nonhlanhla Mahlaba</t>
  </si>
  <si>
    <t>FNB Loans (Madelein Greyvensteyn)</t>
  </si>
  <si>
    <t>Create Mentorship Event for Nonhlanhla Mahlaba with Aobakwe Kgobokoe</t>
  </si>
  <si>
    <t>Dear Mr. Litton,
I hope this message finds you well. My name is Keamogetse Roberts, and I am an admitted attorney working as a Quality Assurer under Short Term Insurance. While I am grateful for the opportunity to contribute to the bank in this role, I am eager to grow and expand my career within the organization, leveraging both my legal background and my passion for the financial industry.
However, I must admit I feel a bit uncertain about the best path forward. Having practiced law briefly during my articles before transitioning to FNB, I'm still exploring how to align my qualifications with opportunities available in the banking sector. Currently, I am in the process of writing the RE5 examination and considering pursuing RE1, hoping these certifications will open new possibilities.
This is where I believe your guidance could make a profound difference. Your experience and insights in the industry would be invaluable as I navigate questions like:
How can I best leverage my legal training within FNB's ecosystem?
What skills or certifications (beyond RE1 and RE5) should I prioritize to advance in compliance, risk, or another relevant area?
Are there specific roles or projects you'd recommend I explore to bridge my legal experience with banking operations?
I would greatly appreciate the opportunity to learn from your journey and advice. Your mentorship could help me gain clarity, confidence and a strategic direction as I work toward contributing more meaningfully to the bank and my own professional growth.
Thank you for considering my request. I am happy to accommodate your schedule and would be thrilled to connect at your convenience. I am unable to attach my CV, the system is currently not giving me the option to attach any documents. I would also like to inform you that Talent Conncet have scheduled a meeting with me on Friday to assist me in reviewing both my talent card and CV.
Please let me know if there is any additional information I can provide.
Warm regards,
Keamogetse Roberts</t>
  </si>
  <si>
    <t>5407699</t>
  </si>
  <si>
    <t>Keamogetse Roberts</t>
  </si>
  <si>
    <t>Create Mentorship Event for Keamogetse Roberts with Nicholas Litton</t>
  </si>
  <si>
    <t>Upskilling into Architecture</t>
  </si>
  <si>
    <t>5247357</t>
  </si>
  <si>
    <t>Tariq Ismail</t>
  </si>
  <si>
    <t>FNB Dynamic Decisioning (Zunaid Le Roux)</t>
  </si>
  <si>
    <t>23900008011 FNB D2 Data Management</t>
  </si>
  <si>
    <t>Create Mentorship Event for Tariq Ismail with Andre Olivier</t>
  </si>
  <si>
    <t>Having successfully completed the Essentials to Compliance course through UCT GetSmarter, I am eager to deepen my practical understanding of compliance frameworks and regulatory environments through structured mentoring. While the course provided a solid theoretical foundation in key areas such as governance, risk management, regulatory compliance, and ethics, I recognize that real-world application is essential to becoming an effective compliance professional. Mentorship can help shape my career path by identifying areas of specialization, building professional networks, and preparing for certification or advancement opportunities in the compliance field .</t>
  </si>
  <si>
    <t>5566886</t>
  </si>
  <si>
    <t>Roslyn Govender</t>
  </si>
  <si>
    <t>FNB Private Banking &amp; Advisory (Janet Dadswell)</t>
  </si>
  <si>
    <t>34100007662 PB&amp;A Midrand Wealth</t>
  </si>
  <si>
    <t>Create Mentorship Event for Roslyn Govender with Thirumala Pillay</t>
  </si>
  <si>
    <t>Workplace agreement for the Occupational Compliance certification course.</t>
  </si>
  <si>
    <t>3537897</t>
  </si>
  <si>
    <t>Shane Damons</t>
  </si>
  <si>
    <t>FNB Cash Investments (Shaista Sarally)</t>
  </si>
  <si>
    <t>65100008535 FNB Cash Investments LRC</t>
  </si>
  <si>
    <t>Complaints Manager</t>
  </si>
  <si>
    <t>Create Mentorship Event for Shane Damons with Thirumala Pillay</t>
  </si>
  <si>
    <t>2216191</t>
  </si>
  <si>
    <t>Liesel Claase</t>
  </si>
  <si>
    <t>With a qualification in Communications Management and no prior work experience in the field, this mentorship offers a valuable opportunity to gain industry-specific exposure and strengthen my expertise in marketing and communications within the banking sector</t>
  </si>
  <si>
    <t>FNB Commercial Forex Commercial (Richard Porter (Inherited))</t>
  </si>
  <si>
    <t>81800008578 FNB Commercial Forex Commercial</t>
  </si>
  <si>
    <t>5306469</t>
  </si>
  <si>
    <t>Ofentse Pitso</t>
  </si>
  <si>
    <t>FNB Commercial Forex Fulfilment (Mosa Dhlamini)</t>
  </si>
  <si>
    <t>81800008163 FNB Commercial Forex Drafts</t>
  </si>
  <si>
    <t>Create Mentorship Event for Ofentse Pitso with Liesel Claase</t>
  </si>
  <si>
    <t>I need guidance, support and help to develop legal skills and obtain advice on career growth and new opportunities.</t>
  </si>
  <si>
    <t>5586496</t>
  </si>
  <si>
    <t>Caledon Hluyako</t>
  </si>
  <si>
    <t>FirstRand Short Term Insurance (Tshifhiwa Moseta)</t>
  </si>
  <si>
    <t>Create Mentorship Event for Caledon Hluyako with Yasmin Kadwa</t>
  </si>
  <si>
    <t>4674200</t>
  </si>
  <si>
    <t>Viera Macheve</t>
  </si>
  <si>
    <t>HYPHEN (Cathy Davis)</t>
  </si>
  <si>
    <t>23300002342 FR Hyphen Payments Distribution Operations</t>
  </si>
  <si>
    <t>PDA Client Service Solutions Specialist</t>
  </si>
  <si>
    <t>Create Mentorship Event for Viera Macheve with Alcinda Moezelaar</t>
  </si>
  <si>
    <t>4655249</t>
  </si>
  <si>
    <t>Candice Mesk</t>
  </si>
  <si>
    <t>Leadership, IT Development, Strategy</t>
  </si>
  <si>
    <t>Crypto and Decentral Ledger Tech (Rikki Barnes)</t>
  </si>
  <si>
    <t>20200002408 FRCC Crypto and Decentral Ledger Tech</t>
  </si>
  <si>
    <t>Applications Development Head</t>
  </si>
  <si>
    <t>5508088</t>
  </si>
  <si>
    <t>Nkosinathi Ngwenya</t>
  </si>
  <si>
    <t>FNB Points of Presence (Thato Rampyeshe)</t>
  </si>
  <si>
    <t>7710616700 FNB POP IT Application Development Branch</t>
  </si>
  <si>
    <t>Create Mentorship Event for Nkosinathi Ngwenya with Candice Mesk</t>
  </si>
  <si>
    <t>Assisting me with developing my technical skills and understanding end to end processes</t>
  </si>
  <si>
    <t>5603730</t>
  </si>
  <si>
    <t>Mbali Mdluli (Terminated)</t>
  </si>
  <si>
    <t>Create Mentorship Event for Mbali Mdluli (Terminated) with Humbulani Colbert Nekhumbe</t>
  </si>
  <si>
    <t>guidance with python coding</t>
  </si>
  <si>
    <t>5604850</t>
  </si>
  <si>
    <t>Ndila Nkhumeleni</t>
  </si>
  <si>
    <t>FNB Commercial Analytics Insights Data (Sadhana Karsan)</t>
  </si>
  <si>
    <t>Create Mentorship Event for Ndila Nkhumeleni with Humbulani Colbert Nekhumbe</t>
  </si>
  <si>
    <t>Career guidance
Manage a career transition</t>
  </si>
  <si>
    <t>Create Mentorship Event for Sifisosakhe Dube with Shetal Bhoola</t>
  </si>
  <si>
    <t>I would like support for my career journey by having someone to mentor me</t>
  </si>
  <si>
    <t>4919270</t>
  </si>
  <si>
    <t>Yanga Babana</t>
  </si>
  <si>
    <t>DirectAxis (Carmen Rodrigues)</t>
  </si>
  <si>
    <t>Resource Planner</t>
  </si>
  <si>
    <t>Create Mentorship Event for Yanga Babana with Alison Felix-Lodewyk</t>
  </si>
  <si>
    <t>How to navigate the workplace and how to make the most of my internship experience</t>
  </si>
  <si>
    <t>8881834</t>
  </si>
  <si>
    <t>Lucia Mokwena</t>
  </si>
  <si>
    <t>FirstJob 18.2 Internal</t>
  </si>
  <si>
    <t>RMBSA IBD Operations Transaction Management Unit (Reuven Singh)</t>
  </si>
  <si>
    <t>77800000RMJ RMBSA Central COO Leadership Team</t>
  </si>
  <si>
    <t>FirstJob Graduate</t>
  </si>
  <si>
    <t>Create Mentorship Event for Lucia Mokwena with Alcinda Moezelaar</t>
  </si>
  <si>
    <t>My name is Zintle Buyana and I have been an employee of Direct Axis (FRG) since July 2019 shortly after completing my Bachelor of Arts Degree in Industrial Psychology and Ethics. I pride myself in constantly improving status quo and have always been passionate about my future and career goal regardless of my circumstances.
In the notion of improving myself, last year I decided to enroll for the Honours programme I have always wanted to be a part of. In 2019 I was not accepted for this programme and decided to join the world of work. After 5 years, I tried again and got accepted. I have not been able to complete any internships within the field after graduating as I had to find employment and take care of my family. However I have never let go of my dream of continuing with studies and hopefully pursuing a career as an Industrial Psychologist one day.
I am currently doing my Honours in Industrial Psychologist and would like to get on the field experience within the I/O Psychology and/or Human Resources, Talent field. I will be doing research in Human Resources and Organisational &amp; Career Psychology this semester therefore this mentorship will be a great advantage. I am willing and opening to learning everything and anything to help me get a better understanding of the career path I aspire to go into.
It would be a great honour and privilege to be given this opportunity of being a mentee as I have always dreamed of putting myself in positions that will open doors for me and to learn.
I can be contact on all platforms including LinkedIn, which I will attach my profile's link below. My contact number is 060 650 0135 and email address is ZintleB@fnb.co.za 
LinkedIn Profile: linkedin.com/in/zintle-zimkhitha-buyana-5382b01ba
Regards
Zintle</t>
  </si>
  <si>
    <t>5293464</t>
  </si>
  <si>
    <t>Zintle Buyana</t>
  </si>
  <si>
    <t>FNB Retail COO (Mercia Brandt)</t>
  </si>
  <si>
    <t>69000007502 FNB Retail Service Recovery</t>
  </si>
  <si>
    <t>Service Recovery Advisor</t>
  </si>
  <si>
    <t>Create Mentorship Event for Zintle Buyana with Alison Felix-Lodewyk</t>
  </si>
  <si>
    <t>4519620</t>
  </si>
  <si>
    <t>Meera Khandoo</t>
  </si>
  <si>
    <t>The purpose of this mentorship is to gain practical guidance, insights and feedback from an experienced business analyst as yourself in order to strengthen my analytical skills, stakeholder management capabilities and problem-solving approach. I aim to learn industry best practices, refine my techniques in requirement gathering, documentation and develop the confidence to excel in complex projects. The goal is to grow into highly effective and impactful business analyst who delivers value to both stakeholders and orgainisation. In short to be a well-rounded business analyst and individual.</t>
  </si>
  <si>
    <t>RMBSA Global Markets Technology eTrading (Pratish Rajcoomar)</t>
  </si>
  <si>
    <t>77800000RPG RMBSA Global Markets Technology eTrading Tech FI Commods MM</t>
  </si>
  <si>
    <t>Technology Platform Lead</t>
  </si>
  <si>
    <t>8874839</t>
  </si>
  <si>
    <t>Laura Tomaz</t>
  </si>
  <si>
    <t>RMBSA Global Markets Data, Analytics and Business Intelligence (Suren Reddy)</t>
  </si>
  <si>
    <t>77800000FIM RMBSA Global Markets Data and Analytics</t>
  </si>
  <si>
    <t>Create Mentorship Event for Laura Tomaz with Meera Khandoo</t>
  </si>
  <si>
    <t>Creating this programme to track progress on my career growth with my selected Mentor. The objective for this is to get guidance on how to advance myself and better prepare for future career aspirations.</t>
  </si>
  <si>
    <t>5135176</t>
  </si>
  <si>
    <t>Kaone Leshomo</t>
  </si>
  <si>
    <t>Create Mentorship Event for Kaone Leshomo with Rethabile Tsekedi</t>
  </si>
  <si>
    <t>5623545</t>
  </si>
  <si>
    <t>Refilwe Semenya</t>
  </si>
  <si>
    <t>FNB Customer and Sales Interactions (Lenice Pretorius)</t>
  </si>
  <si>
    <t>Create Mentorship Event for Refilwe Semenya with Duane Ryan</t>
  </si>
  <si>
    <t>5219604</t>
  </si>
  <si>
    <t>Tebogo Mashigo</t>
  </si>
  <si>
    <t>Skills development for career growth</t>
  </si>
  <si>
    <t>FNB Commercial Merchant Services (Shiwaan Rahman)</t>
  </si>
  <si>
    <t>4939247</t>
  </si>
  <si>
    <t>Terrance Ncube</t>
  </si>
  <si>
    <t>FNB Commercial Merchant Services (Derek George)</t>
  </si>
  <si>
    <t>22800008894 FNB Commercial Merchant Services Support POS</t>
  </si>
  <si>
    <t>Create Mentorship Event for Terrance Ncube with Tebogo Mashigo</t>
  </si>
  <si>
    <t>5658810</t>
  </si>
  <si>
    <t>Tamryn August</t>
  </si>
  <si>
    <t>RMB Private Equity Chief Financial Office (Anuroop Nair)</t>
  </si>
  <si>
    <t>77800000PED RMB Ventures</t>
  </si>
  <si>
    <t>Create Mentorship Event for Tamryn August with Thirumala Pillay</t>
  </si>
  <si>
    <t>Create Mentorship Event for Georgette Akua Baah-Danquah with Naomi Sekgobela</t>
  </si>
  <si>
    <t>I am seeking to develop myself in my career, to be able to match my interests and capabilities through real world guidance. Also growing my relationships within the organisation so as to broaden my horizon and learn more than what I have encountered so far.</t>
  </si>
  <si>
    <t>4931289</t>
  </si>
  <si>
    <t>Moreblessing Mupfumira</t>
  </si>
  <si>
    <t>CDO Infrastructure and Security Services (Tate Mphahlele)</t>
  </si>
  <si>
    <t>20700005088 CDO Infrastructure and Security Services Business Intelligence</t>
  </si>
  <si>
    <t>Create Mentorship Event for Moreblessing Mupfumira with Athena Botha</t>
  </si>
  <si>
    <t>I am seeking mentorship to transition my career into the field of data analytics. My background includes over five years of professional experience in financial operations, data management, and project coordination. I am proficient in data analysis using tools like advanced Excel, SPSS, and STATA, and have practical experience in data collection, organization, and reporting from past roles.
My goal is to gain structured guidance on applying my foundational analytical skills to a dedicated data analytics role. I am particularly interested in learning about best practices for developing and implementing M&amp;E systems, advancing my skills in data visualization and programming languages (e.g., Python), and understanding career pathways within the data analytics sector. I am eager to learn from an experienced professional to refine my skills and bridge the gap between my current experience and my career aspirations.</t>
  </si>
  <si>
    <t>5618800</t>
  </si>
  <si>
    <t>Bupe Mwiya</t>
  </si>
  <si>
    <t>Create Mentorship Event for Bupe Mwiya with Athena Botha</t>
  </si>
  <si>
    <t>3337936</t>
  </si>
  <si>
    <t>Cathrin Pretorius</t>
  </si>
  <si>
    <t>Relationship building and networking
Navigating the workplace
Capitalize on my internship experience</t>
  </si>
  <si>
    <t>RMBSA TTS Operations (Muller Strydom)</t>
  </si>
  <si>
    <t>77800000CCZ RMBSA TTS Operations Leadership Team</t>
  </si>
  <si>
    <t>Business Architect Lead</t>
  </si>
  <si>
    <t>Create Mentorship Event for Lucia Mokwena with Cathrin Pretorius</t>
  </si>
  <si>
    <t>4711815</t>
  </si>
  <si>
    <t>Aslam Khan</t>
  </si>
  <si>
    <t>Good afternoon, Aslam. I hope you well.  My name is Elizabeth. i am a Finance administrator, holding Bcom Accounting degree (Bcompt). I am seeking mentorship to improve my skills and gain insights into the industry. Would you be available for a brief meeting? I am flexible with the time and can adjust to your schedule. Thank you for considering my request.</t>
  </si>
  <si>
    <t>FNB HSL (Kishun Poona)</t>
  </si>
  <si>
    <t>3461076</t>
  </si>
  <si>
    <t>Elizabeth Sarpong</t>
  </si>
  <si>
    <t>Create Mentorship Event for Elizabeth Sarpong with Aslam Khan</t>
  </si>
  <si>
    <t>8878931</t>
  </si>
  <si>
    <t>Margaret Mwewa</t>
  </si>
  <si>
    <t>FNB Zambia Human Capital (Albert Changwe)</t>
  </si>
  <si>
    <t>Create Mentorship Event for Bupe Mwiya with Margaret Mwewa</t>
  </si>
  <si>
    <t>3247333</t>
  </si>
  <si>
    <t>Maxine Smith (Terminated)</t>
  </si>
  <si>
    <t>I want to learn, explore and grow with the business learn new skills and dig to new testing approaches as it is interesting and exciting job. I want to be part of the team that contribute into high quality product on the market and assist in hidden problems in software.</t>
  </si>
  <si>
    <t>3342751</t>
  </si>
  <si>
    <t>Mbusi Nzimande</t>
  </si>
  <si>
    <t>CDO Infrastructure and Security Services (Victor Kubayi)</t>
  </si>
  <si>
    <t>Create Mentorship Event for Mbusi Nzimande with Maxine Smith (Terminated)</t>
  </si>
  <si>
    <t>Good day Thandiwe.
My name is Akhona Khumalo, and I am currently a CX Design Specialist within Commercial. I am interested in transitioning into a Business Analyst role and am seeking mentorship to support this journey. With a solid foundation in project management from my time as a Junior Project Manager in the mining sector, coupled with my current experience in customer experience, I bring a unique blend of structured problem-solving, stakeholder engagement, and user-centered thinking.
Having recently completed a few training, my appreciation for the strategic impact of the Business Analyst role has grown significantly. I now have a clearer vision of how business analysis connects strategy with execution—something I’m eager to be part of.
Through this mentoring relationship, I hope to gain practical insights into the day-to-day responsibilities of a Business Analyst, deepen my understanding of FNB’s approach to business analysis, and develop the skills required to thrive in this role.
Looking forward to your response!</t>
  </si>
  <si>
    <t>8873840</t>
  </si>
  <si>
    <t>Akhona Khumalo</t>
  </si>
  <si>
    <t>FNB Commercial National Sales and Service (Priyanka Moonsamy)</t>
  </si>
  <si>
    <t>Create Mentorship Event for Akhona Khumalo with Thandiwe Mkalipi</t>
  </si>
  <si>
    <t>5130778</t>
  </si>
  <si>
    <t>Santelle Naicker</t>
  </si>
  <si>
    <t>Developing leadership skills and work on a plan to transition from technical role to full leadership</t>
  </si>
  <si>
    <t>RMBSA Global Markets Technology Trading (Doron Klotz)</t>
  </si>
  <si>
    <t>77800000BGE RMBSA Global Market Data Services Capability</t>
  </si>
  <si>
    <t>Platform Head</t>
  </si>
  <si>
    <t>4631552</t>
  </si>
  <si>
    <t>Tsholofelo Letsoko</t>
  </si>
  <si>
    <t>RMBSA Global Markets Algorithmic Trading Technology (Zwivhuya Tshitovha)</t>
  </si>
  <si>
    <t>77800000RPI RMBSA Global Markets eTrading Tech DPMM</t>
  </si>
  <si>
    <t>IT Team Lead</t>
  </si>
  <si>
    <t>Create Mentorship Event for Tsholofelo Letsoko with Santelle Naicker</t>
  </si>
  <si>
    <t>8871052</t>
  </si>
  <si>
    <t>Kubeshan Padayachy</t>
  </si>
  <si>
    <t>5664888</t>
  </si>
  <si>
    <t>Saihil Rewachanda</t>
  </si>
  <si>
    <t>RMBSA IBD Finance (Amy Moodley)</t>
  </si>
  <si>
    <t>77800000FRC RMBSA Chartered Accountant Graduate Programme</t>
  </si>
  <si>
    <t>Chartered Accountant Graduate</t>
  </si>
  <si>
    <t>Create Mentorship Event for Saihil Rewachanda with Kubeshan Padayachy</t>
  </si>
  <si>
    <t>3796248</t>
  </si>
  <si>
    <t>Dineo Phala</t>
  </si>
  <si>
    <t>The purpose for this relationship is for guidance on the new career I am aspiring to get into.</t>
  </si>
  <si>
    <t>77800000RAQ RMBSA TTS Technology RAS Quartz</t>
  </si>
  <si>
    <t>5306175</t>
  </si>
  <si>
    <t>Dineo Masemene</t>
  </si>
  <si>
    <t>RMBSA Global Markets GSS Fiduciary Oversight Team A (Shawn Viljoen)</t>
  </si>
  <si>
    <t>77800000TSS RMBSA Global Markets GSS Trustee Services</t>
  </si>
  <si>
    <t>Fiduciary Portfolio Oversight Analyst</t>
  </si>
  <si>
    <t>Create Mentorship Event for Dineo Masemene with Dineo Phala</t>
  </si>
  <si>
    <t>Dear Dineo,
I hope this message finds you well.
I am reaching out to kindly request your mentorship as I explore a potential career transition. I have long admired RMB and the impactful work done there, and I would love to learn more about your role and daily responsibilities.
Your insights would be incredibly valuable as I consider this new path, and I would greatly appreciate any guidance or advice you could share.
Thank you in advance for your time and consideration.
Regards,
Mamokwena Maponya</t>
  </si>
  <si>
    <t>5048486</t>
  </si>
  <si>
    <t>Mamokwena Maponya</t>
  </si>
  <si>
    <t>WB ABF Sales Gauteng (Dudu Khumalo)</t>
  </si>
  <si>
    <t>30100007081 WB ABF Gauteng Banked</t>
  </si>
  <si>
    <t>Create Mentorship Event for Mamokwena Maponya with Dineo Phala</t>
  </si>
  <si>
    <t>5256224</t>
  </si>
  <si>
    <t>Zithulele Mjiako</t>
  </si>
  <si>
    <t>Career coaching and guidance in growing and transitioning to a HR generalist role in future.
Setting clear goals for upskilling beyond recruitment
Involve me in projects and shadowing opportunities
Assist with providing feedback on work done,challenges and areas of improvement</t>
  </si>
  <si>
    <t>FNB Wealth (Feroza Seedat)</t>
  </si>
  <si>
    <t>34100008803 PB&amp;A Human Capital</t>
  </si>
  <si>
    <t>5293553</t>
  </si>
  <si>
    <t>Lerato Kabeya</t>
  </si>
  <si>
    <t>FNB Retail P Human Capital (Jackie Singh)</t>
  </si>
  <si>
    <t>54100009264 FNB Fiduciary HR and L&amp;D</t>
  </si>
  <si>
    <t>Talent Sourcing Specialist</t>
  </si>
  <si>
    <t>Create Mentorship Event for Lerato Kabeya with Zithulele Mjiako</t>
  </si>
  <si>
    <t>Guidance on career growth and prospects, general leadership and self-development opportunities</t>
  </si>
  <si>
    <t>2856271</t>
  </si>
  <si>
    <t>Themba Mabena</t>
  </si>
  <si>
    <t>FNB Commercial Cash Operations Support (Kulane  Trevor Mavikane)</t>
  </si>
  <si>
    <t>Create Mentorship Event for Themba Mabena with Mumbi Odame</t>
  </si>
  <si>
    <t>3101320</t>
  </si>
  <si>
    <t>Puleng Montseng</t>
  </si>
  <si>
    <t>I would like Puleng Montseng to be assigned as my mentor within the organization .As I continue to grow in my role as Financial Administrator,I am also preparing to pursue an Honours degree in Supply Chain Management upon completing my BCOM. I am actively seeking opportunies of becoming an Financial Accountant as it will strengthen my foundation of perusing the role in Supply Chain.</t>
  </si>
  <si>
    <t>FNB Finance Business Solutions (Jacqueline Crawford)</t>
  </si>
  <si>
    <t>32100002445 FNB Finance Business Solutions Procurement Support</t>
  </si>
  <si>
    <t>Procurement Sourcing Specialist</t>
  </si>
  <si>
    <t>3152723</t>
  </si>
  <si>
    <t>Lorato Chipu</t>
  </si>
  <si>
    <t>REMS Real Estate Management Services (Heidi Daniels)</t>
  </si>
  <si>
    <t>Create Mentorship Event for Lorato Chipu with Puleng Montseng</t>
  </si>
  <si>
    <t>3530221</t>
  </si>
  <si>
    <t>Zwivhuya Tshitovha</t>
  </si>
  <si>
    <t>5480469</t>
  </si>
  <si>
    <t>Mbali Mnguni</t>
  </si>
  <si>
    <t>RMBSA Enablement Technology Credit Team C (Wayne Goosen)</t>
  </si>
  <si>
    <t>77800000TFC TFC-RMB IT Credit</t>
  </si>
  <si>
    <t>Business Intelligence Developer</t>
  </si>
  <si>
    <t>Create Mentorship Event for Mbali Mnguni with Zwivhuya Tshitovha</t>
  </si>
  <si>
    <t>My name is Christinah and I'm signing up for the mentorship programme for the purpose of networking and building relationships. My intention is to learn from others and use the skills to navigate my career journey at RMB. It's not for career gains or progression only, but also to develop character and self-awareness.</t>
  </si>
  <si>
    <t>8881413</t>
  </si>
  <si>
    <t>Christinah Rabothata</t>
  </si>
  <si>
    <t>RMBSA Enablement Technology Credit Team B (Veneshree Lachman)</t>
  </si>
  <si>
    <t>Create Mentorship Event for Christinah Rabothata with Cathrin Pretorius</t>
  </si>
  <si>
    <t>Currently, I serve as a Data Analyst, where I’ve developed a strong foundation in data analysis, reporting, and systems thinking. I’m also pursuing a master’s degree in Artificial Intelligence, which has deepened my understanding of machine learning, intelligent systems, and the strategic potential of AI in enterprise environments.
As I look ahead, I’m eager to evolve into a role that blends AI strategy with architectural thinking designing scalable, ethical, and business-aligned AI systems. Your leadership in Information Architecture is deeply inspiring, and I believe your mentorship would be invaluable in helping me:
Understand how information architecture supports AI scalability and governance.
Learn how to bridge technical and business domains through strategic data design.
Gain exposure to leadership practices in AI-driven transformation
I would be grateful for the opportunity to learn from your experience and contribute meaningfully to initiatives that align with both our department’s goals and the broader AI vision.
Thank you for considering my request. I’m happy to meet at your convenience to discuss how we might structure this mentorship.</t>
  </si>
  <si>
    <t>5698251</t>
  </si>
  <si>
    <t>Lorraine Nobela</t>
  </si>
  <si>
    <t>FNB Commercial Analytics Insight and Data (Mmadikgale Moenyane)</t>
  </si>
  <si>
    <t>Create Mentorship Event for Lorraine Nobela with Athena Botha</t>
  </si>
  <si>
    <t>4698339</t>
  </si>
  <si>
    <t>Babalwa Masoka</t>
  </si>
  <si>
    <t>I I would like assistance with career mentoring.</t>
  </si>
  <si>
    <t>Create Mentorship Event for Yanga Babana with Babalwa Masoka</t>
  </si>
  <si>
    <t>coaching and guidance with career transitioning to advice enablement specialist</t>
  </si>
  <si>
    <t>8879892</t>
  </si>
  <si>
    <t>Nontokozo Sibeko</t>
  </si>
  <si>
    <t>FNB Private Banking and Advisory (Anele Madhlabane)</t>
  </si>
  <si>
    <t>Create Mentorship Event for Nontokozo Sibeko with Malini Mudaly</t>
  </si>
  <si>
    <t>Complete mentorship program in 6 months
learn insights on how to explore research projects, current and future.
Build a professional network. 
Gain industry insights on AI tech
Have a career development plan.
Improve job search skills to become an architect in the next year 2026
Set boundaries and be more self-aware.
Learn great communication and interpersonal skills
Be able to package and sell myself well all the time</t>
  </si>
  <si>
    <t>3286029</t>
  </si>
  <si>
    <t>Talent Chinyani</t>
  </si>
  <si>
    <t>FNB Commercial Core Juristic Platform (Carla Blom)</t>
  </si>
  <si>
    <t>Create Mentorship Event for Talent Chinyani with Wesley Francis</t>
  </si>
  <si>
    <t>5436346</t>
  </si>
  <si>
    <t>Billy Samuel Mwape</t>
  </si>
  <si>
    <t>Good Day Billy
I trust that you are doing great.
Thank you once more for accepting to mentor me from your wealth of experience and top-notch leadership qualities and prowess.
I have set up this as our first mentorship session and already created subsequent recurring session after this one.
Looking forward to learning from your great leadership qualities and experience.
Besides what I shared as my objectives in our introduction meeting plus any other you may add as needed; I am looking forward to learning:
Aspirations:
Leadership Practices that drive success and overall, Team performance
Stakeholder Management especially, Top leadership
How best I can be ready for the next level leadership role. Key steps to take now for me to be ready when the career growth opportunity presents itself (repositioning myself)
Leading Team: Best practices that foster teamwork, conflict resolution and managing team dynamics
How to be a “Good Leader” who inspires others to be the best versions of themselves (believe in themselves)
A “Glimpse into Exco Life” and pointers of Exco expectations from Junior management leaders like me
Pointers on Personal Development
Challenges:
To transition from my junior management role to the next leave management role
Soft Skills that can propel me to the next level
Channelling the passion, I have and desire to grow into a “Calm, collected and cool-headed leader who analyses situations and then puts a leadership cap on to lead especially in difficult situations
Self-Management: Getting the “Art of Self Mastery” which then translates into better self and Team management.
Looking forward to your incredible support on this journey ahead and am so excited about it.</t>
  </si>
  <si>
    <t>55300003079 FNB Zambia Information Technology</t>
  </si>
  <si>
    <t>4990382</t>
  </si>
  <si>
    <t>Shadreck Njobvu</t>
  </si>
  <si>
    <t>FNB Zambia Commercial (Esther Munatamba)</t>
  </si>
  <si>
    <t>55300007619 FNB Zambia SME Business</t>
  </si>
  <si>
    <t>Create Mentorship Event for Shadreck Njobvu with Billy Samuel Mwape</t>
  </si>
  <si>
    <t>5431328</t>
  </si>
  <si>
    <t>Tswelo Kodisang</t>
  </si>
  <si>
    <t>I'm stuck. I am transitioning in a leadership role and not sure that this is the right direction for me.</t>
  </si>
  <si>
    <t>Group Chief Executive Office (Mary Vilakazi)</t>
  </si>
  <si>
    <t>20200006713 Chief Financial Office</t>
  </si>
  <si>
    <t>Group Chief People Officer</t>
  </si>
  <si>
    <t>4501241</t>
  </si>
  <si>
    <t>Roshni Morar</t>
  </si>
  <si>
    <t>RMBSA Global Markets Technology FEDS &amp; Finesse (Francois Kritzinger)</t>
  </si>
  <si>
    <t>77800000FXC RMBSA Global Markets Technology Customer Dealing Post Trade</t>
  </si>
  <si>
    <t>Create Mentorship Event for Roshni Morar with Tswelo Kodisang</t>
  </si>
  <si>
    <t>5482976</t>
  </si>
  <si>
    <t>Michaela Dantu</t>
  </si>
  <si>
    <t>FNB Financial Advisory (Andre Van Der Westhuizen)</t>
  </si>
  <si>
    <t>34100003289 PB&amp;A Advice Governance and Monitoring</t>
  </si>
  <si>
    <t>Advice Monitoring Specialist</t>
  </si>
  <si>
    <t>Create Mentorship Event for Michaela Dantu with Alcinda Moezelaar</t>
  </si>
  <si>
    <t>3184188</t>
  </si>
  <si>
    <t>Phindile Manqele</t>
  </si>
  <si>
    <t>FNB Points of Presence (Nathi Mohale)</t>
  </si>
  <si>
    <t>771011800 FNB POP Branch Delivery Kempton Park</t>
  </si>
  <si>
    <t>Create Mentorship Event for Phindile Manqele with Allen Chapingidza</t>
  </si>
  <si>
    <t>Good Day Kholofelo,
I hope you're doing well. I came across your LinkedIn profile and was truly inspired by your journey—starting off as a graduate in the quants space and progressing so impressively in your career. My name is Tshepo Moeletsi, and I’m currently part of the Graduate Programme, working in D2 as a Data Scientist within the ScoringX team. We focus on building scorecards and collaborate closely with the Credit Card team.
I’m currently pursuing my Master’s in Data Science and I'm passionate about growing in this field. I aspire to become well-versed in the data space and would greatly appreciate any guidance you could offer. In addition to my role, I also serve on the Grad Exco in the Events Portfolio, where I act as a liaison between the graduates and the recruitment team. I’m responsible for planning key events such as the final graduation and mid-session connect.
If you have the capacity, I would be honored if you could consider mentoring me. I’d love to set up a call to introduce myself and learn more from you. If that’s not possible, I’d still be very grateful for any advice or direction you can share.</t>
  </si>
  <si>
    <t>8876562</t>
  </si>
  <si>
    <t>Tshepo Moeletsi</t>
  </si>
  <si>
    <t>FNB Dynamic Decisioning (Vishnu Singh [C])</t>
  </si>
  <si>
    <t>23900005393 FNB Dynamic Decisioning Scoring</t>
  </si>
  <si>
    <t>Create Mentorship Event for Tshepo Moeletsi with Kholofelo Napo</t>
  </si>
  <si>
    <t>My main goal is to accelerate my personal and professional development by cultivating a growth mindset. I want to improve my ability to manage emotions , build strong relationships in the organization and develop my technical skills in the Cyber security space.</t>
  </si>
  <si>
    <t>5292603</t>
  </si>
  <si>
    <t>Koketjo Matlala</t>
  </si>
  <si>
    <t>Data Loss Analyst</t>
  </si>
  <si>
    <t>Create Mentorship Event for Koketjo Matlala with Aileen Spanier-Marson</t>
  </si>
  <si>
    <t>4617215</t>
  </si>
  <si>
    <t>Richard Levesque</t>
  </si>
  <si>
    <t>I’m at the very beginning of my career and often feel unsure about how to move forward in this industry. I’m looking for a mentor who can help and advise me on skills I can learn, to help my career move towards becoming a portfolio manager and a trusted advisor, beyond what I’ve learnt in university and through the CFA programme. Having someone who’s been part of the industry by my side would give me a clearer understanding of how things work and help me take meaningful steps towards my career goals.
www.linkedin.com/in/CaitlinStone2106/</t>
  </si>
  <si>
    <t>FNB Wealth and Investments (Wicus Potgieter (Inherited))</t>
  </si>
  <si>
    <t>31400008458 FNB WI SPM Portside</t>
  </si>
  <si>
    <t>Investment Portfolio Manager</t>
  </si>
  <si>
    <t>8878533</t>
  </si>
  <si>
    <t>Caitlin Stone</t>
  </si>
  <si>
    <t>RMB Private Bank (Kreneshen Moodley)</t>
  </si>
  <si>
    <t>Private Banking Analyst Private Wealth</t>
  </si>
  <si>
    <t>Create Mentorship Event for Caitlin Stone with Richard Levesque</t>
  </si>
  <si>
    <t>5080096</t>
  </si>
  <si>
    <t>Asha Rampershad</t>
  </si>
  <si>
    <t>Technical Team Leader Mentoring</t>
  </si>
  <si>
    <t>FNB Core Banking Platform (Farieda Mayet (Inherited))</t>
  </si>
  <si>
    <t>5179386</t>
  </si>
  <si>
    <t>Kellan Govender</t>
  </si>
  <si>
    <t>FNB Core Banking Platform (Liesel Bekker)</t>
  </si>
  <si>
    <t>Create Mentorship Event for Kellan Govender with Asha Rampershad</t>
  </si>
  <si>
    <t>To learn how to use tools like Power BI, Lists, and SharePoint in my work. I’m looking to grow my own capability in using these platforms more effectively in my compliance risk role — especially to improve some of the manual processes in our team.</t>
  </si>
  <si>
    <t>5067618</t>
  </si>
  <si>
    <t>Daniel Loots</t>
  </si>
  <si>
    <t>FR Life Assurance (Sabiha Khan)</t>
  </si>
  <si>
    <t>61500010275 FR Life Legal Governance and Compliance</t>
  </si>
  <si>
    <t>Create Mentorship Event for Daniel Loots with Aileen Spanier-Marson</t>
  </si>
  <si>
    <t>3278212</t>
  </si>
  <si>
    <t>Sachin Arjun</t>
  </si>
  <si>
    <t>To upskill on Solution Strategist as a role and transition when the mentor finds the mentee ready</t>
  </si>
  <si>
    <t>FR Hyphen Sales and Solutions (Gerrie Butler (Inherited))</t>
  </si>
  <si>
    <t>23300002345 FR Hyphen Commercial and Client Management</t>
  </si>
  <si>
    <t>8873444</t>
  </si>
  <si>
    <t>Deshnee Boodhram</t>
  </si>
  <si>
    <t>FR Hyphen Technology (Morne Moorcroft)</t>
  </si>
  <si>
    <t>Scrum Master</t>
  </si>
  <si>
    <t>Create Mentorship Event for Deshnee Boodhram with Sachin Arjun</t>
  </si>
  <si>
    <t>To develop my programming skills as a junior developer</t>
  </si>
  <si>
    <t>5624312</t>
  </si>
  <si>
    <t>Sherwin Singh</t>
  </si>
  <si>
    <t>Create Mentorship Event for Sherwin Singh with Kellan Govender</t>
  </si>
  <si>
    <t>5218233</t>
  </si>
  <si>
    <t>Melissa Delie</t>
  </si>
  <si>
    <t>Hi Melissa
i am an aspiring internal auditor and would like to receive mentorship in this career line. i am currently pursuing my internal audit postgraduate qualification with Unisa while working as a universal advisor. i would really appreciate any kind of mentorship and career guidance i can receive.
Looking forward to hearing and working with you.</t>
  </si>
  <si>
    <t>Group Internal Audit FCC Central IT (Luzuko Dyosi)</t>
  </si>
  <si>
    <t>20200006029 FRCC Central IT Internal Audit</t>
  </si>
  <si>
    <t>Internal Audit Manager</t>
  </si>
  <si>
    <t>4982177</t>
  </si>
  <si>
    <t>Jabulani Maxwell Masilela</t>
  </si>
  <si>
    <t>FNB Points of Presence (Alichia Van Eeden)</t>
  </si>
  <si>
    <t>7710413200 FNB POP Branch Delivery Table Bay Mall</t>
  </si>
  <si>
    <t>Create Mentorship Event for Jabulani Maxwell Masilela with Melissa Delie</t>
  </si>
  <si>
    <t>Training on Workday</t>
  </si>
  <si>
    <t>2281961</t>
  </si>
  <si>
    <t>Farieda Mayet</t>
  </si>
  <si>
    <t>Create Mentorship Event for Farieda Mayet with Grant Pentelow</t>
  </si>
  <si>
    <t>Upskilling myself and learning.</t>
  </si>
  <si>
    <t>5126614</t>
  </si>
  <si>
    <t>Joshua Hlanyane</t>
  </si>
  <si>
    <t>FNB ERP Technology (Rashaad Van Doorsen)</t>
  </si>
  <si>
    <t>39400004629 FNB CFP IT Operations</t>
  </si>
  <si>
    <t>Create Mentorship Event for Joshua Hlanyane with Muhammad Seedat</t>
  </si>
  <si>
    <t>5456150</t>
  </si>
  <si>
    <t>Nozipho Nyathi</t>
  </si>
  <si>
    <t>FNB Wealth (Zithulele Mjiako)</t>
  </si>
  <si>
    <t>Human Capital Coordinator</t>
  </si>
  <si>
    <t>Create Mentorship Event for Nozipho Nyathi with Elaine Knoetsec</t>
  </si>
  <si>
    <t>As a mentee, my purpose is to develop greater confidence and competence in the field of project management. I seek guidance and support to deepen my understanding of strategic decision-making and enhance my time management skills. Through this mentorship, I aim to grow both professionally and personally, gaining practical insights that will empower me to lead projects effectively and contribute meaningfully to organizational success. I am committed to active learning, open communication, and applying the knowledge gained to achieve measurable outcomes.</t>
  </si>
  <si>
    <t>4634217</t>
  </si>
  <si>
    <t>Golaotswe Matlala</t>
  </si>
  <si>
    <t>FNB Retail CDAO (Elezar Alley)</t>
  </si>
  <si>
    <t>Create Mentorship Event for Golaotswe Matlala with Coenraad Pretorius</t>
  </si>
  <si>
    <t>To enhance leadership skills
Grow knowledge for accountable business</t>
  </si>
  <si>
    <t>5449774</t>
  </si>
  <si>
    <t>Megan Schaffers</t>
  </si>
  <si>
    <t>IT Operations Manager</t>
  </si>
  <si>
    <t>Create Mentorship Event for Megan Schaffers with Farieda Mayet</t>
  </si>
  <si>
    <t>4905849</t>
  </si>
  <si>
    <t>Tshepiso Matabane</t>
  </si>
  <si>
    <t>Career developement</t>
  </si>
  <si>
    <t>CDO Infrastructure and Security Services (Grant Hassett)</t>
  </si>
  <si>
    <t>20700001974 CDO Infrastructure and Security Services Information Security Management</t>
  </si>
  <si>
    <t>Information Security Officer</t>
  </si>
  <si>
    <t>Create Mentorship Event for Siphiwe Sitwayi with Tshepiso Matabane</t>
  </si>
  <si>
    <t>5619289</t>
  </si>
  <si>
    <t>Menzi Skhosana</t>
  </si>
  <si>
    <t>In-house technical knowledge 
To assist in learning and getting up to speed in all the in-house technical knowledge necessary to be a productive member of the team.</t>
  </si>
  <si>
    <t>CDO Kernel Customer (Mpho Mmakola)</t>
  </si>
  <si>
    <t>8884359</t>
  </si>
  <si>
    <t>Luke Smith</t>
  </si>
  <si>
    <t>Create Mentorship Event for Luke Smith with Menzi Skhosana</t>
  </si>
  <si>
    <t>3792595</t>
  </si>
  <si>
    <t>Frank Dhlamini</t>
  </si>
  <si>
    <t>My name is Modiegi Pheto, and I am currently working as a Learning Consultant based in Johannesburg. I recently completed my BCom in Business Management with a focus on Project Management, and I am eager to take the next step in my career journey.
I am reaching out to find how to find a mentor as I transition into a career in Product Management or Project Management. I believe that learning from someone with expertise would provide invaluable guidance as I navigate this path.
My goal is to deepen my understanding of strategic product development, stakeholder engagement, and business impact areas I am passionate about and committed to growing in. I am open to feedback, willing to learn, and excited to contribute meaningfully wherever I can.
I would be truly grateful for the opportunity to connect and learn.</t>
  </si>
  <si>
    <t>FNB COO Head Office (Edwin Tait)</t>
  </si>
  <si>
    <t>3102238</t>
  </si>
  <si>
    <t>Modiegi Pheto</t>
  </si>
  <si>
    <t>FNB Retail P Human Capital (Sameegah Boomgaard)</t>
  </si>
  <si>
    <t>20300008505 FNB Product Learning and Development</t>
  </si>
  <si>
    <t>Create Mentorship Event for Modiegi Pheto with Frank Dhlamini</t>
  </si>
  <si>
    <t>Develop leadership skills. Gaining Confidence in leading, communicating, and listening. Adding value and purpose to every encounter.
Relationship building and networking. Learn how to build relationships and networks across departments and organisations.</t>
  </si>
  <si>
    <t>5594375</t>
  </si>
  <si>
    <t>Lisa Kabengele</t>
  </si>
  <si>
    <t>FNB Zambia Operations (Brian Milandile)</t>
  </si>
  <si>
    <t>Create Mentorship Event for Lisa Kabengele with Billy Samuel Mwape</t>
  </si>
  <si>
    <t>5047749</t>
  </si>
  <si>
    <t>Terri Christian</t>
  </si>
  <si>
    <t>FNB eBucks (Baveeta Poonan)</t>
  </si>
  <si>
    <t>25600005677 FNB eBucks Call Centre</t>
  </si>
  <si>
    <t>Create Mentorship Event for Terri Christian with Allen Chapingidza</t>
  </si>
  <si>
    <t>Through this mentorship, I aim to:
Deepen my understanding of data architecture principles, frameworks, and best practices.
Strengthen my ability to design scalable, efficient, and secure data solutions aligned with business needs.
Enhance my skills in data modeling, integration, governance, and platform selection.
Receive feedback and direction on real-world challenges and projects to accelerate my growth.
Build confidence in contributing to architectural decisions and long-term data strategy within my organization.
This mentorship will serve as a valuable opportunity to bridge the gap between theory and practice, and to prepare me for more advanced responsibilities in data architecture.</t>
  </si>
  <si>
    <t>5317673</t>
  </si>
  <si>
    <t>Zandile Moloi</t>
  </si>
  <si>
    <t>FNB Commercial TxP (Doctor Mbende)</t>
  </si>
  <si>
    <t>39800007912 FNB Commercial TxP Business Intelligence</t>
  </si>
  <si>
    <t>Create Mentorship Event for Zandile Moloi with Athena Botha</t>
  </si>
  <si>
    <t>3060187</t>
  </si>
  <si>
    <t>Nandipha Mkhabile</t>
  </si>
  <si>
    <t>REMS Real Estate Management Services (Eugene Mngadi)</t>
  </si>
  <si>
    <t>22300005122 FNB REMS Owned Property</t>
  </si>
  <si>
    <t>Create Mentorship Event for Nandipha Mkhabile with Mashudu Matsila</t>
  </si>
  <si>
    <t>Career guidance
Develop leadership skills
Relationship building and networking</t>
  </si>
  <si>
    <t>5500591</t>
  </si>
  <si>
    <t>Zaida Cornelissen</t>
  </si>
  <si>
    <t>FNB Core Banking Platform (Marius Lombard)</t>
  </si>
  <si>
    <t>59600005335 FNB Personal and Private IT PMO</t>
  </si>
  <si>
    <t>Create Mentorship Event for Zaida Cornelissen with Farieda Mayet</t>
  </si>
  <si>
    <t>5441579</t>
  </si>
  <si>
    <t>Dane Pillay</t>
  </si>
  <si>
    <t>The primary purpose of engaging a career mentor during this transition is to provide guidance, support, and practical insights that bridge the gap between business-focused analysis and technical system design. 
1. Role Clarification
Understand the differences and overlaps between BA and SA roles.
Gain clarity on responsibilities, deliverables, and expectations in a Systems Analyst position.
2. Skill Development
Identify technical skills required (e.g., system architecture, database design, integration concepts).
Recommend training resources and certifications relevant to system analysis.
3. Practical Exposure
Share real-world examples of system analysis projects.
Provide hands-on guidance on tools and methodologies (e.g., UML diagrams, ER modeling, API specifications).
4. Career Strategy
Advise on positioning your BA experience to highlight transferable skills.
Help build a transition roadmap with achievable milestones.
5. Networking and Industry Insights
Introduce you to professional networks and communities.
Offer insights into industry trends and best practices for system analysis.
6. Confidence and Support
Offer feedback on your progress and areas for improvement.
Act as a sounding board for questions and challenges during the transition.</t>
  </si>
  <si>
    <t>8877283</t>
  </si>
  <si>
    <t>Sibongile Ubisi</t>
  </si>
  <si>
    <t>FNB Collections and Platform Enablement (Peter Gibbens)</t>
  </si>
  <si>
    <t>Create Mentorship Event for Sibongile Ubisi with Dane Pillay</t>
  </si>
  <si>
    <t>I am in the FirstRand Chief Digital Office, reporting to Kevin Mitchell.
It's been quite a transition from Retail where I was before, and I'm interacting with sets of very senior stakeholders.
FirstRand Coaching suggested that I should reach out to Tswelo who has made himself available as a mentor on the programme, thus I'm reaching out for transition / leadership mentoring.</t>
  </si>
  <si>
    <t>5219973</t>
  </si>
  <si>
    <t>Jared Landsman</t>
  </si>
  <si>
    <t>Chief Digital Office Platform Journey (Kevin Mitchell (Inherited))</t>
  </si>
  <si>
    <t>20200010712 FRCC Platform Journey Office</t>
  </si>
  <si>
    <t>Platform Strategy Lead</t>
  </si>
  <si>
    <t>Create Mentorship Event for Jared Landsman with Tswelo Kodisang</t>
  </si>
  <si>
    <t>4774515</t>
  </si>
  <si>
    <t>Jaco Loots</t>
  </si>
  <si>
    <t>Refine my leadership and people management skills in order to prepare me to manage larger teams and become eligible for leadership roles within FirstRand.</t>
  </si>
  <si>
    <t>FNB Retail Legal Risk and Compliance (Zunade Kader)</t>
  </si>
  <si>
    <t>5096677</t>
  </si>
  <si>
    <t>Dyllin Dannhauser</t>
  </si>
  <si>
    <t>FNB Points of Presence (Guy Wigg)</t>
  </si>
  <si>
    <t>7710645500 FNB POP Risk Assurance</t>
  </si>
  <si>
    <t>IT Risk Manager</t>
  </si>
  <si>
    <t>Create Mentorship Event for Dyllin Dannhauser with Jaco Loots</t>
  </si>
  <si>
    <t>I would like help on creating mentorship for Points of presence</t>
  </si>
  <si>
    <t>5108136</t>
  </si>
  <si>
    <t>Mawande Ngcai</t>
  </si>
  <si>
    <t>FNB Points of Presence (Michael Meyer)</t>
  </si>
  <si>
    <t>7710710200 FNB POP Learning and Development</t>
  </si>
  <si>
    <t>Learning Coordinator</t>
  </si>
  <si>
    <t>Create Mentorship Event for Mawande Ngcai with Zaheer Ismail</t>
  </si>
  <si>
    <t>4901371</t>
  </si>
  <si>
    <t>Hilde Josef</t>
  </si>
  <si>
    <t>FNB Namibia Limited (Mirjam Alugodhi)</t>
  </si>
  <si>
    <t>302000001498 FNB Namibia Far North Area Office Outapi</t>
  </si>
  <si>
    <t>Client Service Representative</t>
  </si>
  <si>
    <t>Create Mentorship Event for Hilde Josef with Annastasia Williams</t>
  </si>
  <si>
    <t>5258219</t>
  </si>
  <si>
    <t>Umphile Moroe</t>
  </si>
  <si>
    <t>To grow professionally and develop in my career journey: 
Areas of Focus:
Career Guidance
Skills Development
Goals and Accountability
Confidence Building
Knowledge Transfer
Networking</t>
  </si>
  <si>
    <t>3363813</t>
  </si>
  <si>
    <t>Nomthunzi Bangani</t>
  </si>
  <si>
    <t>Create Mentorship Event for Nomthunzi Bangani with Umphile Moroe</t>
  </si>
  <si>
    <t>My commitment to growth and willingness to take action.</t>
  </si>
  <si>
    <t>5565391</t>
  </si>
  <si>
    <t>Richard Pettey-Agamatey</t>
  </si>
  <si>
    <t>Ghana Support Functions (Alberta Cudjoe)</t>
  </si>
  <si>
    <t>55400008999 Ghana Ops Risk and Projects</t>
  </si>
  <si>
    <t>Securities Custodian</t>
  </si>
  <si>
    <t>Create Mentorship Event for Richard Pettey-Agamatey with Gary Frank</t>
  </si>
  <si>
    <t>As a Business Banker, I am committed to deepening my strategic impact and strengthening the value I bring to clients and the organisation. Through a mentoring relationship, I aim to enhance my ability to structure more complex business solutions, sharpen my leadership capability, and broaden my understanding of the wider business ecosystem.</t>
  </si>
  <si>
    <t>8885882</t>
  </si>
  <si>
    <t>Thebe Ditshego</t>
  </si>
  <si>
    <t>Create Mentorship Event for Thebe Ditshego with Bruce Ncube</t>
  </si>
  <si>
    <t>8876892</t>
  </si>
  <si>
    <t>Malamba Lavhengwa</t>
  </si>
  <si>
    <t>TESTING for incoming mentees</t>
  </si>
  <si>
    <t>FNB Central Finance (Siyasanga Makiwane)</t>
  </si>
  <si>
    <t>39400004965 FNB Finance Analytics</t>
  </si>
  <si>
    <t>8877127</t>
  </si>
  <si>
    <t>Nathan Ngqwebo</t>
  </si>
  <si>
    <t>FNB Loans (Kgomotso Sebitlo)</t>
  </si>
  <si>
    <t>Close Mentorship Event for Nathan Ngqwebo with Malamba Lavhengwa
Create Mentorship Event for Nathan Ngqwebo with Malamba Lavhengwa</t>
  </si>
  <si>
    <t>I am seeking a mentor to support me in the next stage of my professional growth, particularly in strengthening my leadership capabilities, expanding my organisational knowledge, and enhancing my relationship‑building and networking skills.
As someone who recently re-joined the bank, I recognise the importance of developing a strong leadership presence one that inspires others, drives collaboration, and supports strategic delivery. I believe that learning from a mentor who has successfully navigated similar challenges will help me refine my leadership style, improve decision‑making, and build greater confidence in leading teams and initiatives.</t>
  </si>
  <si>
    <t>5300207</t>
  </si>
  <si>
    <t>Dineo Makgota</t>
  </si>
  <si>
    <t>FNB Private Core Banking (Darpana Vallabh)</t>
  </si>
  <si>
    <t>Create Mentorship Event for Dineo Makgota with Mpumie Twala</t>
  </si>
  <si>
    <t>I am seeking mentorship to support my transition into a Finance-focused role, specifically as a Financial Accountant or Financial Administrator within FNB. I currently work as an Online Business Banker and hold a National Diploma in Accounting, along with a certificate in Commercial Accounting. I will also be enrolling for an Advanced Diploma in Accounting Science.
I am motivated to learn from someone who has successfully navigated the Finance path within the organization. Your journey from Financial Accountant to Financial Manager strongly resonates with my own career aspirations, and I believe your guidance would be invaluable in helping me bridge the gap between my current role and my long-term goals.
Through this mentoring relationship, I hope to gain practical insight into Finance roles, strengthen my technical and professional skills, understand how to position myself for internal opportunities, and grow with clarity and confidence within the FirstRand Group. I am committed, eager to learn, and deeply invested in building a meaningful and sustainable career in Finance.</t>
  </si>
  <si>
    <t>5604273</t>
  </si>
  <si>
    <t>Thandubuhle Sompetha</t>
  </si>
  <si>
    <t>FNB Business CXC (Sibahle Mazibuko)</t>
  </si>
  <si>
    <t>34300009996 FNB Business CXC OBE</t>
  </si>
  <si>
    <t>Business Banking Advisor</t>
  </si>
  <si>
    <t>Create Mentorship Event for Thandubuhle Sompetha with Mongezi Mahlangu</t>
  </si>
  <si>
    <t>Purpose majorly centered around strategic growth, influence, and positioning for senior leadership.
Develop leadership skills
Broaden organisational knowledge
Relationship building and networking</t>
  </si>
  <si>
    <t>8875889</t>
  </si>
  <si>
    <t>Gomolemo Rabalone</t>
  </si>
  <si>
    <t>FNB Botswana Treasury (Tshepiso Mokgethi-Magapa)</t>
  </si>
  <si>
    <t>501071800 FNB Botswana Treasury Head Office</t>
  </si>
  <si>
    <t>Treasury Risk Manager</t>
  </si>
  <si>
    <t>Create Mentorship Event for Gomolemo Rabalone with Baile Corrigan</t>
  </si>
  <si>
    <t>5225310</t>
  </si>
  <si>
    <t>Ragel Shivute</t>
  </si>
  <si>
    <t>FNB Namibia Limited (Christophine Shiikwa)</t>
  </si>
  <si>
    <t>302000001404 FNB Namibia Contact Centre</t>
  </si>
  <si>
    <t>Create Mentorship Event for Ragel Shivute with Annastasia Williams</t>
  </si>
  <si>
    <t>8871829</t>
  </si>
  <si>
    <t>Caleb Sindi</t>
  </si>
  <si>
    <t>1. Goal 1, Learn how to be a good group leader and to learn how to work with other people as a group 
2. Goal 2, Work with passion and purpose
3. Goal 3, Have a good working experience and good customer service provider</t>
  </si>
  <si>
    <t>FNB HSL (Shawnee Williams)</t>
  </si>
  <si>
    <t>21200006825 HSL Registrations and On Board Cluster 3</t>
  </si>
  <si>
    <t>8884132</t>
  </si>
  <si>
    <t>Pfarelo Shyleen Mudau</t>
  </si>
  <si>
    <t>FNB Personal Segment Advisory and Suites (Ashleigh Tombeen)</t>
  </si>
  <si>
    <t>47100005652 FNB Youth Employment Scheme</t>
  </si>
  <si>
    <t>FirstJob Learner</t>
  </si>
  <si>
    <t>Create Mentorship Event for Pfarelo Shyleen Mudau with Caleb Sindi</t>
  </si>
  <si>
    <t>8876185</t>
  </si>
  <si>
    <t>Costa Hagios</t>
  </si>
  <si>
    <t>1. Building strong work ethic and helping customers
2. Getting an advisor position
3. Career growth</t>
  </si>
  <si>
    <t>FNB Credit Card (Mark Liao)</t>
  </si>
  <si>
    <t>20300008486 FNB Credit Card Credit</t>
  </si>
  <si>
    <t>8885576</t>
  </si>
  <si>
    <t>Anelisa John</t>
  </si>
  <si>
    <t>FNB Points of Presence (Ntsikelelo Kupiso)</t>
  </si>
  <si>
    <t>7710710300 FNB POP Branch Delivery Youth Development</t>
  </si>
  <si>
    <t>Create Mentorship Event for Anelisa John with Costa Hagios</t>
  </si>
  <si>
    <t>8877693</t>
  </si>
  <si>
    <t>Gudani Khuswana</t>
  </si>
  <si>
    <t>I am particularly interested in gaining career guidance, building strong professional relationships and learning how to network effectively within the organisation and the broader financial industry. I believe that exposure to real experience, honest feedback and practical advice will help me make informed decisions and position myself for growth opportunities.
My goal is to develop a strong professional presence and make informed career decisions, while building strong leadership skills.</t>
  </si>
  <si>
    <t>FNB ConnectMe (Desree Riba)</t>
  </si>
  <si>
    <t>47100001963 CoE Graduate Programme</t>
  </si>
  <si>
    <t>8885688</t>
  </si>
  <si>
    <t>Azwi Singo</t>
  </si>
  <si>
    <t>FNB Points of Presence (Barbara Hlachwayo)</t>
  </si>
  <si>
    <t>Create Mentorship Event for Azwi Singo with Gudani Khuswana</t>
  </si>
  <si>
    <t>Hello
I hope you’re well. My name is Mbhalenhle Mahuhushi, and I recently joined RMB in October 2025 through the Operations Experience Graduate Programme. I’m currently placed within the GoldenSource Business Analysis team under Munnera.
I came across your profile on LinkedIn and was really inspired by your journey. Even though our educational backgrounds are quite different, I deeply admire the depth of your expertise and the direction your career has taken. Your work sits in a space I’m very interested in exploring and eventually growing into.
I’m currently in a stage where I’m trying to strengthen my technical capabilities, sharpen my analytical thinking, and broaden my understanding of the business. I would really appreciate the opportunity to learn from you, whether through occasional conversations, guidance on development areas, or any insights you feel would help someone early in their career.
If you’re open to it, I would be grateful for the chance to connect and potentially explore a mentorship relationship.</t>
  </si>
  <si>
    <t>8884622</t>
  </si>
  <si>
    <t>Mbhalenhle Mahuhushi</t>
  </si>
  <si>
    <t>RMBSA Operations Product Owner Golden Source (Muneera Khan)</t>
  </si>
  <si>
    <t>Create Mentorship Event for Mbhalenhle Mahuhushi with Aobakwe Kgobokoe</t>
  </si>
  <si>
    <t>Goal 1-Learn more about the work process of bank
Goal 2 -help in delivering advice in finacial aspects
Goal 3 - Gaining as much as much experience and knowledge about FNB  as a whole and how to grow within the company</t>
  </si>
  <si>
    <t>8885690</t>
  </si>
  <si>
    <t>Buhlebendalo Mbele</t>
  </si>
  <si>
    <t>FNB Points of Presence (Siyabonga Mncwabe)</t>
  </si>
  <si>
    <t>Create Mentorship Event for Buhlebendalo Mbele with Costa Hagios</t>
  </si>
  <si>
    <t>I hope this finds you well. I am writing to express my request to be considered as a mentee.
As of May 2025, I have enrolled in a learnership program for RISK PRACTITIONER NQF LEVEL 6, and I believe that structured guidance from an experienced mentor would be invaluable in accelerating my growth. I am eager to gain insight into my career with more knowledge and skills.
My goal is to use the knowledge gained and add greater value to the team and the company.
I hope you would consider my request, and I look forward to the possibility of learning and growing through this mentorship opportunity.</t>
  </si>
  <si>
    <t>3973921</t>
  </si>
  <si>
    <t>Nhlanhla Shongwe</t>
  </si>
  <si>
    <t>FNB Private Core Banking (Cordelia Martin)</t>
  </si>
  <si>
    <t>Create Mentorship Event for Nhlanhla Shongwe with Nicholas Litton</t>
  </si>
  <si>
    <t>8876703</t>
  </si>
  <si>
    <t>Noluthando Buthelezi</t>
  </si>
  <si>
    <t>This year I want to achieve the following:
1. Secure my career foundation
2. Sharpen my professional skills
3. Get my finances under control</t>
  </si>
  <si>
    <t>FNB Credit Card (Mahlako Mabitsi)</t>
  </si>
  <si>
    <t>20300002843 FNB Credit Card Premium Growth</t>
  </si>
  <si>
    <t>8884357</t>
  </si>
  <si>
    <t>Nomosebenzi Zwane</t>
  </si>
  <si>
    <t>FNB Wealth and Investments (Melany Woods)</t>
  </si>
  <si>
    <t>Create Mentorship Event for Nomosebenzi Zwane with Noluthando Buthelezi</t>
  </si>
  <si>
    <t>8870860</t>
  </si>
  <si>
    <t>Liso Tabata</t>
  </si>
  <si>
    <t>FNB Commercial Sales Gauteng (Zakhele Maseko)</t>
  </si>
  <si>
    <t>34200006248 FNB Commercial Sales Gauteng Klipriver 60 to 150M</t>
  </si>
  <si>
    <t>8884199</t>
  </si>
  <si>
    <t>Shawn Tshinabe</t>
  </si>
  <si>
    <t>FNB Wealth and Investments (Wojciech Boryna)</t>
  </si>
  <si>
    <t>Create Mentorship Event for Shawn Tshinabe with Liso Tabata</t>
  </si>
  <si>
    <t>8870818</t>
  </si>
  <si>
    <t>Isaac Chauque</t>
  </si>
  <si>
    <t>Good day I was informed to find my mentor</t>
  </si>
  <si>
    <t>WB Motor Risk Management (Thato Mogapi)</t>
  </si>
  <si>
    <t>30101040000 WB Post Origination</t>
  </si>
  <si>
    <t>8885565</t>
  </si>
  <si>
    <t>Thabang Monicca Mokobela</t>
  </si>
  <si>
    <t>FNB Points of Presence (Magauta Kubai (Inherited))</t>
  </si>
  <si>
    <t>Create Mentorship Event for Thabang Monicca Mokobela with Isaac Chauque</t>
  </si>
  <si>
    <t>One of my main goals is to grow in the Business Intelligence and Data Analysis space, as I’m passionate about using data to solve problems and support better decision‑making.</t>
  </si>
  <si>
    <t>5487390</t>
  </si>
  <si>
    <t>Daisy Maseko</t>
  </si>
  <si>
    <t>FNB Private Banking and Advisory (Ryan Bhugwandeen)</t>
  </si>
  <si>
    <t>Create Mentorship Event for Daisy Maseko with Athena Botha</t>
  </si>
  <si>
    <t>8876417</t>
  </si>
  <si>
    <t>Kaylyn Karuppen</t>
  </si>
  <si>
    <t>1] Would love to learn more about the banking world and do my best to succeed within this learnership.  
2] Would love to build myself within the banking world to grow and expend my experience. 
3] Would love to build myself with this learnership and gain as much knowledge as possible, and network as much as i can for bigger and better opportunities.</t>
  </si>
  <si>
    <t>FNB Dynamic Decisioning (Rene Meintjes)</t>
  </si>
  <si>
    <t>23900003941 FNB Dynamic Decisioning Cortex</t>
  </si>
  <si>
    <t>8884146</t>
  </si>
  <si>
    <t>Tidimalo Monyai</t>
  </si>
  <si>
    <t>FNB Personal Core Banking (Matlhodi Tshabalala)</t>
  </si>
  <si>
    <t>Create Mentorship Event for Tidimalo Monyai with Kaylyn Karuppen</t>
  </si>
  <si>
    <t>5667151</t>
  </si>
  <si>
    <t>Georgia Wensley</t>
  </si>
  <si>
    <t>FNB eBucks (Danielle Van Wyk)</t>
  </si>
  <si>
    <t>25600008917 FNB eBucks Financial Modelling</t>
  </si>
  <si>
    <t>8884206</t>
  </si>
  <si>
    <t>Phillippa Tshinabe</t>
  </si>
  <si>
    <t>19 and under</t>
  </si>
  <si>
    <t>FNB Commercial Public Sector (Andre Prinsloo)</t>
  </si>
  <si>
    <t>Create Mentorship Event for Phillippa Tshinabe with Georgia Wensley</t>
  </si>
  <si>
    <t>8870735</t>
  </si>
  <si>
    <t>Veroshan Thaver</t>
  </si>
  <si>
    <t>I want to learn more about the different products the bank offer. I want to improve my work skills. I want to achieve good relationships with my customers and aim for a permanent position at FNB.</t>
  </si>
  <si>
    <t>FNB Commercial Analytics Insights Data (Ole Moeng)</t>
  </si>
  <si>
    <t>8885590</t>
  </si>
  <si>
    <t>Rozetta Raman</t>
  </si>
  <si>
    <t>FNB Points of Presence (Connel Rossouw)</t>
  </si>
  <si>
    <t>Create Mentorship Event for Rozetta Raman with Veroshan Thaver</t>
  </si>
  <si>
    <t>8874853</t>
  </si>
  <si>
    <t>Rudzani Thagwana</t>
  </si>
  <si>
    <t>To learn more about the corporate world
To navigate my way in the banking industry</t>
  </si>
  <si>
    <t>8885544</t>
  </si>
  <si>
    <t>Nombulelo Daphney Nkosi</t>
  </si>
  <si>
    <t>FNB Points of Presence (Beatrice Mhlabane)</t>
  </si>
  <si>
    <t>Create Mentorship Event for Nombulelo Daphney Nkosi with Rudzani Thagwana</t>
  </si>
  <si>
    <t>8877126</t>
  </si>
  <si>
    <t>Nozipho Victoria Sidambe</t>
  </si>
  <si>
    <t>The Top 3 goals that I'd love to achieve this year are:
Career guidance
Develop leadership skills
Relationship building and networking</t>
  </si>
  <si>
    <t>FNB Retail COO (Priven Moodley)</t>
  </si>
  <si>
    <t>8884227</t>
  </si>
  <si>
    <t>Sibahle Mnguni</t>
  </si>
  <si>
    <t>Create Mentorship Event for Sibahle Mnguni with Nozipho Victoria Sidambe</t>
  </si>
  <si>
    <t>8877705</t>
  </si>
  <si>
    <t>Mohau Tlamama</t>
  </si>
  <si>
    <t>I aim to better my skill and build my esteem in the business unite .
Another one is to learn to navigate the system and accomplish my assessments both in school and at work my goal is to be better than my previous .</t>
  </si>
  <si>
    <t>FNB Connect and Service Provider (Juanita Gordon)</t>
  </si>
  <si>
    <t>83100003631 FNB Connect SP Product</t>
  </si>
  <si>
    <t>8884148</t>
  </si>
  <si>
    <t>LUVHUNO KOPANE</t>
  </si>
  <si>
    <t>FNB Loans (Evangeleen Damons)</t>
  </si>
  <si>
    <t>Create Mentorship Event for LUVHUNO KOPANE with Mohau Tlamama</t>
  </si>
  <si>
    <t>8877431</t>
  </si>
  <si>
    <t>Lehlogonolo Phineas Mbiza</t>
  </si>
  <si>
    <t>Develop confidence and independence
Become highly skilled, not just qualified
Build money discipline early</t>
  </si>
  <si>
    <t>FNB Commercial Credit Scoring (Alfred Friend)</t>
  </si>
  <si>
    <t>34200003338 FNB Commercial Credit Scoring</t>
  </si>
  <si>
    <t>8884133</t>
  </si>
  <si>
    <t>Xivono Rival Maluleke</t>
  </si>
  <si>
    <t>FNB Points of Presence (Arlene Wheeler)</t>
  </si>
  <si>
    <t>Create Mentorship Event for Xivono Rival Maluleke with Lehlogonolo Phineas Mbiza</t>
  </si>
  <si>
    <t>8870928</t>
  </si>
  <si>
    <t>Hilde Metumo Shimpanda</t>
  </si>
  <si>
    <t>FNB Namibia Limited (Vinothan Titus)</t>
  </si>
  <si>
    <t>302000001403 FNB Namibia Credit Support</t>
  </si>
  <si>
    <t>8884137</t>
  </si>
  <si>
    <t>Vangile Mhlambi</t>
  </si>
  <si>
    <t>FNB Points of Presence (Estelle Thiart)</t>
  </si>
  <si>
    <t>Create Mentorship Event for Vangile Mhlambi with Hilde Metumo Shimpanda</t>
  </si>
  <si>
    <t>8876925</t>
  </si>
  <si>
    <t>Ofentse Pilane</t>
  </si>
  <si>
    <t>1. Develop leadership skills
2. Career guidance
3. Relationship building and networking</t>
  </si>
  <si>
    <t>CDO Kernel iNterfaceX (Etienne Le Roux)</t>
  </si>
  <si>
    <t>21800004054 CDO Kernel iNterfaceX Cyber Security</t>
  </si>
  <si>
    <t>IT Security Analyst</t>
  </si>
  <si>
    <t>8884201</t>
  </si>
  <si>
    <t>Ntshuxeko Isaac Ndlovu</t>
  </si>
  <si>
    <t>FNB Wealth and Investments (Aubrey Gouws)</t>
  </si>
  <si>
    <t>Create Mentorship Event for Ntshuxeko Isaac Ndlovu with Ofentse Pilane</t>
  </si>
  <si>
    <t>3651770</t>
  </si>
  <si>
    <t>Bongani Baloyi</t>
  </si>
  <si>
    <t>1) Learn as much as I can
2) Build a strong network
3) Deliver results</t>
  </si>
  <si>
    <t>FNB Points of Presence (Itumeleng Makhasa)</t>
  </si>
  <si>
    <t>771005400 FNB POP Branch Delivery Braamfontein</t>
  </si>
  <si>
    <t>8884295</t>
  </si>
  <si>
    <t>Rudzani Ravele</t>
  </si>
  <si>
    <t>FNB Finance Business Solutions (Phumzile Mncadi)</t>
  </si>
  <si>
    <t>Create Mentorship Event for Rudzani Ravele with Bongani Baloyi</t>
  </si>
  <si>
    <t>8884213</t>
  </si>
  <si>
    <t>Thato Thokozani Molefe</t>
  </si>
  <si>
    <t>FNB Commercial Sales Gauteng South and Central (Pride Mnamatha)</t>
  </si>
  <si>
    <t>Create Mentorship Event for Thato Thokozani Molefe with Georgia Wensley</t>
  </si>
  <si>
    <t>What I want to achieve:
1. To receive a permanent position offer at the end of my FirstJob term in my current FirstJob  department 
2.Enhance my communication skills both verbally and non-verbally 
3.To learn how to use money wisely and effectively</t>
  </si>
  <si>
    <t>8884198</t>
  </si>
  <si>
    <t>Katlego Modieginyana</t>
  </si>
  <si>
    <t>FNB Finance Business Solutions (Mogie Padayachee)</t>
  </si>
  <si>
    <t>Create Mentorship Event for Katlego Modieginyana with Hilde Metumo Shimpanda</t>
  </si>
  <si>
    <t>8877419</t>
  </si>
  <si>
    <t>Malvin Maposa</t>
  </si>
  <si>
    <t>I want to learn how the banking industry works and how to deliver excellent service to customers 
I want to be permanently employed by FNB and apply all the skills and knowledge I have gained
I want to start a small business</t>
  </si>
  <si>
    <t>FNB Loans (Kyle Ferris)</t>
  </si>
  <si>
    <t>79100007564 FNB Consumer Loans Unsecured Pillar</t>
  </si>
  <si>
    <t>8885642</t>
  </si>
  <si>
    <t>Yonela Siswana</t>
  </si>
  <si>
    <t>FNB Points of Presence (Madeleine Labuschagne)</t>
  </si>
  <si>
    <t>Create Mentorship Event for Yonela Siswana with Malvin Maposa</t>
  </si>
  <si>
    <t>8870766</t>
  </si>
  <si>
    <t>Savannah Tadden</t>
  </si>
  <si>
    <t>1. Professional Development and Career Growth
2. Practical Workplace Skills and Confidence
3. Ethical Conduct and Market Practice Mastery</t>
  </si>
  <si>
    <t>WB Motor Risk Management (Mukhodiwa Nwashe)</t>
  </si>
  <si>
    <t>8885683</t>
  </si>
  <si>
    <t>Zimasile Mnothoza</t>
  </si>
  <si>
    <t>FNB Points of Presence (Raino Botha)</t>
  </si>
  <si>
    <t>Create Mentorship Event for Zimasile Mnothoza with Savannah Tadden</t>
  </si>
  <si>
    <t>3576930</t>
  </si>
  <si>
    <t>Maphelo Mpofu</t>
  </si>
  <si>
    <t>- Networking opportunities
- Career growth
- Leadership skills enhancement</t>
  </si>
  <si>
    <t>CDO Infrastructure and Security Services (Claude Kumst)</t>
  </si>
  <si>
    <t>Information Security Operations Head</t>
  </si>
  <si>
    <t>Create Mentorship Event for Sinazo Ndzawombi with Maphelo Mpofu</t>
  </si>
  <si>
    <t>8875371</t>
  </si>
  <si>
    <t>Neo Mphuthi</t>
  </si>
  <si>
    <t>Goal 1: Learn how to open accounts.
Goal 2: Reach my targets.
Goal 3: Learn everything about the banking industry.</t>
  </si>
  <si>
    <t>FNB Connect and Service Provider (Rupert Fick)</t>
  </si>
  <si>
    <t>83100004062 FNB Connect Credit</t>
  </si>
  <si>
    <t>8885575</t>
  </si>
  <si>
    <t>Nosiphiwe Sweetness Zulu</t>
  </si>
  <si>
    <t>FNB Points of Presence (Leratamang Okereke)</t>
  </si>
  <si>
    <t>Create Mentorship Event for Nosiphiwe Sweetness Zulu with Neo Mphuthi</t>
  </si>
  <si>
    <t>8877296</t>
  </si>
  <si>
    <t>Thabo Zwane</t>
  </si>
  <si>
    <t>This year I want to achieve the following goals:
1.Improve customer service-especially when making calls to clients
2. Professional networking- grow professionally
3. Manage difficult customers
www.linkedin.com/in/asemahle-ndlebe-15392522b</t>
  </si>
  <si>
    <t>FNB Central Finance (Jacques Van Staden)</t>
  </si>
  <si>
    <t>39400004027 FNB CFP Financial Controls</t>
  </si>
  <si>
    <t>8884219</t>
  </si>
  <si>
    <t>Asemahle Ndlebe</t>
  </si>
  <si>
    <t>FNB Commercial Public Sector Banking National Sales East (Anrie Spangenberg)</t>
  </si>
  <si>
    <t>84100002701 FNB Commercial Public Sector Western Cape</t>
  </si>
  <si>
    <t>Create Mentorship Event for Asemahle Ndlebe with Thabo Zwane</t>
  </si>
  <si>
    <t>8876931</t>
  </si>
  <si>
    <t>Sisanda Sibanda</t>
  </si>
  <si>
    <t>2026 Professional Goals
1. Permanent Employment 
2. Exam Progress
3. Improve PowerBI skills</t>
  </si>
  <si>
    <t>FNB HC Business Intelligence (Derick Mokonyane)</t>
  </si>
  <si>
    <t>8884204</t>
  </si>
  <si>
    <t>Elmon Ramahoshi</t>
  </si>
  <si>
    <t>FNB Business CXC (Mpho Disetlhe)</t>
  </si>
  <si>
    <t>Create Mentorship Event for Elmon Ramahoshi with Sisanda Sibanda</t>
  </si>
  <si>
    <t>5469368</t>
  </si>
  <si>
    <t>Njabulo Preysgod Nsibande</t>
  </si>
  <si>
    <t>Goal 1- Learn new Skills and boost self confidence in the field of sales 
Goal 2- Complete all formative assignments on Learnership portal on time or even before time scheduled time frame.
Goal 3- Complete my workbook by October and obtain my NQF 5 banking Certificate at the end of program.</t>
  </si>
  <si>
    <t>FNB Connect and Service Provider (Clinton Cloete)</t>
  </si>
  <si>
    <t>8885686</t>
  </si>
  <si>
    <t>Mosima Lucia Mnisi</t>
  </si>
  <si>
    <t>FNB Points of Presence (Livhuwani Mandiwana)</t>
  </si>
  <si>
    <t>Create Mentorship Event for Mosima Lucia Mnisi with Njabulo Preysgod Nsibande</t>
  </si>
  <si>
    <t>I wish to learn how to network and build relationships
I want to understand business value, &amp; master feedback</t>
  </si>
  <si>
    <t>8885603</t>
  </si>
  <si>
    <t>Nonhlakanipho Prayer Masanabo</t>
  </si>
  <si>
    <t>FNB Points of Presence (Khomotso Seopela)</t>
  </si>
  <si>
    <t>Create Mentorship Event for Nonhlakanipho Prayer Masanabo with Malamba Lavhengwa</t>
  </si>
  <si>
    <t>4927060</t>
  </si>
  <si>
    <t>Xola Ntlangula</t>
  </si>
  <si>
    <t>FRV/FJ Mentorship Programme</t>
  </si>
  <si>
    <t>8881877</t>
  </si>
  <si>
    <t>Lehlohonolo Maake</t>
  </si>
  <si>
    <t>Internal Audit Corporate Investment Bank (Harm Schreurs)</t>
  </si>
  <si>
    <t>20200007979 FRCC Human Capital Special Projects</t>
  </si>
  <si>
    <t>Create Mentorship Event for Lehlohonolo Maake with Xola Ntlangula</t>
  </si>
  <si>
    <t>8870688</t>
  </si>
  <si>
    <t>Luleka Righteous Khumalo</t>
  </si>
  <si>
    <t>This year I'd like to achieve the following gaols: 
1. Be hired permanently by the end of the learnership programme.
2. Get good grades on my schoolwork.
3. Make improvements of my well-being.</t>
  </si>
  <si>
    <t>FR Life Assurance (Simon Bonarius)</t>
  </si>
  <si>
    <t>61500010754 FR Life Growth Portfolio</t>
  </si>
  <si>
    <t>8884203</t>
  </si>
  <si>
    <t>Nomthandazo Chabalala</t>
  </si>
  <si>
    <t>FNB Finance Business Solutions (Asheen Sewgoolam)</t>
  </si>
  <si>
    <t>Create Mentorship Event for Nomthandazo Chabalala with Luleka Righteous Khumalo</t>
  </si>
  <si>
    <t>Career Guidance.
Disruptive Technologies.
Manage a career transition.
Relationship building and networking.</t>
  </si>
  <si>
    <t>8885572</t>
  </si>
  <si>
    <t>Penchele Kakudi</t>
  </si>
  <si>
    <t>FNB Points of Presence (Mothibedi Moaludi)</t>
  </si>
  <si>
    <t>Create Mentorship Event for Penchele Kakudi with Nozipho Victoria Sidambe</t>
  </si>
  <si>
    <t>I would like to provide excellent customer service, would like to improve my work-life balance and also increase my performance metrics.</t>
  </si>
  <si>
    <t>8885701</t>
  </si>
  <si>
    <t>Lihle Konzeka</t>
  </si>
  <si>
    <t>FNB Points of Presence (Thembalethu Badiwe)</t>
  </si>
  <si>
    <t>Create Mentorship Event for Lihle Konzeka with Noluthando Buthelezi</t>
  </si>
  <si>
    <t>I want to learn how to be the best in sales.
I want to boost my skills.
I want to meet and go extra miles with my target market.</t>
  </si>
  <si>
    <t>8885763</t>
  </si>
  <si>
    <t>Thobile Buthelezi</t>
  </si>
  <si>
    <t>FNB Points of Presence (Sindisiwe Zondi)</t>
  </si>
  <si>
    <t>Create Mentorship Event for Thobile Buthelezi with Nathan Ngqwebo</t>
  </si>
  <si>
    <t>8877584</t>
  </si>
  <si>
    <t>Reitumetse Rabotapi</t>
  </si>
  <si>
    <t>Develop professional banking skills.
Perform well in this learnership.
learn how to balance work and academics.</t>
  </si>
  <si>
    <t>CDO Kernel iNterfaceX (Serena Naicker)</t>
  </si>
  <si>
    <t>21800003622 CDO Kernel iNterfaceX Messaging</t>
  </si>
  <si>
    <t>8885584</t>
  </si>
  <si>
    <t>Bonolo Ntoloane</t>
  </si>
  <si>
    <t>FNB Points of Presence (Dakalo Ndove (Inherited))</t>
  </si>
  <si>
    <t>Create Mentorship Event for Bonolo Ntoloane with Reitumetse Rabotapi</t>
  </si>
  <si>
    <t>8884323</t>
  </si>
  <si>
    <t>Simthandile Jiyane</t>
  </si>
  <si>
    <t>FNB Volunteers (Solomon Mzinyane)</t>
  </si>
  <si>
    <t>Create Mentorship Event for Simthandile Jiyane with Neo Mphuthi</t>
  </si>
  <si>
    <t>8877793</t>
  </si>
  <si>
    <t>Talhah Shahzada</t>
  </si>
  <si>
    <t>This year I want to achieve the following goals:
Goal 1
1. To gain a strong understanding of FNB Commercial Banking products, systems and processes so that I can confidently support clients and contribute effectively to the team. 
Goal 2
2. To develop practical workplace skills including customer service, compliance and teamwork by participating in daily operations and learning from experienced colleagues and my mentor 
Goal 3
3. To grow to competent and reliable commercial banking professional at FNB, with long-term goal of building a permanent career within the organization and adding value to both clients and the bank.</t>
  </si>
  <si>
    <t>8884214</t>
  </si>
  <si>
    <t>Xihluke Mabunda</t>
  </si>
  <si>
    <t>FNB Commercial Sales Inland (Ingrit Msibi)</t>
  </si>
  <si>
    <t>Create Mentorship Event for Xihluke Mabunda with Talhah Shahzada</t>
  </si>
  <si>
    <t>8884136</t>
  </si>
  <si>
    <t>Katleho Sondlo</t>
  </si>
  <si>
    <t>FNB Points of Presence (Rachel Zwane)</t>
  </si>
  <si>
    <t>Close Mentorship Event for Katleho Sondlo with Nathan Ngqwebo
Create Mentorship Event for Katleho Sondlo with Nathan Ngqwebo</t>
  </si>
  <si>
    <t>More Skills
Work Experience 
Get Permanent Job</t>
  </si>
  <si>
    <t>8884135</t>
  </si>
  <si>
    <t>Thabo Mthembu</t>
  </si>
  <si>
    <t>FNB Points of Presence (Charles Naidoo)</t>
  </si>
  <si>
    <t>Create Mentorship Event for Thabo Mthembu with Nathan Ngqwebo</t>
  </si>
  <si>
    <t>8884131</t>
  </si>
  <si>
    <t>Nosisa Zungu</t>
  </si>
  <si>
    <t>FNB Commercial Merchant Services (Itu Mokoka)</t>
  </si>
  <si>
    <t>Create Mentorship Event for Nosisa Zungu with Rudzani Thagwana</t>
  </si>
  <si>
    <t>A very good morning I need Mentor to assist me On knowing and Understanding the IT environment and the diagrams the reason for that is I'm currently studying degree on IT so I need the clear understanding of what is needed.</t>
  </si>
  <si>
    <t>3806111</t>
  </si>
  <si>
    <t>Mandla Mthembu</t>
  </si>
  <si>
    <t>FNB Collections and Platform Enablement (Burton Hammond)</t>
  </si>
  <si>
    <t>79700003307 Collections Platform</t>
  </si>
  <si>
    <t>Create Mentorship Event for Mandla Mthembu with Aobakwe Kgobokoe</t>
  </si>
  <si>
    <t>2026 goals
1. Achieve targets.
2. Stay courageous.
3. Try something new exciting.</t>
  </si>
  <si>
    <t>8885781</t>
  </si>
  <si>
    <t>Reabetsoe Moshoeshoe</t>
  </si>
  <si>
    <t>FNB Points of Presence (Ren Nandkumar)</t>
  </si>
  <si>
    <t>Create Mentorship Event for Reabetsoe Moshoeshoe with Ofentse Pilane</t>
  </si>
  <si>
    <t>This year I want to archive the following goals.
1.I want to earn myself a permeant position at my current role at FNB.
2.I want to learn new skills which will help me contribute to the organization. 
3.I want to grow my knowledge and talent so I can be able to empower others.</t>
  </si>
  <si>
    <t>8884416</t>
  </si>
  <si>
    <t>Thapelo Phatudi</t>
  </si>
  <si>
    <t>Create Mentorship Event for Thapelo Phatudi with Luleka Righteous Khumalo</t>
  </si>
  <si>
    <t>identity career paths within FNB
how to reach my targets faster
building ready work skills</t>
  </si>
  <si>
    <t>8885569</t>
  </si>
  <si>
    <t>Precious Phalwane</t>
  </si>
  <si>
    <t>FNB Points of Presence (Penny Manganye)</t>
  </si>
  <si>
    <t>Create Mentorship Event for Precious Phalwane with Liso Tabata</t>
  </si>
  <si>
    <t>1. I want to learn more than i already know about the banking industry.
2. Improve my knowledge on sales.
3. Get my certificate at the end the program.</t>
  </si>
  <si>
    <t>8885680</t>
  </si>
  <si>
    <t>Karabelo Innocent Finger</t>
  </si>
  <si>
    <t>FNB Points of Presence (Khulu Bongelo)</t>
  </si>
  <si>
    <t>Create Mentorship Event for Karabelo Innocent Finger with Gudani Khuswana</t>
  </si>
  <si>
    <t>This year, I wish to:
Learn- How to confidently approach customers with a clear voice. 
Do- I want to be able to go out and look for sales and be able to achieve my targets. 
Achieve- I wish to achieve my goals and be able to secure a permanent position.</t>
  </si>
  <si>
    <t>8885570</t>
  </si>
  <si>
    <t>Nosipho Angela Sithole</t>
  </si>
  <si>
    <t>FNB Points of Presence (Ismail Mohamed)</t>
  </si>
  <si>
    <t>Create Mentorship Event for Nosipho Angela Sithole with Kaylyn Karuppen</t>
  </si>
  <si>
    <t>8877646</t>
  </si>
  <si>
    <t>Tokelo Monare</t>
  </si>
  <si>
    <t>1. Understand how to handle crisis in tough communication situations like data breach, addressing issues that can affect customers and business.
2. Know how to measure communication success using analytics to show impact 
3. Internal PR keeping employees informed and on brand</t>
  </si>
  <si>
    <t>8884129</t>
  </si>
  <si>
    <t>Mondli Chauke</t>
  </si>
  <si>
    <t>Create Mentorship Event for Mondli Chauke with Tokelo Monare</t>
  </si>
  <si>
    <t>1. Gain fresh perspective
2. Strengthen my knowledge
3. Refine communication skills</t>
  </si>
  <si>
    <t>8884218</t>
  </si>
  <si>
    <t>Nyiko Magomani</t>
  </si>
  <si>
    <t>FNB Personal Human Capital (Vanessa Mileham)</t>
  </si>
  <si>
    <t>Close Mentorship Event for Nyiko Magomani with Nathan Ngqwebo
Create Mentorship Event for Nyiko Magomani with Nathan Ngqwebo</t>
  </si>
  <si>
    <t>8871842</t>
  </si>
  <si>
    <t>Msimisi Dlamini</t>
  </si>
  <si>
    <t>I want to be the best Sweet Spot first jobber in the FNB history.
To obtain NQF 5 Certificate at FNB
Be permanently employed at FNB</t>
  </si>
  <si>
    <t>FNB Chief Risk Office Interactions and Risk Analytics (Tumisho Mabelane)</t>
  </si>
  <si>
    <t>8885890</t>
  </si>
  <si>
    <t>Khonaye Ntshwanti</t>
  </si>
  <si>
    <t>FNB Points of Presence (Tessa Nkewana)</t>
  </si>
  <si>
    <t>Create Mentorship Event for Khonaye Ntshwanti with Msimisi Dlamini</t>
  </si>
  <si>
    <t>Customer service 
Know all the banking products
Bank Challenges</t>
  </si>
  <si>
    <t>8885551</t>
  </si>
  <si>
    <t>Nosihle Gcaba</t>
  </si>
  <si>
    <t>FNB Points of Presence (Ashveer Kissoon)</t>
  </si>
  <si>
    <t>Create Mentorship Event for Nosihle Gcaba with Malamba Lavhengwa</t>
  </si>
  <si>
    <t>8876734</t>
  </si>
  <si>
    <t>Costa Muthai</t>
  </si>
  <si>
    <t>Adapting in the workplace
Reaching sales targets
Learning valuable skills</t>
  </si>
  <si>
    <t>8885588</t>
  </si>
  <si>
    <t>Nonceba Ludidi</t>
  </si>
  <si>
    <t>FNB Points of Presence (Charlton Willemse)</t>
  </si>
  <si>
    <t>Create Mentorship Event for Nonceba Ludidi with Costa Muthai</t>
  </si>
  <si>
    <t>This year i want to achieve the following goals:
1. Successfully complete the qualification I am enrolled in.
2.Learn and understand more about all the departments in my business unit.
3.Aquire a permanent position in my department.</t>
  </si>
  <si>
    <t>8884171</t>
  </si>
  <si>
    <t>Kamogelo Ndlovu</t>
  </si>
  <si>
    <t>FNB Commercial Merchant Services (Khothatso Mackay)</t>
  </si>
  <si>
    <t>Create Mentorship Event for Kamogelo Ndlovu with Veroshan Thaver</t>
  </si>
  <si>
    <t>Goal 1: Master fundamentals as to get solid in kitchen basics like knife skills, cooking techniques, and food safety.
Goal 2: Learn from the best :Absorb knowledge and skills from experienced chefs, and ask tons of questions.
Goal 3: Gets hands-on experience: Dive into different kitchen stations, work on live orders also cooking for crowds, e.g. buffet, special events.</t>
  </si>
  <si>
    <t>8884267</t>
  </si>
  <si>
    <t>Philiswa Lungeleni Msane</t>
  </si>
  <si>
    <t>REMS Real Estate Management Services (Rani Roopnarain)</t>
  </si>
  <si>
    <t>FirstJob Intern</t>
  </si>
  <si>
    <t>Create Mentorship Event for Philiswa Lungeleni Msane with Lehlogonolo Phineas Mbiza</t>
  </si>
  <si>
    <t>8870794</t>
  </si>
  <si>
    <t>Tebogo Matome Raphadu</t>
  </si>
  <si>
    <t>Goal number 1: I need to get retained at the end at the end of my learnership. 
Goal number 2: Know how to fit in with corporations and with any corporate culture. 
Goal number 3: I need to know how to network and set myself apart from the majority.</t>
  </si>
  <si>
    <t>DirectAxis (Siphelo Malinde)</t>
  </si>
  <si>
    <t>99700009159 FNB DA Operations Executives</t>
  </si>
  <si>
    <t>8884128</t>
  </si>
  <si>
    <t>Bonga Sondlo</t>
  </si>
  <si>
    <t>FNB Wealth and Investments (Ndumiso Masala)</t>
  </si>
  <si>
    <t>Create Mentorship Event for Bonga Sondlo with Tebogo Matome Raphadu</t>
  </si>
  <si>
    <t>4830601</t>
  </si>
  <si>
    <t>Tshepiso Mngomezulu</t>
  </si>
  <si>
    <t>Hi, I hope you’re well. My name is Mbhalenhle Mahuhushi, and I recently joined RMB in October 2025 through the Operations Experience Graduate Programme. I’m currently placed within the GoldenSource Business Analysis team under Munnera.
I came across your profile on LinkedIn and was really inspired by your journey. Even though our educational backgrounds are quite different, I deeply admire the depth of your expertise and the direction your career has taken. Your work sits in a space I’m very interested in exploring and eventually growing into.
I’m currently in a stage where I’m trying to strengthen my technical capabilities, sharpen my analytical thinking, and broaden my understanding of the business. I would really appreciate the opportunity to learn from you, whether through occasional conversations, guidance on development areas, or any insights you feel would help someone early in their career.
If you’re open to it, I would be grateful for the chance to connect and potentially explore a mentorship relationship. Thank you for considering my request, and either way, I truly appreciate the work you do and the inspiration it provides.
Kind regards</t>
  </si>
  <si>
    <t>Client Profile Management Operations Head</t>
  </si>
  <si>
    <t>Create Mentorship Event for Mbhalenhle Mahuhushi with Tshepiso Mngomezulu</t>
  </si>
  <si>
    <t>8870709</t>
  </si>
  <si>
    <t>Ronewa Errol Maemu Tshikosi</t>
  </si>
  <si>
    <t>This year i would like to achieve the following goals:
1. Develop new skills, especially in problem-solving and analytical thinking.
2. Build strong technical skills along with effective communication abilities.
3. Secure a job in a technical field where I can continue learning and developing myself.</t>
  </si>
  <si>
    <t>CDO Kernel iNterfaceX (Denisha Rambaran)</t>
  </si>
  <si>
    <t>8884212</t>
  </si>
  <si>
    <t>Siphesihle Anderson Kwelemthini</t>
  </si>
  <si>
    <t>FNB Commercial TxP (Maganda Nthimbane)</t>
  </si>
  <si>
    <t>Create Mentorship Event for Siphesihle Anderson Kwelemthini with Ronewa Errol Maemu Tshikosi</t>
  </si>
  <si>
    <t>8885543</t>
  </si>
  <si>
    <t>Mmapaseka Mmamogale</t>
  </si>
  <si>
    <t>FNB Points of Presence (Nicolene Maritz (Inherited))</t>
  </si>
  <si>
    <t>Create Mentorship Event for Mmapaseka Mmamogale with Ronewa Errol Maemu Tshikosi</t>
  </si>
  <si>
    <t>Goal 1- Building a strong solid foundation in banking by learning the systems and understand how the bank works and understand my role and excel in it.
Goal 2- Develop good judgement and risk awareness 
Goal 3- Grow professionally in the financial industry</t>
  </si>
  <si>
    <t>8885693</t>
  </si>
  <si>
    <t>Winnie Sithole</t>
  </si>
  <si>
    <t>FNB Points of Presence (Yota Christodoulou)</t>
  </si>
  <si>
    <t>Create Mentorship Event for Winnie Sithole with Gudani Khuswana</t>
  </si>
  <si>
    <t>1.Systems knowledge
2.Academics
3.Excellence in doing my job.
4.Emotional intelligence</t>
  </si>
  <si>
    <t>8884194</t>
  </si>
  <si>
    <t>Amishoni Vivian Shirindza</t>
  </si>
  <si>
    <t>FNB Personal Segment Advisory and Suites (Veronica Nhlapo)</t>
  </si>
  <si>
    <t>Create Mentorship Event for Amishoni Vivian Shirindza with Rohan Schoeman</t>
  </si>
  <si>
    <t>8876184</t>
  </si>
  <si>
    <t>Nobuhle Mlahleki</t>
  </si>
  <si>
    <t>My three top goals:
1. Finish the learnership without breaking any rules.
2. Pass my assignments with outstanding marks.
3. Build my first career path.</t>
  </si>
  <si>
    <t>CDO Kernel iNterfaceX (Tendani Munyai)</t>
  </si>
  <si>
    <t>21800003954 CDO Kernel iNterfaceX Assisted and Sales Dev sales</t>
  </si>
  <si>
    <t>8885673</t>
  </si>
  <si>
    <t>Sphelele Ndhlovu</t>
  </si>
  <si>
    <t>FNB Points of Presence (Sfiso Sibiya)</t>
  </si>
  <si>
    <t>Create Mentorship Event for Sphelele Ndhlovu with Nobuhle Mlahleki</t>
  </si>
  <si>
    <t>8877829</t>
  </si>
  <si>
    <t>Sizolwethu Mthombeni</t>
  </si>
  <si>
    <t>Develop a deeper understanding of FNB's talent acquisition and development strategies.
Improve my skills in HR analytics and reporting.
Position myself for a permanent role in the HC department.</t>
  </si>
  <si>
    <t>FR Life Assurance (Kholiswa Mvumvu)</t>
  </si>
  <si>
    <t>8884144</t>
  </si>
  <si>
    <t>Nqobile Nhlapho</t>
  </si>
  <si>
    <t>FNB Points of Presence (Sibusiso Malinga)</t>
  </si>
  <si>
    <t>Create Mentorship Event for Nqobile Nhlapho with Sizolwethu Mthombeni</t>
  </si>
  <si>
    <t>1. Improve my sales numbers
2. Learn more about the banking industry
3. Become a permanent member at FNB</t>
  </si>
  <si>
    <t>8885764</t>
  </si>
  <si>
    <t>Molefi Macdonald Modumaela</t>
  </si>
  <si>
    <t>Create Mentorship Event for Molefi Macdonald Modumaela with Talhah Shahzada</t>
  </si>
  <si>
    <t>5666961</t>
  </si>
  <si>
    <t>Muhammad Moosa</t>
  </si>
  <si>
    <t>I want to learn more about finance and economy at large, help clients to have more financial freedom and help with acknowledge about investments.
Achieve understanding of financial success and economical skills.</t>
  </si>
  <si>
    <t>CDO Kernel iNterfaceX (Justin Rademan)</t>
  </si>
  <si>
    <t>21800004034 CDO Kernel iNterfaceX Web Services</t>
  </si>
  <si>
    <t>Web Designer</t>
  </si>
  <si>
    <t>8884207</t>
  </si>
  <si>
    <t>Kutlwano Lekgetho</t>
  </si>
  <si>
    <t>FNB Commercial Cash (Jen Cleland)</t>
  </si>
  <si>
    <t>Create Mentorship Event for Kutlwano Lekgetho with Muhammad Moosa</t>
  </si>
  <si>
    <t>This year I want to achieve the following goal:
1. Gaining practical banking skills
2. Gaining communication skills 
3. Get a permanent position at the end of the learnership</t>
  </si>
  <si>
    <t>8885564</t>
  </si>
  <si>
    <t>Gugu Yeni</t>
  </si>
  <si>
    <t>FNB Points of Presence (Zinhle Pikwa)</t>
  </si>
  <si>
    <t>Create Mentorship Event for Gugu Yeni with Muhammad Moosa</t>
  </si>
  <si>
    <t>Grow Into a High‑Performing, Career‑Ready Employee
gain leadership skills.
Build Strong Banking &amp; Financial Skills.</t>
  </si>
  <si>
    <t>8884220</t>
  </si>
  <si>
    <t>Sabelo Mshiywa</t>
  </si>
  <si>
    <t>FNB Commercial Public Sector (Thobela Jemsana)</t>
  </si>
  <si>
    <t>84100002705 FNB Commercial Public Sector KZN</t>
  </si>
  <si>
    <t>Create Mentorship Event for Sabelo Mshiywa with Lehlogonolo Phineas Mbiza</t>
  </si>
  <si>
    <t>This is year I want to achieve the following goals:
1: permanent advance 
2:Growth in banking</t>
  </si>
  <si>
    <t>8885581</t>
  </si>
  <si>
    <t>Nhluvuko Rookie Maluleke</t>
  </si>
  <si>
    <t>FNB Points of Presence (Dimakatso Mokoena)</t>
  </si>
  <si>
    <t>Create Mentorship Event for Nhluvuko Rookie Maluleke with Nathan Ngqwebo</t>
  </si>
  <si>
    <t>8877028</t>
  </si>
  <si>
    <t>Andisa Mashimbye</t>
  </si>
  <si>
    <t>1. I want to learn at the teller department 
2. Be proficient in sales and sell 
3. Be comfortable in making presentations</t>
  </si>
  <si>
    <t>FNB Wealth and Investments (Karabo Ditsebe)</t>
  </si>
  <si>
    <t>8885614</t>
  </si>
  <si>
    <t>Phumlile Lureme</t>
  </si>
  <si>
    <t>FNB Points of Presence (Ntsikelelo Buti)</t>
  </si>
  <si>
    <t>Create Mentorship Event for Phumlile Lureme with Andisa Mashimbye</t>
  </si>
  <si>
    <t>Bridging the gap for graduates and first-time joiners to the workplace
Learn how to navigate the system</t>
  </si>
  <si>
    <t>8884324</t>
  </si>
  <si>
    <t>Stanley Malepe</t>
  </si>
  <si>
    <t>Create Mentorship Event for Stanley Malepe with Nobuhle Mlahleki</t>
  </si>
  <si>
    <t>This year I want to learn the following:
1. Communication skills 
2. Good organizational skills
3. Allow room for growth</t>
  </si>
  <si>
    <t>8884200</t>
  </si>
  <si>
    <t>Mamosa Mokoena</t>
  </si>
  <si>
    <t>FNB Finance Business Solutions (Sandra Block)</t>
  </si>
  <si>
    <t>Create Mentorship Event for Mamosa Mokoena with Andisa Mashimbye</t>
  </si>
  <si>
    <t>8876748</t>
  </si>
  <si>
    <t>Sandile Mthiyane</t>
  </si>
  <si>
    <t>mentoring and helping in managing and coping with my studies my studies</t>
  </si>
  <si>
    <t>FNB Connect and Service Provider (Stephan Snyman)</t>
  </si>
  <si>
    <t>83100006591 FNB Connnect Technology Channel and Integration</t>
  </si>
  <si>
    <t>8885556</t>
  </si>
  <si>
    <t>Lindokuhle Madonsela</t>
  </si>
  <si>
    <t>FNB Points of Presence (Dion Sibiya)</t>
  </si>
  <si>
    <t>Create Mentorship Event for Lindokuhle Madonsela with Sandile Mthiyane</t>
  </si>
  <si>
    <t>8877632</t>
  </si>
  <si>
    <t>Ntsako Rebecca Zondani</t>
  </si>
  <si>
    <t>I want to learn how to open accounts, do transactions and achieve a permanent job with FNB</t>
  </si>
  <si>
    <t>CDO Kernel iNterfaceX (Donna-Jeanne Rudman)</t>
  </si>
  <si>
    <t>21800005099 CDO Kernel iNterfaceX App Business Analysis</t>
  </si>
  <si>
    <t>8885558</t>
  </si>
  <si>
    <t>Snenhlanhla Bridget Shabalala</t>
  </si>
  <si>
    <t>FNB Points of Presence (Sibo Buthelezi)</t>
  </si>
  <si>
    <t>Create Mentorship Event for Snenhlanhla Bridget Shabalala with Ntsako Rebecca Zondani</t>
  </si>
  <si>
    <t>I need a mentor to guide me and as well as help me to accelerate my professional growth in the banking industry. I need a mentor because there is a lot to learn from them. I want to learn and grow with banking, and I know that I can only do that through mentorship from my mentor.</t>
  </si>
  <si>
    <t>8885762</t>
  </si>
  <si>
    <t>Stella Lekhoaba</t>
  </si>
  <si>
    <t>FNB Points of Presence (Esther Masombuka)</t>
  </si>
  <si>
    <t>Create Mentorship Event for Stella Lekhoaba with Allen Chapingidza</t>
  </si>
  <si>
    <t>This year i want to achieve the following goals;
1.understanding clearly 
2. further my learning
3. be productive and finishing on time</t>
  </si>
  <si>
    <t>8885774</t>
  </si>
  <si>
    <t>Tshegofatso Mokoto</t>
  </si>
  <si>
    <t>FNB Points of Presence (Wanda Mitton)</t>
  </si>
  <si>
    <t>Create Mentorship Event for Tshegofatso Mokoto with Ntsako Rebecca Zondani</t>
  </si>
  <si>
    <t>Mentor Email address</t>
  </si>
  <si>
    <t>Mentee Email Address</t>
  </si>
  <si>
    <t>Aceng Akii</t>
  </si>
  <si>
    <t>Innocent Ntsako Chauke</t>
  </si>
  <si>
    <t>F8877523@fnb.co.za</t>
  </si>
  <si>
    <t>F8884130@fnb.co.za</t>
  </si>
  <si>
    <t xml:space="preserve">Aceng Akii </t>
  </si>
  <si>
    <t>Zanele Mboweni</t>
  </si>
  <si>
    <t>F8884211@fnb.co.za</t>
  </si>
  <si>
    <t>Atiyya Hoosain</t>
  </si>
  <si>
    <t>Anelisa Mankayi</t>
  </si>
  <si>
    <t>F8870687@fnb.co.za</t>
  </si>
  <si>
    <t>F8885591@fnb.co.za</t>
  </si>
  <si>
    <t>Gift Sikhulile Mashele</t>
  </si>
  <si>
    <t>F8885847@fnb.co.za</t>
  </si>
  <si>
    <t>Gratitude Monareng</t>
  </si>
  <si>
    <t>F8885589@fnb.co.za</t>
  </si>
  <si>
    <t>Fortune Mabele</t>
  </si>
  <si>
    <t>Nkhensani Shibambo</t>
  </si>
  <si>
    <t>F8872220@fnb.co.za</t>
  </si>
  <si>
    <t>F8884143@fnb.co.za</t>
  </si>
  <si>
    <t>Chesley Gustav</t>
  </si>
  <si>
    <t>F8884358@fnb.co.za</t>
  </si>
  <si>
    <t>Jackson Ngwabi</t>
  </si>
  <si>
    <t>Kgothatso Phillep Lebese</t>
  </si>
  <si>
    <t>F8876998@fnb.co.za</t>
  </si>
  <si>
    <t>F8885583@fnb.co.za</t>
  </si>
  <si>
    <t>Kgotatso Madela</t>
  </si>
  <si>
    <t>F8885759@fnb.co.za</t>
  </si>
  <si>
    <t>Julia Ndjene</t>
  </si>
  <si>
    <t>Noluthando Ndlovu</t>
  </si>
  <si>
    <t>F8870913@fnb.co.za</t>
  </si>
  <si>
    <t>F8885825@fnb.co.za</t>
  </si>
  <si>
    <t>Ncediwe Mphantsi</t>
  </si>
  <si>
    <t>F8885615@fnb.co.za</t>
  </si>
  <si>
    <t>Kabelo Masekela</t>
  </si>
  <si>
    <t>Oratile Mathibe</t>
  </si>
  <si>
    <t>F8877102@fnb.co.za</t>
  </si>
  <si>
    <t>F8885674@fnb.co.za</t>
  </si>
  <si>
    <t>Aviwe Mdingi</t>
  </si>
  <si>
    <t>F8885559@fnb.co.za</t>
  </si>
  <si>
    <t>Mulisa Nthangeni</t>
  </si>
  <si>
    <t>F8884139@fnb.co.za</t>
  </si>
  <si>
    <t>Madambi Kutama</t>
  </si>
  <si>
    <t>Fanelesibonge Cele</t>
  </si>
  <si>
    <t>F8876543@fnb.co.za</t>
  </si>
  <si>
    <t>F8885552@fnb.co.za</t>
  </si>
  <si>
    <t>Morongwa Masuku</t>
  </si>
  <si>
    <t>F8885587@fnb.co.za</t>
  </si>
  <si>
    <t>Manav Bholah</t>
  </si>
  <si>
    <t>Lwando Shange</t>
  </si>
  <si>
    <t>f8876985@fnb.co.za</t>
  </si>
  <si>
    <t>F8885797@fnb.co.za</t>
  </si>
  <si>
    <t>Tebogo Matoko</t>
  </si>
  <si>
    <t>F8884248@fnb.co.za</t>
  </si>
  <si>
    <t>Thabiso Thobejane</t>
  </si>
  <si>
    <t>F8884261@fnb.co.za</t>
  </si>
  <si>
    <t>Mishe Chitharai</t>
  </si>
  <si>
    <t>Shalom Mosime</t>
  </si>
  <si>
    <t>F8876444@fnb.co.za</t>
  </si>
  <si>
    <t>F8885560@fnb.co.za</t>
  </si>
  <si>
    <t>Khomotso Sekoba</t>
  </si>
  <si>
    <t>F8885633@fnb.co.za</t>
  </si>
  <si>
    <t>Mologadi Chuene</t>
  </si>
  <si>
    <t>Lyla Maluleke</t>
  </si>
  <si>
    <t>F8870827@fnb.co.za</t>
  </si>
  <si>
    <t>F8884149@fnb.co.za</t>
  </si>
  <si>
    <t>F8885762@fnb.co.za</t>
  </si>
  <si>
    <t>Timyiko Ndobe</t>
  </si>
  <si>
    <t>F8884241@fnb.co.za</t>
  </si>
  <si>
    <t>Muaawiyah Dadabhay</t>
  </si>
  <si>
    <t>Karabo Machaka</t>
  </si>
  <si>
    <t>f8875752@fnb.co.za</t>
  </si>
  <si>
    <t>F8885760@fnb.co.za</t>
  </si>
  <si>
    <t>F8884136@fnb.co.za</t>
  </si>
  <si>
    <t>Dikeledi Masiteng</t>
  </si>
  <si>
    <t>F8885681@fnb.co.za</t>
  </si>
  <si>
    <t>Mueletshedzi Neswiswa</t>
  </si>
  <si>
    <t>Maketa Mogajane</t>
  </si>
  <si>
    <t>F8870829@fnb.co.za</t>
  </si>
  <si>
    <t>F8885677@fnb.co.za</t>
  </si>
  <si>
    <t>Zamashenge Nkosi</t>
  </si>
  <si>
    <t>F8885675@fnb.co.za</t>
  </si>
  <si>
    <t>Busisiwe Masombuka</t>
  </si>
  <si>
    <t>F8884350@fnb.co.za</t>
  </si>
  <si>
    <t>Nikail Singh</t>
  </si>
  <si>
    <t>Nontokozo Maphanga</t>
  </si>
  <si>
    <t>F8876746@fnb.co.za</t>
  </si>
  <si>
    <t>F8885744@fnb.co.za</t>
  </si>
  <si>
    <t>Dithapelo Mabilo</t>
  </si>
  <si>
    <t>F8885592@fnb.co.za</t>
  </si>
  <si>
    <t>Masesi Motaung</t>
  </si>
  <si>
    <t>F8884247@fnb.co.za</t>
  </si>
  <si>
    <t>Nikhil Naidoo</t>
  </si>
  <si>
    <t>Londeka Nxumalo</t>
  </si>
  <si>
    <t>F8875725@fnb.co.za</t>
  </si>
  <si>
    <t>F8885676@fnb.co.za</t>
  </si>
  <si>
    <t>Bakhusele Mayekiso</t>
  </si>
  <si>
    <t>F8885678@fnb.co.za</t>
  </si>
  <si>
    <t>Ntuthuko Yiga</t>
  </si>
  <si>
    <t>Gaolatlheope Moraka</t>
  </si>
  <si>
    <t>F8872041@fnb.co.za</t>
  </si>
  <si>
    <t>F8885566@fnb.co.za</t>
  </si>
  <si>
    <t>Ntanganedzeni Phidzaulima</t>
  </si>
  <si>
    <t>F8885557@fnb.co.za</t>
  </si>
  <si>
    <t>Nondumiso Mthembu</t>
  </si>
  <si>
    <t>F8885634@fnb.co.za</t>
  </si>
  <si>
    <t>Robert Hindle</t>
  </si>
  <si>
    <t>Muzivukile Gcabashe</t>
  </si>
  <si>
    <t>F8877384@fnb.co.za</t>
  </si>
  <si>
    <t>F8885632@fnb.co.za</t>
  </si>
  <si>
    <t>Melusi Ngubeni</t>
  </si>
  <si>
    <t>F8885550@fnb.co.za</t>
  </si>
  <si>
    <t>Sachin Moodley</t>
  </si>
  <si>
    <t>Sithembile Mzinya</t>
  </si>
  <si>
    <t>F8870861@fnb.co.za</t>
  </si>
  <si>
    <t>F8884202@fnb.co.za</t>
  </si>
  <si>
    <t>Maela Monareng</t>
  </si>
  <si>
    <t>F8885801@fnb.co.za</t>
  </si>
  <si>
    <t>Erron Goliath</t>
  </si>
  <si>
    <t>F8885702@fnb.co.za</t>
  </si>
  <si>
    <t>Shamein Makungu Sabeka</t>
  </si>
  <si>
    <t>Lebohang Majoro</t>
  </si>
  <si>
    <t>F8870816@fnb.co.za</t>
  </si>
  <si>
    <t>F8885703@fnb.co.za</t>
  </si>
  <si>
    <t>Phumlani Ncewula</t>
  </si>
  <si>
    <t>F8885685@fnb.co.za</t>
  </si>
  <si>
    <t>Sihle Mthembu</t>
  </si>
  <si>
    <t>Shrika Jaikishor</t>
  </si>
  <si>
    <t>F8870813@fnb.co.za</t>
  </si>
  <si>
    <t>F8884126@fnb.co.za</t>
  </si>
  <si>
    <t>Thaveesh Singh Narrandes</t>
  </si>
  <si>
    <t>F8885610@fnb.co.za</t>
  </si>
  <si>
    <t>Siyabonga Baloyi</t>
  </si>
  <si>
    <t>Goobamang Matlhako</t>
  </si>
  <si>
    <t>F8876667@fnb.co.za</t>
  </si>
  <si>
    <t>F8885849@fnb.co.za</t>
  </si>
  <si>
    <t>F8884295@fnb.co.za</t>
  </si>
  <si>
    <t>Suhail Moosa</t>
  </si>
  <si>
    <t>F5666961@fnb.co.za</t>
  </si>
  <si>
    <t>F8884207@fnb.co.za</t>
  </si>
  <si>
    <t>F8885564@fnb.co.za</t>
  </si>
  <si>
    <t>Keletso Mabula</t>
  </si>
  <si>
    <t>F8885698@fnb.co.za</t>
  </si>
  <si>
    <t>Tisetso Maseko</t>
  </si>
  <si>
    <t>Sibusiso Shezi</t>
  </si>
  <si>
    <t>F8876968@fnb.co.za</t>
  </si>
  <si>
    <t>F8885705@fnb.co.za</t>
  </si>
  <si>
    <t>Phindile Mpumelelo Nimrod Mayeke</t>
  </si>
  <si>
    <t>F8885622@fnb.co.za</t>
  </si>
  <si>
    <t>Trent Graham</t>
  </si>
  <si>
    <t>Trecia Ndlovu</t>
  </si>
  <si>
    <t>F8877848@fnb.co.za</t>
  </si>
  <si>
    <t>F8884205@fnb.co.za</t>
  </si>
  <si>
    <t>Lwazi Jakalase</t>
  </si>
  <si>
    <t>F8884140@fnb.co.za</t>
  </si>
  <si>
    <t>Tsepo Ndimande</t>
  </si>
  <si>
    <t>Gugu Vananda</t>
  </si>
  <si>
    <t>F8871831@fnb.co.za</t>
  </si>
  <si>
    <t>F8884142@fnb.co.za</t>
  </si>
  <si>
    <t>Zellne Botha</t>
  </si>
  <si>
    <t>F8884366@fnb.co.za</t>
  </si>
  <si>
    <t>Khwezi Ntsele</t>
  </si>
  <si>
    <t>F8884145@fnb.co.za</t>
  </si>
  <si>
    <t>Zaakirah Omar</t>
  </si>
  <si>
    <t>Nthabiseng Letsoalo</t>
  </si>
  <si>
    <t>F8877430@fnb.co.za</t>
  </si>
  <si>
    <t>F8884172@fnb.co.za</t>
  </si>
  <si>
    <t>Papi Tsotetsi</t>
  </si>
  <si>
    <t>F8885545@fnb.co.za</t>
  </si>
  <si>
    <t>Zachary Correia</t>
  </si>
  <si>
    <t>Kopano Mpya</t>
  </si>
  <si>
    <t>F8879012@fnb.co.za</t>
  </si>
  <si>
    <t>F8884134@fnb.co.za</t>
  </si>
  <si>
    <t>Nondumiso Magongo</t>
  </si>
  <si>
    <t>F8885692@fnb.co.za</t>
  </si>
  <si>
    <t>Mentors with relationships</t>
  </si>
  <si>
    <t>Mentors without relationships</t>
  </si>
  <si>
    <t>Mentors not Registered</t>
  </si>
  <si>
    <t>Row Labels</t>
  </si>
  <si>
    <t>Count of Employee</t>
  </si>
  <si>
    <t>Count of Mentee</t>
  </si>
  <si>
    <t>Missing relationship</t>
  </si>
  <si>
    <t xml:space="preserve">Mentor </t>
  </si>
  <si>
    <t>email</t>
  </si>
  <si>
    <t>Registered mentors</t>
  </si>
  <si>
    <t>Not registered mentors</t>
  </si>
  <si>
    <t>With relationships</t>
  </si>
  <si>
    <t>Mishé Chitharai</t>
  </si>
  <si>
    <t>Without relationships</t>
  </si>
  <si>
    <t>Total mentors</t>
  </si>
  <si>
    <t>Mologadi Francinah Chuene</t>
  </si>
  <si>
    <t>Grand Total</t>
  </si>
  <si>
    <t>Missing relationships</t>
  </si>
  <si>
    <t>Missing?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</si>
</sst>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0"/>
      <color indexed="8"/>
      <name val="Arial"/>
      <family val="2"/>
    </font>
    <font>
      <b/>
      <sz val="10"/>
      <color rgb="FF000000"/>
      <name val="Arial"/>
    </font>
    <font>
      <sz val="10"/>
      <color rgb="FF000000"/>
      <name val="Arial"/>
    </font>
  </fonts>
  <fills count="7">
    <fill>
      <patternFill patternType="none"/>
    </fill>
    <fill>
      <patternFill patternType="gray125"/>
    </fill>
    <fill>
      <patternFill patternType="solid">
        <fgColor theme="5"/>
        <bgColor indexed="64"/>
      </patternFill>
    </fill>
    <fill>
      <patternFill patternType="solid">
        <fgColor theme="4" tint="0.59999389629810485"/>
        <bgColor indexed="64"/>
      </patternFill>
    </fill>
    <fill>
      <patternFill patternType="solid">
        <fgColor theme="6" tint="0.79998168889431442"/>
        <bgColor indexed="64"/>
      </patternFill>
    </fill>
    <fill>
      <patternFill patternType="solid">
        <fgColor theme="8" tint="0.59999389629810485"/>
        <bgColor indexed="64"/>
      </patternFill>
    </fill>
    <fill>
      <patternFill patternType="solid">
        <fgColor theme="7"/>
        <bgColor indexed="64"/>
      </patternFill>
    </fill>
  </fills>
  <borders count="1">
    <border>
      <left/>
      <right/>
      <top/>
      <bottom/>
      <diagonal/>
    </border>
  </borders>
  <cellStyleXfs count="1">
    <xf numFmtId="0" fontId="0" fillId="0" borderId="0"/>
  </cellStyleXfs>
  <cellXfs count="15">
    <xf numFmtId="0" fontId="0" fillId="0" borderId="0" xfId="0"/>
    <xf numFmtId="0" fontId="1" fillId="0" borderId="0" xfId="0" applyFont="1" applyAlignment="1">
      <alignment horizontal="center" vertical="center" wrapText="1"/>
    </xf>
    <xf numFmtId="0" fontId="0" fillId="0" borderId="0" xfId="0" applyAlignment="1">
      <alignment vertical="center"/>
    </xf>
    <xf numFmtId="0" fontId="2" fillId="0" borderId="0" xfId="0" applyFont="1" applyAlignment="1">
      <alignment vertical="center" wrapText="1"/>
    </xf>
    <xf numFmtId="0" fontId="0" fillId="0" borderId="0" xfId="0" applyAlignment="1">
      <alignment horizontal="center" vertical="center"/>
    </xf>
    <xf numFmtId="0" fontId="0" fillId="0" borderId="0" xfId="0" pivotButton="1"/>
    <xf numFmtId="0" fontId="0" fillId="0" borderId="0" xfId="0" applyAlignment="1">
      <alignment horizontal="left"/>
    </xf>
    <xf numFmtId="0" fontId="0" fillId="3" borderId="0" xfId="0" applyFill="1"/>
    <xf numFmtId="0" fontId="0" fillId="2" borderId="0" xfId="0" applyFill="1" applyAlignment="1">
      <alignment horizontal="left"/>
    </xf>
    <xf numFmtId="0" fontId="0" fillId="2" borderId="0" xfId="0" applyFill="1"/>
    <xf numFmtId="0" fontId="0" fillId="4" borderId="0" xfId="0" applyFill="1"/>
    <xf numFmtId="0" fontId="0" fillId="5" borderId="0" xfId="0" applyFill="1" applyAlignment="1">
      <alignment horizontal="left"/>
    </xf>
    <xf numFmtId="0" fontId="0" fillId="5" borderId="0" xfId="0" applyFill="1"/>
    <xf numFmtId="0" fontId="0" fillId="6" borderId="0" xfId="0" applyFill="1"/>
    <xf numFmtId="14" fontId="2" fillId="0" borderId="0" xfId="0" applyNumberFormat="1" applyFont="1" applyAlignment="1">
      <alignment horizontal="center" vertical="center"/>
    </xf>
  </cellXfs>
  <cellStyles count="1">
    <cellStyle name="Normal" xfId="0" builtinId="0"/>
  </cellStyles>
  <dxfs count="70">
    <dxf>
      <font>
        <b val="0"/>
        <i val="0"/>
        <strike val="0"/>
        <condense val="0"/>
        <extend val="0"/>
        <outline val="0"/>
        <shadow val="0"/>
        <u val="none"/>
        <vertAlign val="baseline"/>
        <sz val="10"/>
        <color rgb="FF000000"/>
        <name val="Arial"/>
        <scheme val="none"/>
      </font>
      <alignment horizontal="general" vertical="center" textRotation="0" wrapText="1" indent="0" justifyLastLine="0" shrinkToFit="0" readingOrder="0"/>
    </dxf>
    <dxf>
      <font>
        <b val="0"/>
        <i val="0"/>
        <strike val="0"/>
        <condense val="0"/>
        <extend val="0"/>
        <outline val="0"/>
        <shadow val="0"/>
        <u val="none"/>
        <vertAlign val="baseline"/>
        <sz val="10"/>
        <color rgb="FF000000"/>
        <name val="Arial"/>
        <scheme val="none"/>
      </font>
      <numFmt numFmtId="164" formatCode="yyyy/mm/dd"/>
      <alignment horizontal="center" vertical="center" textRotation="0" wrapText="0" indent="0" justifyLastLine="0" shrinkToFit="0" readingOrder="0"/>
    </dxf>
    <dxf>
      <font>
        <b val="0"/>
        <i val="0"/>
        <strike val="0"/>
        <condense val="0"/>
        <extend val="0"/>
        <outline val="0"/>
        <shadow val="0"/>
        <u val="none"/>
        <vertAlign val="baseline"/>
        <sz val="10"/>
        <color rgb="FF000000"/>
        <name val="Arial"/>
        <scheme val="none"/>
      </font>
      <numFmt numFmtId="164" formatCode="yyyy/mm/dd"/>
      <alignment horizontal="center" vertical="center" textRotation="0" wrapText="0" indent="0" justifyLastLine="0" shrinkToFit="0" readingOrder="0"/>
    </dxf>
    <dxf>
      <font>
        <b val="0"/>
        <i val="0"/>
        <strike val="0"/>
        <condense val="0"/>
        <extend val="0"/>
        <outline val="0"/>
        <shadow val="0"/>
        <u val="none"/>
        <vertAlign val="baseline"/>
        <sz val="10"/>
        <color rgb="FF000000"/>
        <name val="Arial"/>
        <scheme val="none"/>
      </font>
      <alignment horizontal="general" vertical="center" textRotation="0" wrapText="1" indent="0" justifyLastLine="0" shrinkToFit="0" readingOrder="0"/>
    </dxf>
    <dxf>
      <font>
        <b val="0"/>
        <i val="0"/>
        <strike val="0"/>
        <condense val="0"/>
        <extend val="0"/>
        <outline val="0"/>
        <shadow val="0"/>
        <u val="none"/>
        <vertAlign val="baseline"/>
        <sz val="10"/>
        <color rgb="FF000000"/>
        <name val="Arial"/>
        <scheme val="none"/>
      </font>
      <alignment horizontal="general" vertical="center" textRotation="0" wrapText="1" indent="0" justifyLastLine="0" shrinkToFit="0" readingOrder="0"/>
    </dxf>
    <dxf>
      <font>
        <b val="0"/>
        <i val="0"/>
        <strike val="0"/>
        <condense val="0"/>
        <extend val="0"/>
        <outline val="0"/>
        <shadow val="0"/>
        <u val="none"/>
        <vertAlign val="baseline"/>
        <sz val="10"/>
        <color rgb="FF000000"/>
        <name val="Arial"/>
        <scheme val="none"/>
      </font>
      <alignment horizontal="general" vertical="center" textRotation="0" wrapText="1" indent="0" justifyLastLine="0" shrinkToFit="0" readingOrder="0"/>
    </dxf>
    <dxf>
      <font>
        <b val="0"/>
        <i val="0"/>
        <strike val="0"/>
        <condense val="0"/>
        <extend val="0"/>
        <outline val="0"/>
        <shadow val="0"/>
        <u val="none"/>
        <vertAlign val="baseline"/>
        <sz val="10"/>
        <color rgb="FF000000"/>
        <name val="Arial"/>
        <scheme val="none"/>
      </font>
      <alignment horizontal="general" vertical="center" textRotation="0" wrapText="1" indent="0" justifyLastLine="0" shrinkToFit="0" readingOrder="0"/>
    </dxf>
    <dxf>
      <font>
        <b val="0"/>
        <i val="0"/>
        <strike val="0"/>
        <condense val="0"/>
        <extend val="0"/>
        <outline val="0"/>
        <shadow val="0"/>
        <u val="none"/>
        <vertAlign val="baseline"/>
        <sz val="10"/>
        <color rgb="FF000000"/>
        <name val="Arial"/>
        <scheme val="none"/>
      </font>
      <alignment horizontal="general" vertical="center" textRotation="0" wrapText="1" indent="0" justifyLastLine="0" shrinkToFit="0" readingOrder="0"/>
    </dxf>
    <dxf>
      <font>
        <b val="0"/>
        <i val="0"/>
        <strike val="0"/>
        <condense val="0"/>
        <extend val="0"/>
        <outline val="0"/>
        <shadow val="0"/>
        <u val="none"/>
        <vertAlign val="baseline"/>
        <sz val="10"/>
        <color rgb="FF000000"/>
        <name val="Arial"/>
        <scheme val="none"/>
      </font>
      <alignment horizontal="general" vertical="center" textRotation="0" wrapText="1" indent="0" justifyLastLine="0" shrinkToFit="0" readingOrder="0"/>
    </dxf>
    <dxf>
      <font>
        <b val="0"/>
        <i val="0"/>
        <strike val="0"/>
        <condense val="0"/>
        <extend val="0"/>
        <outline val="0"/>
        <shadow val="0"/>
        <u val="none"/>
        <vertAlign val="baseline"/>
        <sz val="10"/>
        <color rgb="FF000000"/>
        <name val="Arial"/>
        <scheme val="none"/>
      </font>
      <alignment horizontal="general" vertical="center" textRotation="0" wrapText="1" indent="0" justifyLastLine="0" shrinkToFit="0" readingOrder="0"/>
    </dxf>
    <dxf>
      <font>
        <b val="0"/>
        <i val="0"/>
        <strike val="0"/>
        <condense val="0"/>
        <extend val="0"/>
        <outline val="0"/>
        <shadow val="0"/>
        <u val="none"/>
        <vertAlign val="baseline"/>
        <sz val="10"/>
        <color rgb="FF000000"/>
        <name val="Arial"/>
        <scheme val="none"/>
      </font>
      <alignment horizontal="general" vertical="center" textRotation="0" wrapText="1" indent="0" justifyLastLine="0" shrinkToFit="0" readingOrder="0"/>
    </dxf>
    <dxf>
      <font>
        <b val="0"/>
        <i val="0"/>
        <strike val="0"/>
        <condense val="0"/>
        <extend val="0"/>
        <outline val="0"/>
        <shadow val="0"/>
        <u val="none"/>
        <vertAlign val="baseline"/>
        <sz val="10"/>
        <color rgb="FF000000"/>
        <name val="Arial"/>
        <scheme val="none"/>
      </font>
      <alignment horizontal="general" vertical="center" textRotation="0" wrapText="1" indent="0" justifyLastLine="0" shrinkToFit="0" readingOrder="0"/>
    </dxf>
    <dxf>
      <font>
        <b val="0"/>
        <i val="0"/>
        <strike val="0"/>
        <condense val="0"/>
        <extend val="0"/>
        <outline val="0"/>
        <shadow val="0"/>
        <u val="none"/>
        <vertAlign val="baseline"/>
        <sz val="10"/>
        <color rgb="FF000000"/>
        <name val="Arial"/>
        <scheme val="none"/>
      </font>
      <alignment horizontal="general" vertical="center" textRotation="0" wrapText="1" indent="0" justifyLastLine="0" shrinkToFit="0" readingOrder="0"/>
    </dxf>
    <dxf>
      <font>
        <b val="0"/>
        <i val="0"/>
        <strike val="0"/>
        <condense val="0"/>
        <extend val="0"/>
        <outline val="0"/>
        <shadow val="0"/>
        <u val="none"/>
        <vertAlign val="baseline"/>
        <sz val="10"/>
        <color rgb="FF000000"/>
        <name val="Arial"/>
        <scheme val="none"/>
      </font>
      <alignment horizontal="general" vertical="center" textRotation="0" wrapText="1" indent="0" justifyLastLine="0" shrinkToFit="0" readingOrder="0"/>
    </dxf>
    <dxf>
      <font>
        <b val="0"/>
        <i val="0"/>
        <strike val="0"/>
        <condense val="0"/>
        <extend val="0"/>
        <outline val="0"/>
        <shadow val="0"/>
        <u val="none"/>
        <vertAlign val="baseline"/>
        <sz val="10"/>
        <color rgb="FF000000"/>
        <name val="Arial"/>
        <scheme val="none"/>
      </font>
      <alignment horizontal="general" vertical="center" textRotation="0" wrapText="1" indent="0" justifyLastLine="0" shrinkToFit="0" readingOrder="0"/>
    </dxf>
    <dxf>
      <font>
        <b val="0"/>
        <i val="0"/>
        <strike val="0"/>
        <condense val="0"/>
        <extend val="0"/>
        <outline val="0"/>
        <shadow val="0"/>
        <u val="none"/>
        <vertAlign val="baseline"/>
        <sz val="10"/>
        <color rgb="FF000000"/>
        <name val="Arial"/>
        <scheme val="none"/>
      </font>
      <alignment horizontal="general" vertical="center" textRotation="0" wrapText="1" indent="0" justifyLastLine="0" shrinkToFit="0" readingOrder="0"/>
    </dxf>
    <dxf>
      <font>
        <b val="0"/>
        <i val="0"/>
        <strike val="0"/>
        <condense val="0"/>
        <extend val="0"/>
        <outline val="0"/>
        <shadow val="0"/>
        <u val="none"/>
        <vertAlign val="baseline"/>
        <sz val="10"/>
        <color rgb="FF000000"/>
        <name val="Arial"/>
        <scheme val="none"/>
      </font>
      <alignment horizontal="general" vertical="center" textRotation="0" wrapText="1" indent="0" justifyLastLine="0" shrinkToFit="0" readingOrder="0"/>
    </dxf>
    <dxf>
      <font>
        <b val="0"/>
        <i val="0"/>
        <strike val="0"/>
        <condense val="0"/>
        <extend val="0"/>
        <outline val="0"/>
        <shadow val="0"/>
        <u val="none"/>
        <vertAlign val="baseline"/>
        <sz val="10"/>
        <color rgb="FF000000"/>
        <name val="Arial"/>
        <scheme val="none"/>
      </font>
      <alignment horizontal="general" vertical="center" textRotation="0" wrapText="1" indent="0" justifyLastLine="0" shrinkToFit="0" readingOrder="0"/>
    </dxf>
    <dxf>
      <font>
        <b val="0"/>
        <i val="0"/>
        <strike val="0"/>
        <condense val="0"/>
        <extend val="0"/>
        <outline val="0"/>
        <shadow val="0"/>
        <u val="none"/>
        <vertAlign val="baseline"/>
        <sz val="10"/>
        <color rgb="FF000000"/>
        <name val="Arial"/>
        <scheme val="none"/>
      </font>
      <alignment horizontal="general" vertical="center" textRotation="0" wrapText="1" indent="0" justifyLastLine="0" shrinkToFit="0" readingOrder="0"/>
    </dxf>
    <dxf>
      <font>
        <b val="0"/>
        <i val="0"/>
        <strike val="0"/>
        <condense val="0"/>
        <extend val="0"/>
        <outline val="0"/>
        <shadow val="0"/>
        <u val="none"/>
        <vertAlign val="baseline"/>
        <sz val="10"/>
        <color rgb="FF000000"/>
        <name val="Arial"/>
        <scheme val="none"/>
      </font>
      <alignment horizontal="general" vertical="center" textRotation="0" wrapText="1" indent="0" justifyLastLine="0" shrinkToFit="0" readingOrder="0"/>
    </dxf>
    <dxf>
      <font>
        <b val="0"/>
        <i val="0"/>
        <strike val="0"/>
        <condense val="0"/>
        <extend val="0"/>
        <outline val="0"/>
        <shadow val="0"/>
        <u val="none"/>
        <vertAlign val="baseline"/>
        <sz val="10"/>
        <color rgb="FF000000"/>
        <name val="Arial"/>
        <scheme val="none"/>
      </font>
      <alignment horizontal="general" vertical="center" textRotation="0" wrapText="1" indent="0" justifyLastLine="0" shrinkToFit="0" readingOrder="0"/>
    </dxf>
    <dxf>
      <font>
        <b val="0"/>
        <i val="0"/>
        <strike val="0"/>
        <condense val="0"/>
        <extend val="0"/>
        <outline val="0"/>
        <shadow val="0"/>
        <u val="none"/>
        <vertAlign val="baseline"/>
        <sz val="10"/>
        <color rgb="FF000000"/>
        <name val="Arial"/>
        <scheme val="none"/>
      </font>
      <alignment horizontal="general" vertical="center" textRotation="0" wrapText="1" indent="0" justifyLastLine="0" shrinkToFit="0" readingOrder="0"/>
    </dxf>
    <dxf>
      <font>
        <b val="0"/>
        <i val="0"/>
        <strike val="0"/>
        <condense val="0"/>
        <extend val="0"/>
        <outline val="0"/>
        <shadow val="0"/>
        <u val="none"/>
        <vertAlign val="baseline"/>
        <sz val="10"/>
        <color rgb="FF000000"/>
        <name val="Arial"/>
        <scheme val="none"/>
      </font>
      <alignment horizontal="general" vertical="center" textRotation="0" wrapText="1" indent="0" justifyLastLine="0" shrinkToFit="0" readingOrder="0"/>
    </dxf>
    <dxf>
      <font>
        <b val="0"/>
        <i val="0"/>
        <strike val="0"/>
        <condense val="0"/>
        <extend val="0"/>
        <outline val="0"/>
        <shadow val="0"/>
        <u val="none"/>
        <vertAlign val="baseline"/>
        <sz val="10"/>
        <color rgb="FF000000"/>
        <name val="Arial"/>
        <scheme val="none"/>
      </font>
      <alignment horizontal="general" vertical="center" textRotation="0" wrapText="1" indent="0" justifyLastLine="0" shrinkToFit="0" readingOrder="0"/>
    </dxf>
    <dxf>
      <font>
        <b val="0"/>
        <i val="0"/>
        <strike val="0"/>
        <condense val="0"/>
        <extend val="0"/>
        <outline val="0"/>
        <shadow val="0"/>
        <u val="none"/>
        <vertAlign val="baseline"/>
        <sz val="10"/>
        <color rgb="FF000000"/>
        <name val="Arial"/>
        <scheme val="none"/>
      </font>
      <alignment horizontal="general" vertical="center" textRotation="0" wrapText="1" indent="0" justifyLastLine="0" shrinkToFit="0" readingOrder="0"/>
    </dxf>
    <dxf>
      <font>
        <b val="0"/>
        <i val="0"/>
        <strike val="0"/>
        <condense val="0"/>
        <extend val="0"/>
        <outline val="0"/>
        <shadow val="0"/>
        <u val="none"/>
        <vertAlign val="baseline"/>
        <sz val="10"/>
        <color rgb="FF000000"/>
        <name val="Arial"/>
        <scheme val="none"/>
      </font>
      <alignment horizontal="general" vertical="center" textRotation="0" wrapText="1" indent="0" justifyLastLine="0" shrinkToFit="0" readingOrder="0"/>
    </dxf>
    <dxf>
      <font>
        <b val="0"/>
        <i val="0"/>
        <strike val="0"/>
        <condense val="0"/>
        <extend val="0"/>
        <outline val="0"/>
        <shadow val="0"/>
        <u val="none"/>
        <vertAlign val="baseline"/>
        <sz val="10"/>
        <color rgb="FF000000"/>
        <name val="Arial"/>
        <scheme val="none"/>
      </font>
      <alignment horizontal="general" vertical="center" textRotation="0" wrapText="1" indent="0" justifyLastLine="0" shrinkToFit="0" readingOrder="0"/>
    </dxf>
    <dxf>
      <font>
        <b val="0"/>
        <i val="0"/>
        <strike val="0"/>
        <condense val="0"/>
        <extend val="0"/>
        <outline val="0"/>
        <shadow val="0"/>
        <u val="none"/>
        <vertAlign val="baseline"/>
        <sz val="10"/>
        <color rgb="FF000000"/>
        <name val="Arial"/>
        <scheme val="none"/>
      </font>
      <alignment horizontal="general" vertical="center" textRotation="0" wrapText="1" indent="0" justifyLastLine="0" shrinkToFit="0" readingOrder="0"/>
    </dxf>
    <dxf>
      <font>
        <b val="0"/>
        <i val="0"/>
        <strike val="0"/>
        <condense val="0"/>
        <extend val="0"/>
        <outline val="0"/>
        <shadow val="0"/>
        <u val="none"/>
        <vertAlign val="baseline"/>
        <sz val="10"/>
        <color rgb="FF000000"/>
        <name val="Arial"/>
        <scheme val="none"/>
      </font>
      <alignment horizontal="general" vertical="center" textRotation="0" wrapText="1" indent="0" justifyLastLine="0" shrinkToFit="0" readingOrder="0"/>
    </dxf>
    <dxf>
      <font>
        <b val="0"/>
        <i val="0"/>
        <strike val="0"/>
        <condense val="0"/>
        <extend val="0"/>
        <outline val="0"/>
        <shadow val="0"/>
        <u val="none"/>
        <vertAlign val="baseline"/>
        <sz val="10"/>
        <color rgb="FF000000"/>
        <name val="Arial"/>
        <scheme val="none"/>
      </font>
      <alignment horizontal="general" vertical="center" textRotation="0" wrapText="1" indent="0" justifyLastLine="0" shrinkToFit="0" readingOrder="0"/>
    </dxf>
    <dxf>
      <font>
        <b val="0"/>
        <i val="0"/>
        <strike val="0"/>
        <condense val="0"/>
        <extend val="0"/>
        <outline val="0"/>
        <shadow val="0"/>
        <u val="none"/>
        <vertAlign val="baseline"/>
        <sz val="10"/>
        <color rgb="FF000000"/>
        <name val="Arial"/>
        <scheme val="none"/>
      </font>
      <alignment horizontal="general" vertical="center" textRotation="0" wrapText="1" indent="0" justifyLastLine="0" shrinkToFit="0" readingOrder="0"/>
    </dxf>
    <dxf>
      <font>
        <b val="0"/>
        <i val="0"/>
        <strike val="0"/>
        <condense val="0"/>
        <extend val="0"/>
        <outline val="0"/>
        <shadow val="0"/>
        <u val="none"/>
        <vertAlign val="baseline"/>
        <sz val="10"/>
        <color rgb="FF000000"/>
        <name val="Arial"/>
        <scheme val="none"/>
      </font>
      <alignment horizontal="general" vertical="center" textRotation="0" wrapText="1" indent="0" justifyLastLine="0" shrinkToFit="0" readingOrder="0"/>
    </dxf>
    <dxf>
      <font>
        <b val="0"/>
        <i val="0"/>
        <strike val="0"/>
        <condense val="0"/>
        <extend val="0"/>
        <outline val="0"/>
        <shadow val="0"/>
        <u val="none"/>
        <vertAlign val="baseline"/>
        <sz val="10"/>
        <color rgb="FF000000"/>
        <name val="Arial"/>
        <scheme val="none"/>
      </font>
      <alignment horizontal="general" vertical="center" textRotation="0" wrapText="1" indent="0" justifyLastLine="0" shrinkToFit="0" readingOrder="0"/>
    </dxf>
    <dxf>
      <font>
        <b/>
        <i val="0"/>
        <strike val="0"/>
        <condense val="0"/>
        <extend val="0"/>
        <outline val="0"/>
        <shadow val="0"/>
        <u val="none"/>
        <vertAlign val="baseline"/>
        <sz val="10"/>
        <color rgb="FF000000"/>
        <name val="Arial"/>
        <scheme val="none"/>
      </font>
      <alignment horizontal="center" vertical="center" textRotation="0" wrapText="1" indent="0" justifyLastLine="0" shrinkToFit="0" readingOrder="0"/>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styles" Target="styles.xml"/><Relationship Id="rId5" Type="http://schemas.openxmlformats.org/officeDocument/2006/relationships/pivotCacheDefinition" Target="pivotCache/pivotCacheDefinition2.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3.xml"/></Relationships>
</file>

<file path=xl/drawings/drawing1.xml><?xml version="1.0" encoding="utf-8"?>
<xdr:wsDr xmlns:xdr="http://schemas.openxmlformats.org/drawingml/2006/spreadsheetDrawing" xmlns:a="http://schemas.openxmlformats.org/drawingml/2006/main">
  <xdr:twoCellAnchor editAs="oneCell">
    <xdr:from>
      <xdr:col>21</xdr:col>
      <xdr:colOff>238667</xdr:colOff>
      <xdr:row>2</xdr:row>
      <xdr:rowOff>82317</xdr:rowOff>
    </xdr:from>
    <xdr:to>
      <xdr:col>24</xdr:col>
      <xdr:colOff>484389</xdr:colOff>
      <xdr:row>29</xdr:row>
      <xdr:rowOff>158517</xdr:rowOff>
    </xdr:to>
    <mc:AlternateContent xmlns:mc="http://schemas.openxmlformats.org/markup-compatibility/2006" xmlns:a14="http://schemas.microsoft.com/office/drawing/2010/main">
      <mc:Choice Requires="a14">
        <xdr:graphicFrame macro="">
          <xdr:nvGraphicFramePr>
            <xdr:cNvPr id="3" name="Mentor">
              <a:extLst>
                <a:ext uri="{FF2B5EF4-FFF2-40B4-BE49-F238E27FC236}">
                  <a16:creationId xmlns:a16="http://schemas.microsoft.com/office/drawing/2014/main" id="{480FFC2D-12D3-EA17-4A2E-B311109DDE1A}"/>
                </a:ext>
              </a:extLst>
            </xdr:cNvPr>
            <xdr:cNvGraphicFramePr/>
          </xdr:nvGraphicFramePr>
          <xdr:xfrm>
            <a:off x="0" y="0"/>
            <a:ext cx="0" cy="0"/>
          </xdr:xfrm>
          <a:graphic>
            <a:graphicData uri="http://schemas.microsoft.com/office/drawing/2010/slicer">
              <sle:slicer xmlns:sle="http://schemas.microsoft.com/office/drawing/2010/slicer" name="Mentor"/>
            </a:graphicData>
          </a:graphic>
        </xdr:graphicFrame>
      </mc:Choice>
      <mc:Fallback xmlns="">
        <xdr:sp macro="" textlink="">
          <xdr:nvSpPr>
            <xdr:cNvPr id="0" name=""/>
            <xdr:cNvSpPr>
              <a:spLocks noTextEdit="1"/>
            </xdr:cNvSpPr>
          </xdr:nvSpPr>
          <xdr:spPr>
            <a:xfrm>
              <a:off x="18865334" y="420984"/>
              <a:ext cx="2080166" cy="464820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254283</xdr:colOff>
      <xdr:row>4</xdr:row>
      <xdr:rowOff>29161</xdr:rowOff>
    </xdr:from>
    <xdr:to>
      <xdr:col>25</xdr:col>
      <xdr:colOff>254283</xdr:colOff>
      <xdr:row>17</xdr:row>
      <xdr:rowOff>103456</xdr:rowOff>
    </xdr:to>
    <mc:AlternateContent xmlns:mc="http://schemas.openxmlformats.org/markup-compatibility/2006" xmlns:a14="http://schemas.microsoft.com/office/drawing/2010/main">
      <mc:Choice Requires="a14">
        <xdr:graphicFrame macro="">
          <xdr:nvGraphicFramePr>
            <xdr:cNvPr id="4" name="Mentee">
              <a:extLst>
                <a:ext uri="{FF2B5EF4-FFF2-40B4-BE49-F238E27FC236}">
                  <a16:creationId xmlns:a16="http://schemas.microsoft.com/office/drawing/2014/main" id="{C4B83EEB-C920-0059-27C7-CD739075C8DB}"/>
                </a:ext>
              </a:extLst>
            </xdr:cNvPr>
            <xdr:cNvGraphicFramePr/>
          </xdr:nvGraphicFramePr>
          <xdr:xfrm>
            <a:off x="0" y="0"/>
            <a:ext cx="0" cy="0"/>
          </xdr:xfrm>
          <a:graphic>
            <a:graphicData uri="http://schemas.microsoft.com/office/drawing/2010/slicer">
              <sle:slicer xmlns:sle="http://schemas.microsoft.com/office/drawing/2010/slicer" name="Mentee"/>
            </a:graphicData>
          </a:graphic>
        </xdr:graphicFrame>
      </mc:Choice>
      <mc:Fallback xmlns="">
        <xdr:sp macro="" textlink="">
          <xdr:nvSpPr>
            <xdr:cNvPr id="0" name=""/>
            <xdr:cNvSpPr>
              <a:spLocks noTextEdit="1"/>
            </xdr:cNvSpPr>
          </xdr:nvSpPr>
          <xdr:spPr>
            <a:xfrm>
              <a:off x="19492431" y="706494"/>
              <a:ext cx="1834445" cy="2275629"/>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508002</xdr:colOff>
      <xdr:row>12</xdr:row>
      <xdr:rowOff>157668</xdr:rowOff>
    </xdr:from>
    <xdr:to>
      <xdr:col>20</xdr:col>
      <xdr:colOff>460964</xdr:colOff>
      <xdr:row>37</xdr:row>
      <xdr:rowOff>103483</xdr:rowOff>
    </xdr:to>
    <mc:AlternateContent xmlns:mc="http://schemas.openxmlformats.org/markup-compatibility/2006" xmlns:a14="http://schemas.microsoft.com/office/drawing/2010/main">
      <mc:Choice Requires="a14">
        <xdr:graphicFrame macro="">
          <xdr:nvGraphicFramePr>
            <xdr:cNvPr id="2" name="Employee">
              <a:extLst>
                <a:ext uri="{FF2B5EF4-FFF2-40B4-BE49-F238E27FC236}">
                  <a16:creationId xmlns:a16="http://schemas.microsoft.com/office/drawing/2014/main" id="{F1012B41-C999-EFEA-6414-8DF1DA6922C4}"/>
                </a:ext>
              </a:extLst>
            </xdr:cNvPr>
            <xdr:cNvGraphicFramePr/>
          </xdr:nvGraphicFramePr>
          <xdr:xfrm>
            <a:off x="0" y="0"/>
            <a:ext cx="0" cy="0"/>
          </xdr:xfrm>
          <a:graphic>
            <a:graphicData uri="http://schemas.microsoft.com/office/drawing/2010/slicer">
              <sle:slicer xmlns:sle="http://schemas.microsoft.com/office/drawing/2010/slicer" name="Employee"/>
            </a:graphicData>
          </a:graphic>
        </xdr:graphicFrame>
      </mc:Choice>
      <mc:Fallback xmlns="">
        <xdr:sp macro="" textlink="">
          <xdr:nvSpPr>
            <xdr:cNvPr id="0" name=""/>
            <xdr:cNvSpPr>
              <a:spLocks noTextEdit="1"/>
            </xdr:cNvSpPr>
          </xdr:nvSpPr>
          <xdr:spPr>
            <a:xfrm>
              <a:off x="16077261" y="2189668"/>
              <a:ext cx="2398888" cy="4179148"/>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personal/f8876703_fnb_co_za/Documents/Desktop/Copy%20of%20mentor_mentee_assignments%20Intake_8B_8C%202.xlsx"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2" Type="http://schemas.microsoft.com/office/2006/relationships/xlExternalLinkPath/xlPathMissing" Target="FRB_HC_TAL_Mentor_Listing%20-%203Feb26.xlsx" TargetMode="External"/><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uthelezi, Noluthando" refreshedDate="46071.358832060185" createdVersion="8" refreshedVersion="8" minRefreshableVersion="3" recordCount="687" xr:uid="{64C2002B-73A9-411C-8230-C6BFED2F1732}">
  <cacheSource type="worksheet">
    <worksheetSource name="Table1"/>
  </cacheSource>
  <cacheFields count="32">
    <cacheField name="Mentor ID" numFmtId="0">
      <sharedItems/>
    </cacheField>
    <cacheField name="Mentor" numFmtId="0">
      <sharedItems count="393">
        <s v="Phetso Ntsowe"/>
        <s v="Bonolo Molebatsi"/>
        <s v="Udah Otukile (Terminated)"/>
        <s v="Jj Jongman"/>
        <s v="Kelebogile Disang"/>
        <s v="Likenkeng Lylian Morojele"/>
        <s v="Patrick Bontsibokae"/>
        <s v="Mike Nyimbili"/>
        <s v="Kagiso Tlhase (Terminated)"/>
        <s v="Manuel Motabatshindi"/>
        <s v="Theo Ngoma"/>
        <s v="Shantal Reddy"/>
        <s v="Alison Felix-Lodewyk"/>
        <s v="Eddie Roodt"/>
        <s v="Emmanuel Tsiame (Terminated)"/>
        <s v="Adnaan Rayned"/>
        <s v="Henry Lesar"/>
        <s v="Debbie Maloney"/>
        <s v="Dave Aitken (Terminated)"/>
        <s v="Gareth Kin"/>
        <s v="Grant Ravno (Terminated)"/>
        <s v="Ilyas Patel"/>
        <s v="Josh Minyuku (Terminated)"/>
        <s v="Rialivhuwa Mudau"/>
        <s v="Crystal Brown"/>
        <s v="Collen Tshebo"/>
        <s v="Riana Prins"/>
        <s v="Himal Parbhoo"/>
        <s v="Hlamalani Mashaba"/>
        <s v="Maleseli Lorraine Chefa"/>
        <s v="Betty Moabelo"/>
        <s v="Carol Dlamini (Terminated)"/>
        <s v="Marlene Van Nel (Terminated)"/>
        <s v="Fridah Maake-Gumede"/>
        <s v="Chipo Mwenya"/>
        <s v="Athena Botha"/>
        <s v="Lou-Ann Oosthuizen"/>
        <s v="Annastasia Williams"/>
        <s v="Yamillah Katjirua"/>
        <s v="Diran Gajoo"/>
        <s v="Fred Du Plessis"/>
        <s v="Sabata Chomane"/>
        <s v="Daren Moodley (Terminated)"/>
        <s v="Mariska Walkerley"/>
        <s v="Bina Rowjee"/>
        <s v="Zaheer Ismail"/>
        <s v="Mitchell Ncube"/>
        <s v="Nozipho Duma"/>
        <s v="Bongi Tshabangu"/>
        <s v="Shalati Ngobeni"/>
        <s v="Pontsho Njoro"/>
        <s v="Wilma Masilo"/>
        <s v="Louise Labuschagne"/>
        <s v="Willem-Dirk Van'T Zand"/>
        <s v="Shailesh Pillay"/>
        <s v="Thabo Mahlaba"/>
        <s v="Nhlamulo Thosi (Terminated)"/>
        <s v="Kevin Myers"/>
        <s v="Kevin Hu"/>
        <s v="Dorah Mohlopi"/>
        <s v="Andries Shuping"/>
        <s v="Nomvula Luphoko"/>
        <s v="Avashni Singh"/>
        <s v="Bomikazi Sekoala"/>
        <s v="Pieter Smit"/>
        <s v="Maserame Makwakwa (Terminated)"/>
        <s v="Tshidiso Noge"/>
        <s v="Charles Thulani Nkosi"/>
        <s v="Yure Haripersad"/>
        <s v="Thabiso Nyawose"/>
        <s v="Dwan Steyn"/>
        <s v="Borethe Mogwe"/>
        <s v="Sarah Janks (Terminated)"/>
        <s v="Amantle Mphoeng"/>
        <s v="Kreneshen Moodley"/>
        <s v="Cornel Du Toit"/>
        <s v="Mmamodise Tiro"/>
        <s v="Tshepo Motsei (Terminated)"/>
        <s v="Paul Erasmus (Terminated)"/>
        <s v="Shane French"/>
        <s v="Lamla Gege"/>
        <s v="Rethabile Tsekedi"/>
        <s v="Lusanda Sombinge"/>
        <s v="Thuto Chabane"/>
        <s v="Bheki Cele"/>
        <s v="Sudeshni Gounden"/>
        <s v="Abdul Raheem Karim"/>
        <s v="Dimpho Thupayakgosi"/>
        <s v="Nomgqibelo Msimango"/>
        <s v="Tsami Motaung"/>
        <s v="Catharina Harmse"/>
        <s v="Bruce Ncube"/>
        <s v="Ameisha Singh (Terminated)"/>
        <s v="Nkosinathi Nobela (Terminated)"/>
        <s v="Megan Petersen"/>
        <s v="Vusi Mabuza"/>
        <s v="Sipho Khumalo"/>
        <s v="Nobahle Nxopho (Terminated)"/>
        <s v="Malebo Phahlamohlaka"/>
        <s v="Malini Mudaly"/>
        <s v="Amukelani Maetsa"/>
        <s v="Yasmin Kadwa"/>
        <s v="Andre Olivier"/>
        <s v="Nelien Dippenaar"/>
        <s v="Xolani Madini"/>
        <s v="Mathapelo Mohale"/>
        <s v="Johan Steyn"/>
        <s v="Gcebile Nkosi"/>
        <s v="Mpumie Twala"/>
        <s v="Livhu Phanyane"/>
        <s v="Debbie De Beer"/>
        <s v="Tsholofelo Rakumakoe"/>
        <s v="Mulalo Kutame"/>
        <s v="Mfundo Mabaso"/>
        <s v="Rashida Rawat"/>
        <s v="Thiroshan Naidoo"/>
        <s v="Poovan Pillay"/>
        <s v="Mervyn Moodley"/>
        <s v="Smangele Cunningham"/>
        <s v="Jackie Diack"/>
        <s v="Jean Welsh"/>
        <s v="Khomotso Molokwane"/>
        <s v="Anele Mkhize"/>
        <s v="Renusha Moodley"/>
        <s v="Roselyn Ngoepe"/>
        <s v="Engelberth Djami"/>
        <s v="Sergio De Sousa"/>
        <s v="Vincent Govender"/>
        <s v="Ebrahim Omar"/>
        <s v="Tebatso Raganya"/>
        <s v="Fatima Kasoojee"/>
        <s v="Paul Van Tonder"/>
        <s v="Lenize Lottering"/>
        <s v="Thandi Maciko"/>
        <s v="Khombisile Dumakude"/>
        <s v="Stephen Mbhele"/>
        <s v="Gabby Moodley"/>
        <s v="Chota Mwila (Terminated)"/>
        <s v="Angela Meilhon"/>
        <s v="Monique Swart"/>
        <s v="Reshmee Pillay"/>
        <s v="Brendon Smith"/>
        <s v="Julia Phillips (Terminated)"/>
        <s v="Siphamandla Mkhwanazi"/>
        <s v="Bydon Longwe"/>
        <s v="Allen Chapingidza"/>
        <s v="Chantelle Meyer"/>
        <s v="Theresa Nieuwoudt (Terminated)"/>
        <s v="Ashlin Poonan"/>
        <s v="Steven Routledge"/>
        <s v="Liesel Hollis"/>
        <s v="Thiroshni Chetty"/>
        <s v="Moloko Madibana (Terminated)"/>
        <s v="Bronwyn Miller"/>
        <s v="Itumeleng Kgoare"/>
        <s v="Wouter De Klerk"/>
        <s v="Dailan Kruger"/>
        <s v="Palesa Moeng"/>
        <s v="Stephinah Magetse"/>
        <s v="Caroline Kepaletswe"/>
        <s v="Wesley Francis"/>
        <s v="Reginald Mothubakgang"/>
        <s v="Gofaone Mokalake"/>
        <s v="Ronald Kgafela (Terminated)"/>
        <s v="Josia Sithole (Terminated)"/>
        <s v="Baile Corrigan"/>
        <s v="Sinazo Ndzawombi"/>
        <s v="Yvonne September"/>
        <s v="Allen Pillay"/>
        <s v="JP Erasmus (Terminated)"/>
        <s v="Neo Thebeng-Phuthego"/>
        <s v="Otisitswe Faith Rathedi"/>
        <s v="Tania Finn"/>
        <s v="Lebogang Kelesitse (Terminated)"/>
        <s v="Hloni Matang"/>
        <s v="Tekolo Rasenyai"/>
        <s v="Tshi-Tshi Mothupi (Terminated)"/>
        <s v="Maryke Venter"/>
        <s v="Serena Gounden"/>
        <s v="Elvira Krishna"/>
        <s v="Willem Richard"/>
        <s v="Naomi Sekgobela"/>
        <s v="Kholofelo Napo"/>
        <s v="Kuda Mukoki"/>
        <s v="Ashley Saffy"/>
        <s v="Job Mpati"/>
        <s v="Themba Mabizela"/>
        <s v="Jermaine Varnicker"/>
        <s v="Godfrey Kgoedi"/>
        <s v="Helen Mkhize"/>
        <s v="Wiann Mans"/>
        <s v="Nonhlanhla Gumede Moloto"/>
        <s v="Siya Motha"/>
        <s v="Shetal Bhoola"/>
        <s v="Jennifer Dutton"/>
        <s v="Sean Christoph"/>
        <s v="Thapelo Modisagae"/>
        <s v="Sibongile Ngomani"/>
        <s v="Gavin Tarr"/>
        <s v="Adriaan Swanepoel"/>
        <s v="Alcinda Moezelaar"/>
        <s v="Pontso Mohlotsane"/>
        <s v="Dash Naidoo"/>
        <s v="Tshepo Leroto"/>
        <s v="Jacqui Calitz"/>
        <s v="Mumbi Odame"/>
        <s v="Samira Harris"/>
        <s v="Gary Frank"/>
        <s v="Candice Lee Kondominas"/>
        <s v="Nicki Hill"/>
        <s v="Mongezi Mahlangu"/>
        <s v="Deseree Noxolo Gumede"/>
        <s v="Nondumiso Motlhala"/>
        <s v="Bertus Huisman"/>
        <s v="Jason Nader"/>
        <s v="Jean Du Plessis"/>
        <s v="Raymond Tyler"/>
        <s v="Aneshree Pather"/>
        <s v="Leon Sharfman"/>
        <s v="Thembi Ngobeni"/>
        <s v="Riaz Shaik"/>
        <s v="Shaun Rampersad"/>
        <s v="Cuthbert (Sedutla) Sekgotodi"/>
        <s v="Handri Kymdell"/>
        <s v="Willy Robinson"/>
        <s v="Mmajobo Tsholo"/>
        <s v="Wilhelm Pauer"/>
        <s v="Jan Botha"/>
        <s v="Terence O'Neill"/>
        <s v="Werner Van Oudenhove De St Gery"/>
        <s v="J.R. Hume"/>
        <s v="Tsholofelo Mathye"/>
        <s v="Fazia Parker"/>
        <s v="Mayuri Ravjee"/>
        <s v="Coenraad Pretorius"/>
        <s v="Annanda Basson"/>
        <s v="Lambrie Van Straaten"/>
        <s v="Thabang Moroa"/>
        <s v="Smangele Majola"/>
        <s v="Denis Nhatumbo"/>
        <s v="David Johnson"/>
        <s v="Colin Struwig"/>
        <s v="Natasha Nadasen"/>
        <s v="Nivesh Jivan"/>
        <s v="Ookame Maruping"/>
        <s v="Pete Cottrell"/>
        <s v="Dolly Mphahlele (Terminated)"/>
        <s v="Shanice Sunderpersadh"/>
        <s v="Cameron Peel"/>
        <s v="Mitesh Makan"/>
        <s v="Mante Mothiba"/>
        <s v="Zaheer Moosa"/>
        <s v="John Cronje"/>
        <s v="Shaun Caromba"/>
        <s v="Jolandi Wassermann (Terminated)"/>
        <s v="Elaine Knoetsec"/>
        <s v="Lesego Nkepe"/>
        <s v="Loren Johnson"/>
        <s v="Mill Makanda"/>
        <s v="Nadira Umraw"/>
        <s v="Barbara Engle"/>
        <s v="Jacqueline Becker"/>
        <s v="Thirumala Pillay"/>
        <s v="Thabani Zungu"/>
        <s v="Molai Mothejoa"/>
        <s v="Grant Pentelow"/>
        <s v="Deolin Govender"/>
        <s v="Zukisani Dyasi"/>
        <s v="Steven Harris"/>
        <s v="Tebatso Mokgokolo"/>
        <s v="Duane Ryan"/>
        <s v="Phepsile Dlamini (Terminated)"/>
        <s v="Willem Van Der Westhuizen"/>
        <s v="Caryn Bell"/>
        <s v="Afreen Kumandan"/>
        <s v="Bjorn Coetzee"/>
        <s v="Mwamba Musambo"/>
        <s v="Kgotso Buys"/>
        <s v="Nolu Hlwatika"/>
        <s v="Patrick Motshweni"/>
        <s v="Michelle Ashen"/>
        <s v="Vukile Sikhakhane"/>
        <s v="Humbulani Colbert Nekhumbe"/>
        <s v="Thandiwe Mkalipi"/>
        <s v="Sue-Lynn Sheldon"/>
        <s v="Zanele Seshoka"/>
        <s v="Tshepho Rasemphe"/>
        <s v="Aileen Spanier-Marson"/>
        <s v="Nicole Dooling"/>
        <s v="Jones Mabapa"/>
        <s v="Veronica Ntshalintshali"/>
        <s v="Jurgens Van Rooyen"/>
        <s v="Christopher Pillay"/>
        <s v="Siyabonga Mthethwa"/>
        <s v="Nicholas Litton"/>
        <s v="Yudhvir Seetharam"/>
        <s v="Dima Thaba"/>
        <s v="Leeresha Dehaloo"/>
        <s v="Nabeel Makkan"/>
        <s v="Linda Hlophe (Terminated)"/>
        <s v="Kehiloe Makhele"/>
        <s v="Dido Wa Kalonji"/>
        <s v="Tibane Lebese"/>
        <s v="Fernando Moreira [C]"/>
        <s v="Nolwazi Ndlovu"/>
        <s v="Richard Foaden"/>
        <s v="Thaveshni Govender"/>
        <s v="Lorna Reid"/>
        <s v="Stacy Jeannes"/>
        <s v="Naeem Motala"/>
        <s v="Melanie Sacks"/>
        <s v="Muhammad Seedat"/>
        <s v="Tejal Daya"/>
        <s v="Mapule Mahlangu"/>
        <s v="Mohammed Abdul Hamid"/>
        <s v="Heidi Coetzee"/>
        <s v="Mashudu Matsila"/>
        <s v="Thuba Mthembu (Terminated)"/>
        <s v="Goitsemodimo Melesi"/>
        <s v="Kavilan Rajagopaul Pillay"/>
        <s v="Kevin Smith"/>
        <s v="Aobakwe Kgobokoe"/>
        <s v="Liesel Claase"/>
        <s v="Candice Mesk"/>
        <s v="Meera Khandoo"/>
        <s v="Tebogo Mashigo"/>
        <s v="Cathrin Pretorius"/>
        <s v="Aslam Khan"/>
        <s v="Margaret Mwewa"/>
        <s v="Maxine Smith (Terminated)"/>
        <s v="Santelle Naicker"/>
        <s v="Kubeshan Padayachy"/>
        <s v="Dineo Phala"/>
        <s v="Zithulele Mjiako"/>
        <s v="Puleng Montseng"/>
        <s v="Zwivhuya Tshitovha"/>
        <s v="Babalwa Masoka"/>
        <s v="Billy Samuel Mwape"/>
        <s v="Tswelo Kodisang"/>
        <s v="Richard Levesque"/>
        <s v="Asha Rampershad"/>
        <s v="Sachin Arjun"/>
        <s v="Kellan Govender"/>
        <s v="Melissa Delie"/>
        <s v="Farieda Mayet"/>
        <s v="Tshepiso Matabane"/>
        <s v="Menzi Skhosana"/>
        <s v="Frank Dhlamini"/>
        <s v="Dane Pillay"/>
        <s v="Jaco Loots"/>
        <s v="Umphile Moroe"/>
        <s v="Malamba Lavhengwa"/>
        <s v="Caleb Sindi"/>
        <s v="Costa Hagios"/>
        <s v="Gudani Khuswana"/>
        <s v="Noluthando Buthelezi"/>
        <s v="Liso Tabata"/>
        <s v="Isaac Chauque"/>
        <s v="Kaylyn Karuppen"/>
        <s v="Georgia Wensley"/>
        <s v="Veroshan Thaver"/>
        <s v="Rudzani Thagwana"/>
        <s v="Nozipho Victoria Sidambe"/>
        <s v="Mohau Tlamama"/>
        <s v="Lehlogonolo Phineas Mbiza"/>
        <s v="Hilde Metumo Shimpanda"/>
        <s v="Ofentse Pilane"/>
        <s v="Bongani Baloyi"/>
        <s v="Malvin Maposa"/>
        <s v="Savannah Tadden"/>
        <s v="Maphelo Mpofu"/>
        <s v="Neo Mphuthi"/>
        <s v="Thabo Zwane"/>
        <s v="Sisanda Sibanda"/>
        <s v="Njabulo Preysgod Nsibande"/>
        <s v="Xola Ntlangula"/>
        <s v="Luleka Righteous Khumalo"/>
        <s v="Nathan Ngqwebo"/>
        <s v="Reitumetse Rabotapi"/>
        <s v="Talhah Shahzada"/>
        <s v="Tokelo Monare"/>
        <s v="Msimisi Dlamini"/>
        <s v="Costa Muthai"/>
        <s v="Tebogo Matome Raphadu"/>
        <s v="Tshepiso Mngomezulu"/>
        <s v="Ronewa Errol Maemu Tshikosi"/>
        <s v="Rohan Schoeman"/>
        <s v="Nobuhle Mlahleki"/>
        <s v="Sizolwethu Mthombeni"/>
        <s v="Muhammad Moosa"/>
        <s v="Andisa Mashimbye"/>
        <s v="Sandile Mthiyane"/>
        <s v="Ntsako Rebecca Zondani"/>
      </sharedItems>
    </cacheField>
    <cacheField name="Purpose" numFmtId="0">
      <sharedItems containsBlank="1" longText="1"/>
    </cacheField>
    <cacheField name="Mentor Type" numFmtId="0">
      <sharedItems/>
    </cacheField>
    <cacheField name="Mentor Employee Type" numFmtId="0">
      <sharedItems containsBlank="1"/>
    </cacheField>
    <cacheField name="Mentor Race" numFmtId="0">
      <sharedItems containsBlank="1"/>
    </cacheField>
    <cacheField name="Mentor Gender" numFmtId="0">
      <sharedItems/>
    </cacheField>
    <cacheField name="Mentor Age Group" numFmtId="0">
      <sharedItems/>
    </cacheField>
    <cacheField name="Mentor Supervisory Organization" numFmtId="0">
      <sharedItems containsBlank="1"/>
    </cacheField>
    <cacheField name="Mentor Location Country" numFmtId="0">
      <sharedItems/>
    </cacheField>
    <cacheField name="Mentor Franchise" numFmtId="0">
      <sharedItems containsBlank="1"/>
    </cacheField>
    <cacheField name="Mentor Cost Centre" numFmtId="0">
      <sharedItems containsBlank="1"/>
    </cacheField>
    <cacheField name="Mentor Job Title" numFmtId="0">
      <sharedItems containsBlank="1"/>
    </cacheField>
    <cacheField name="Mentor Tenure" numFmtId="0">
      <sharedItems/>
    </cacheField>
    <cacheField name="Mentor Job Family Group" numFmtId="0">
      <sharedItems containsBlank="1"/>
    </cacheField>
    <cacheField name="Mentee ID" numFmtId="0">
      <sharedItems/>
    </cacheField>
    <cacheField name="Mentee" numFmtId="0">
      <sharedItems count="634">
        <s v="Banyatsi Seeme"/>
        <s v="Boago Thomas"/>
        <s v="Thuto Kofi (Terminated)"/>
        <s v="Kabelo Sekoto"/>
        <s v="Pamela Ndlovu"/>
        <s v="Kefilwe Samson"/>
        <s v="Otlaadisa Mogosane"/>
        <s v="Bontle Maeco"/>
        <s v="Ivy Letus"/>
        <s v="Maipelo Daman"/>
        <s v="Maureen Lucas"/>
        <s v="Masego Basupang"/>
        <s v="Kaone Malete"/>
        <s v="Prince Mopipi (Terminated)"/>
        <s v="Gaongalelwe Ikaneng"/>
        <s v="Tebogo Sebobi"/>
        <s v="Amongie Kewakae"/>
        <s v="Mapule Mosiuoa"/>
        <s v="Miyoba Moonga"/>
        <s v="LILLIAN K EZEKIEL"/>
        <s v="Sifisosakhe Dube"/>
        <s v="Tebogo Moorosi (Terminated)"/>
        <s v="Stephanie Bezuidenhout"/>
        <s v="Chizoba Mkhwanazi"/>
        <s v="Mahlori Chauke (Terminated)"/>
        <s v="Refilwe Leburu"/>
        <s v="Yusuf Ahmed"/>
        <s v="Thaveshni Govender"/>
        <s v="Makoae _x0009__x0009_ Lawrence Mothibe (Terminated)"/>
        <s v="Fred Du Plessis"/>
        <s v="Ayanda Dubazana"/>
        <s v="Tsholofelo Kgwele (Terminated)"/>
        <s v="Shahida Begg"/>
        <s v="Kgaugelo Kulube"/>
        <s v="Anelisa Singanzi"/>
        <s v="Laetitia Kay"/>
        <s v="Waldo Visagie"/>
        <s v="Balesh Raniga"/>
        <s v="Thomas Tonga"/>
        <s v="Ikaneng Francina Setlhotlelo"/>
        <s v="Chipande Shisala"/>
        <s v="Mandla Mathipa"/>
        <s v="Igna Kirsten"/>
        <s v="Maltilda Sonopo"/>
        <s v="Eugine Hatyoka"/>
        <s v="Jermaine Varnicker"/>
        <s v="Caroline Nkuna"/>
        <s v="Beata Kalola"/>
        <s v="Prudence Motha (Terminated)"/>
        <s v="Nish Chinappa"/>
        <s v="Lucky Phiri"/>
        <s v="Fortune Boois-Mafwila"/>
        <s v="Mohlekaze Hlubi"/>
        <s v="Vikash Mahabally"/>
        <s v="Nokwazi Mabaso"/>
        <s v="Kgotlelelo Makeke (Terminated)"/>
        <s v="Sibongile Dhlamini"/>
        <s v="Mbali Ohlson"/>
        <s v="Mologadi Monakhisi (Terminated)"/>
        <s v="Yoshini Naidoo (Terminated)"/>
        <s v="Daya Govender"/>
        <s v="Sandra Mnyoni"/>
        <s v="Veronika Jacobsz"/>
        <s v="Naledi Modipane (Terminated)"/>
        <s v="Reuben Diphoko"/>
        <s v="Makarabo Mahlomotja"/>
        <s v="Sihle Ncedani-Madlebe"/>
        <s v="Neo Hlalele"/>
        <s v="Stephana Tshehla"/>
        <s v="Nomthandazo Rapodile"/>
        <s v="Sibusiso Khumalo"/>
        <s v="Danika Ramalingum"/>
        <s v="Matthew Gerrish (Terminated)"/>
        <s v="Salmaan Mukhtar (Terminated)"/>
        <s v="Mphumuzi Khoza"/>
        <s v="Gift Rathekoane"/>
        <s v="Hugh Bouwer"/>
        <s v="Diaan Dietrichsen (Terminated)"/>
        <s v="Maggie Nkoana"/>
        <s v="Nomvuselelo Ntuli"/>
        <s v="Amanda Mene"/>
        <s v="Pitsi Mnguni"/>
        <s v="Sandile Nkosi"/>
        <s v="Delisiwe Chilwane"/>
        <s v="Fazila Khan"/>
        <s v="Madika Makgeletsi"/>
        <s v="Thuthu Mnyandu"/>
        <s v="Anna Van Pletzen"/>
        <s v="Ruth Raseemela"/>
        <s v="Bongani Kgoedi"/>
        <s v="Siyabonga Mzimela"/>
        <s v="Vanessa Naicker"/>
        <s v="Claude Govender"/>
        <s v="Regina Ntholeng (Terminated)"/>
        <s v="Kenanao Kombani"/>
        <s v="Asezile Figlan"/>
        <s v="Candice Lee Kondominas"/>
        <s v="Matee Malete"/>
        <s v="Tshepo Huma (Terminated)"/>
        <s v="George Lambiris (Terminated)"/>
        <s v="Melanie Malan"/>
        <s v="Kgomotso Matshoba"/>
        <s v="Sean Christoph"/>
        <s v="Mpho Sephetho"/>
        <s v="Thembani Mashao"/>
        <s v="Nombuso Mkhize"/>
        <s v="Tuyeimo Penehafo Nghiholiwe"/>
        <s v="Lazola Gubevu"/>
        <s v="Nosivuno September (Terminated)"/>
        <s v="Hitjiza Kamupingene"/>
        <s v="Brian Sithole"/>
        <s v="Lebo Mohlala"/>
        <s v="Sekoala Lenkoane"/>
        <s v="Siziphiwe Tyebisa"/>
        <s v="Yanda Kupiso"/>
        <s v="Refilwe Makgala"/>
        <s v="Tumeka Mbombo"/>
        <s v="Phil Nkosi"/>
        <s v="Mary Simujayangombe"/>
        <s v="Gibson Mostert (Terminated)"/>
        <s v="Lindeni Temba"/>
        <s v="Yvonne Mofokeng"/>
        <s v="Benjamin Mguzulwa"/>
        <s v="Yanga Mbadu"/>
        <s v="Mpho Baloyi"/>
        <s v="Kamohelo Mokotjomela (Terminated)"/>
        <s v="Gabriel Mosiane"/>
        <s v="Lindiwe Tshabalala"/>
        <s v="Masesi Sibanda (Terminated)"/>
        <s v="Manqoba Sindane"/>
        <s v="Vusumzi Mkize"/>
        <s v="Trason Murugen"/>
        <s v="Mkateko Buti"/>
        <s v="Bre-yana Beckmann"/>
        <s v="Sibusiso Ngcobo"/>
        <s v="Sihle Mhlongo"/>
        <s v="Loretta Ramatsoma (Terminated)"/>
        <s v="Thomas Mathebula"/>
        <s v="Bokang Mabyane"/>
        <s v="Hannetjie Beukes (Terminated)"/>
        <s v="Thabo Mathenjwa"/>
        <s v="Virginia Mohale"/>
        <s v="Cleo Aarons"/>
        <s v="Mduduzi Nkosi"/>
        <s v="Kuhle Kewana"/>
        <s v="Yasmin Kadwa"/>
        <s v="Thandi Mashele"/>
        <s v="Lira Reddi (Terminated)"/>
        <s v="Bertie Vorster"/>
        <s v="Katlego Matlou"/>
        <s v="Gugu Sibeko"/>
        <s v="Sindisiwe Mthembu"/>
        <s v="Amanda Lebohang Gift Mngomezulu (Terminated)"/>
        <s v="Lusanda Sombinge"/>
        <s v="Nicholas Mathope"/>
        <s v="Reshmee Pillay"/>
        <s v="Tsakani Thobela"/>
        <s v="Laiken Jacobs"/>
        <s v="Megan Lapan (Terminated)"/>
        <s v="Fikile Tshabalala"/>
        <s v="Kusara Sithole"/>
        <s v="Mamello Mokibe"/>
        <s v="Botlhale Maselo"/>
        <s v="Mthokozisi Ndlovu"/>
        <s v="Mpho Setuke"/>
        <s v="Rhona Veldskoen"/>
        <s v="Rebecca Sekgweleo"/>
        <s v="Thandokazi Ncakeni"/>
        <s v="Tebogo Dikobe"/>
        <s v="Douglas Lesiba"/>
        <s v="Nirvana Ramboth"/>
        <s v="Refilwe Nkau (Terminated)"/>
        <s v="Devan Chetty"/>
        <s v="Jabulani Nene"/>
        <s v="Beaulah Sekgobela"/>
        <s v="Nomthandazo Peyise"/>
        <s v="Njabulo Mabaso"/>
        <s v="Confidence Rakimane"/>
        <s v="Celia Moireleng"/>
        <s v="Malibongwe Mthimkhulu"/>
        <s v="Melanie Bosch"/>
        <s v="Solomzi Zini"/>
        <s v="Lettie Nahole"/>
        <s v="Garth Gille"/>
        <s v="Charissa Langman"/>
        <s v="Bella Khumalo"/>
        <s v="Lerato Moepi"/>
        <s v="Liam Mathieson"/>
        <s v="Rotondwa Ramaru"/>
        <s v="Shenaaz Musthapha"/>
        <s v="Lavashni Naidoo"/>
        <s v="Innosim Mothombeni"/>
        <s v="Sharlene Louw"/>
        <s v="Zandisiwe Hadebe"/>
        <s v="Mphela Sethotse"/>
        <s v="Delight Moyo (Terminated)"/>
        <s v="Kalele Mpembamoto"/>
        <s v="Monia Ward"/>
        <s v="Mongi Nyembe"/>
        <s v="Dineo Taolo (Terminated)"/>
        <s v="Ebrahim Carrim"/>
        <s v="Vimal Lala"/>
        <s v="Natasha Van Staden"/>
        <s v="Carla Ferreira"/>
        <s v="Kingsley Mwiinga"/>
        <s v="Sthembiso Machize"/>
        <s v="Vuyiswa Dladla"/>
        <s v="Jaan Roodt"/>
        <s v="Kabelo Mabena"/>
        <s v="Konke Nonjinge"/>
        <s v="Nwabisa Mnwana"/>
        <s v="Bonolo Palesa Lekgotla (Terminated)"/>
        <s v="Marcia Matshela"/>
        <s v="Nikki Desmore"/>
        <s v="Jacqueline Becker"/>
        <s v="Vuyiseka Myeki"/>
        <s v="Karen Wilson"/>
        <s v="Sharon Abdie"/>
        <s v="Kyle Nicolaides"/>
        <s v="Malka Manipha"/>
        <s v="Ashleigh Alves"/>
        <s v="Asithandile Zikhathile"/>
        <s v="Tusani Nkomo"/>
        <s v="Rushey Parbhoo"/>
        <s v="Muhaimin Farred"/>
        <s v="Noluyolo Myeki (Terminated)"/>
        <s v="Nathan Ramazan"/>
        <s v="Ryno Swart"/>
        <s v="Khombisile Dumakude"/>
        <s v="Thato Keletso"/>
        <s v="Koziba Aaron"/>
        <s v="Opelo Nyubi"/>
        <s v="Reletile Phomolo Motsewakgosi"/>
        <s v="Oratile Mavuma"/>
        <s v="Tshidi Mokoena"/>
        <s v="Veronica Modisang"/>
        <s v="Bonolo Molebatsi"/>
        <s v="Mokgabo Imperial"/>
        <s v="Ame Sevelinah Phang"/>
        <s v="Zanele Phiri"/>
        <s v="Ingrid Dingoko"/>
        <s v="Kemo Molosiwa"/>
        <s v="Tshego Mmuru"/>
        <s v="Sabelo Magagula"/>
        <s v="Nkobi Masunga"/>
        <s v="Karabo Mogotsi"/>
        <s v="Daniella Coetzee"/>
        <s v="Lebogang Mokhutso-Mamakoko"/>
        <s v="Zanele Zitwana"/>
        <s v="Monica Mhlauli"/>
        <s v="Eza Lutshwati (Terminated)"/>
        <s v="Reverne Jooste"/>
        <s v="Joy Moyo"/>
        <s v="Duschanka Moodley"/>
        <s v="Keshlin Naicker"/>
        <s v="Otsile Modiselle"/>
        <s v="Chenesani Kuda Bachopi"/>
        <s v="Muneera Khan"/>
        <s v="Gugu Nsibande (Terminated)"/>
        <s v="Mpho Bosilong"/>
        <s v="Ofilwe Powe"/>
        <s v="Katso Batsweleng"/>
        <s v="Luvashni Tilakdharee"/>
        <s v="Kgomotso Bika"/>
        <s v="Sindhuri Ravuri (Terminated)"/>
        <s v="Afreen Kumandan"/>
        <s v="Leah Zulu"/>
        <s v="Zandile Nene"/>
        <s v="Zamokuhle Ngema"/>
        <s v="Manuel Come Come"/>
        <s v="Keamogetswe Sema (Terminated)"/>
        <s v="Nobuhle Ngcobo"/>
        <s v="Siyabonga Mthethwa"/>
        <s v="Kirsty Forbay"/>
        <s v="Prudence Shipalana"/>
        <s v="Thandeka Ntisana"/>
        <s v="Yolandi Pietersen"/>
        <s v="Kuvashni Krishna"/>
        <s v="Nhlanhla Tshingilane (Terminated)"/>
        <s v="Patience Dolamo"/>
        <s v="Gabi Maya"/>
        <s v="Alexa Flemmer"/>
        <s v="Mx Makhombothi"/>
        <s v="Danny Tloubatla"/>
        <s v="Karabo Rampai"/>
        <s v="Jeckson Tuyoleni"/>
        <s v="Cindy Abrahams"/>
        <s v="Phemi Maetle"/>
        <s v="Nthabiseng Mashego"/>
        <s v="Zakaria Mahomed"/>
        <s v="Morongwa Mangope (Terminated)"/>
        <s v="Khuliso Watson Maela (Terminated)"/>
        <s v="Anna Mashia"/>
        <s v="Khanyisile Kumbi"/>
        <s v="Mukundi Ravhura"/>
        <s v="Desiree Govender"/>
        <s v="Lizelle La Grange"/>
        <s v="Frank Chalale"/>
        <s v="Ayanda Patji"/>
        <s v="Rajiv Mistry"/>
        <s v="Prenesen Naidoo"/>
        <s v="Lenize Lottering"/>
        <s v="Mapule Mpoko"/>
        <s v="Shiara Pillay"/>
        <s v="Armando Antonio"/>
        <s v="Busi Mdumisi"/>
        <s v="Samantha Williams"/>
        <s v="Modjadji Mashego (Terminated)"/>
        <s v="Otilie Sameul"/>
        <s v="Zimbini Mteza"/>
        <s v="Clement Molapo"/>
        <s v="Mbali Modjela"/>
        <s v="Tumi Kgaswane"/>
        <s v="Sipho Maseko"/>
        <s v="Thato Thamage (Terminated)"/>
        <s v="Kaahsifa Ahmed"/>
        <s v="Noluthando Ndlovu (Terminated)"/>
        <s v="Dean Sauls"/>
        <s v="Doug Mundopa"/>
        <s v="Tumelo Nkwane"/>
        <s v="Khathutshelo Shaun Matidza"/>
        <s v="Jean Erasmus (Terminated)"/>
        <s v="Lizanne Philander"/>
        <s v="Tumelo Thoka"/>
        <s v="Makailia Manthary"/>
        <s v="Tshilidzi Loyd Mufamadi (Terminated)"/>
        <s v="Faith Duff"/>
        <s v="Zaheer Badroodien"/>
        <s v="Dustan Bedhasie"/>
        <s v="Katlego Maphutha"/>
        <s v="Bavanisha Varaden"/>
        <s v="Desmond Medupe (Terminated)"/>
        <s v="Snazo Maepane"/>
        <s v="Morathi Ramokgopa"/>
        <s v="Precious Monareng"/>
        <s v="Andrea Andre (Terminated)"/>
        <s v="Michael Mills"/>
        <s v="Yonela Mgwedli"/>
        <s v="Mangi Mahlaba"/>
        <s v="Maite Leshabane (Terminated)"/>
        <s v="Danny Ma"/>
        <s v="Nitesh Khemchandani [C]"/>
        <s v="Deepam Gopal (Terminated)"/>
        <s v="Lettisha Sooknannan"/>
        <s v="Ushenka Angath"/>
        <s v="Vanesa Reid"/>
        <s v="Chetna Patel"/>
        <s v="Nondumiso Blose"/>
        <s v="Tumelo Mabiletsa"/>
        <s v="Tshaimo Seanego"/>
        <s v="Nina Claasen"/>
        <s v="Thobi Khumalo"/>
        <s v="Kefiloe Mphatwe"/>
        <s v="Dayan Du Toit"/>
        <s v="Mayuri Ravjee"/>
        <s v="Laona Dikgole"/>
        <s v="Prince Moloto (Terminated)"/>
        <s v="Ofentse Ditsele"/>
        <s v="Linda Shiba"/>
        <s v="Marnus Breed"/>
        <s v="Philip Karammel"/>
        <s v="Fhulufhelo Ramphabana"/>
        <s v="Njabulo Hlophe"/>
        <s v="Andile Nkohliso"/>
        <s v="Senzo Manzini"/>
        <s v="Mary Ramodisa"/>
        <s v="Tshepo Leroto"/>
        <s v="Meera Bhana"/>
        <s v="Keziah Aiyer"/>
        <s v="Simbani Banda"/>
        <s v="Ndivho Mamathuba"/>
        <s v="Ashante Maitin"/>
        <s v="Oarabile Moshoeu"/>
        <s v="Meagan Fisher"/>
        <s v="Khauhelo Mofokeng"/>
        <s v="Farmeena Hoosen"/>
        <s v="Prabashnee Govender"/>
        <s v="Emelda Ndlovu"/>
        <s v="Elmah Mosipi"/>
        <s v="Rekgethile Maduna"/>
        <s v="Carla Blom"/>
        <s v="Shreyan Pale"/>
        <s v="Shingai Chikoko"/>
        <s v="Esronique Du Plessis"/>
        <s v="Victory Mukhuwana"/>
        <s v="Covani Govender"/>
        <s v="Thato Diko"/>
        <s v="Ookame Maruping"/>
        <s v="Tom Seleka"/>
        <s v="Sufyaan Beg"/>
        <s v="Luyanda Koni"/>
        <s v="Caleb Qoyo"/>
        <s v="Obakeng Mokalapa"/>
        <s v="Tebogo Moloanyana"/>
        <s v="Nkosinathi Nwamba"/>
        <s v="Itumeleng Mothapo"/>
        <s v="Phelela Majikijela"/>
        <s v="Rebotile Tisani"/>
        <s v="Yama Mathobo"/>
        <s v="Sello Masango"/>
        <s v="Gibson Friar (Terminated)"/>
        <s v="Michael Mac-Kittah"/>
        <s v="Lillian Kalenzi"/>
        <s v="Adeel Amod"/>
        <s v="Axolile Majola"/>
        <s v="Siphiwe Sitwayi"/>
        <s v="Giovanno Sheppard"/>
        <s v="Colin Makwe"/>
        <s v="Alex Mulenga"/>
        <s v="Ntokozo Mdluli"/>
        <s v="Ramafa Makhafola"/>
        <s v="Jason Meyer"/>
        <s v="Ontlametse Activia Selobile"/>
        <s v="Martha Mafisa"/>
        <s v="Kgomotso Makhananesa"/>
        <s v="Sunitha Govender"/>
        <s v="Christopher Thabane"/>
        <s v="Dakalo Mulaudzi"/>
        <s v="Lebogang Serache"/>
        <s v="Racquel Nelson"/>
        <s v="Andiswa Tini"/>
        <s v="Jo-Ann Nels"/>
        <s v="Katlego Bogopa"/>
        <s v="Marcelo Coutinho"/>
        <s v="Janine Hartley"/>
        <s v="Lee-Roy Yonga"/>
        <s v="Thandeka Makhanya"/>
        <s v="TEBOGO KOMANE"/>
        <s v="Collen Skosana"/>
        <s v="Shonise Naidoo"/>
        <s v="Nevashin Govindasamy"/>
        <s v="Marius Lombard"/>
        <s v="Nkulani Moshaba"/>
        <s v="Rohan Schoeman"/>
        <s v="Chanelle Van Heerden"/>
        <s v="Caide Lander"/>
        <s v="Siyaan Davids"/>
        <s v="Sandile Dube"/>
        <s v="Mpho Mosotho"/>
        <s v="Leeresha Dehaloo"/>
        <s v="Handry Xulu"/>
        <s v="Sibusiso Mnisi"/>
        <s v="Kenneth Mnguni"/>
        <s v="Solomzi Klaas"/>
        <s v="Simishka Dasupan"/>
        <s v="Cameron Scott"/>
        <s v="Kelin Van Der Westhuizen"/>
        <s v="Nabeel Makkan"/>
        <s v="Edison Mabanna"/>
        <s v="Albertina Andowa"/>
        <s v="Shantel Lutchman"/>
        <s v="Pashlin Naidoo"/>
        <s v="Raphaahle Tema"/>
        <s v="Thato Kgalamono"/>
        <s v="Simone Dalliah-Pillay"/>
        <s v="Alyssia Pillay"/>
        <s v="Rivoningo Maphanga (Terminated)"/>
        <s v="Rishi Thulsie"/>
        <s v="Sushma Gundala"/>
        <s v="Fikile Zwane"/>
        <s v="Geveza Nhlapo"/>
        <s v="Mantsho Msibi"/>
        <s v="Fahmeeda Darsot"/>
        <s v="Kabelo Sekgala"/>
        <s v="Gugu Sogobile"/>
        <s v="Rodney Mputla"/>
        <s v="Muhammad Seedat"/>
        <s v="Nompumelelo Manzini"/>
        <s v="Juhi Sewpersadh"/>
        <s v="Caitlin Gow"/>
        <s v="Yolanda Xaba"/>
        <s v="Chuene Modikoa"/>
        <s v="Keke Msiza"/>
        <s v="Amokelane Baloyi"/>
        <s v="Siyabonga Gumede"/>
        <s v="Palesa Phosisi"/>
        <s v="Blessing Mpafa"/>
        <s v="Nomvula Luphoko"/>
        <s v="Nondumiso Gumbi"/>
        <s v="Kamogelo Moleya"/>
        <s v="Basetsana Sekaja"/>
        <s v="Mbali Ndhlovu"/>
        <s v="Lezandre Adams"/>
        <s v="Georgette Akua Baah-Danquah"/>
        <s v="Tanya Zackey"/>
        <s v="Xolani Dennis Zwane"/>
        <s v="Matthew West"/>
        <s v="Lu Pillay"/>
        <s v="Nonhlanhla Mahlaba"/>
        <s v="Keamogetse Roberts"/>
        <s v="Tariq Ismail"/>
        <s v="Roslyn Govender"/>
        <s v="Shane Damons"/>
        <s v="Ofentse Pitso"/>
        <s v="Caledon Hluyako"/>
        <s v="Viera Macheve"/>
        <s v="Nkosinathi Ngwenya"/>
        <s v="Mbali Mdluli (Terminated)"/>
        <s v="Ndila Nkhumeleni"/>
        <s v="Yanga Babana"/>
        <s v="Lucia Mokwena"/>
        <s v="Zintle Buyana"/>
        <s v="Laura Tomaz"/>
        <s v="Kaone Leshomo"/>
        <s v="Refilwe Semenya"/>
        <s v="Terrance Ncube"/>
        <s v="Tamryn August"/>
        <s v="Moreblessing Mupfumira"/>
        <s v="Bupe Mwiya"/>
        <s v="Elizabeth Sarpong"/>
        <s v="Mbusi Nzimande"/>
        <s v="Akhona Khumalo"/>
        <s v="Tsholofelo Letsoko"/>
        <s v="Saihil Rewachanda"/>
        <s v="Dineo Masemene"/>
        <s v="Mamokwena Maponya"/>
        <s v="Lerato Kabeya"/>
        <s v="Themba Mabena"/>
        <s v="Lorato Chipu"/>
        <s v="Mbali Mnguni"/>
        <s v="Christinah Rabothata"/>
        <s v="Lorraine Nobela"/>
        <s v="Nontokozo Sibeko"/>
        <s v="Talent Chinyani"/>
        <s v="Shadreck Njobvu"/>
        <s v="Roshni Morar"/>
        <s v="Michaela Dantu"/>
        <s v="Phindile Manqele"/>
        <s v="Tshepo Moeletsi"/>
        <s v="Koketjo Matlala"/>
        <s v="Caitlin Stone"/>
        <s v="Kellan Govender"/>
        <s v="Daniel Loots"/>
        <s v="Deshnee Boodhram"/>
        <s v="Sherwin Singh"/>
        <s v="Jabulani Maxwell Masilela"/>
        <s v="Farieda Mayet"/>
        <s v="Joshua Hlanyane"/>
        <s v="Nozipho Nyathi"/>
        <s v="Golaotswe Matlala"/>
        <s v="Megan Schaffers"/>
        <s v="Luke Smith"/>
        <s v="Modiegi Pheto"/>
        <s v="Lisa Kabengele"/>
        <s v="Terri Christian"/>
        <s v="Zandile Moloi"/>
        <s v="Nandipha Mkhabile"/>
        <s v="Zaida Cornelissen"/>
        <s v="Sibongile Ubisi"/>
        <s v="Jared Landsman"/>
        <s v="Dyllin Dannhauser"/>
        <s v="Mawande Ngcai"/>
        <s v="Hilde Josef"/>
        <s v="Nomthunzi Bangani"/>
        <s v="Richard Pettey-Agamatey"/>
        <s v="Thebe Ditshego"/>
        <s v="Nathan Ngqwebo"/>
        <s v="Dineo Makgota"/>
        <s v="Thandubuhle Sompetha"/>
        <s v="Gomolemo Rabalone"/>
        <s v="Ragel Shivute"/>
        <s v="Pfarelo Shyleen Mudau"/>
        <s v="Anelisa John"/>
        <s v="Azwi Singo"/>
        <s v="Mbhalenhle Mahuhushi"/>
        <s v="Buhlebendalo Mbele"/>
        <s v="Nhlanhla Shongwe"/>
        <s v="Nomosebenzi Zwane"/>
        <s v="Shawn Tshinabe"/>
        <s v="Thabang Monicca Mokobela"/>
        <s v="Daisy Maseko"/>
        <s v="Tidimalo Monyai"/>
        <s v="Phillippa Tshinabe"/>
        <s v="Rozetta Raman"/>
        <s v="Nombulelo Daphney Nkosi"/>
        <s v="Sibahle Mnguni"/>
        <s v="LUVHUNO KOPANE"/>
        <s v="Xivono Rival Maluleke"/>
        <s v="Vangile Mhlambi"/>
        <s v="Ntshuxeko Isaac Ndlovu"/>
        <s v="Rudzani Ravele"/>
        <s v="Thato Thokozani Molefe"/>
        <s v="Katlego Modieginyana"/>
        <s v="Yonela Siswana"/>
        <s v="Zimasile Mnothoza"/>
        <s v="Sinazo Ndzawombi"/>
        <s v="Nosiphiwe Sweetness Zulu"/>
        <s v="Asemahle Ndlebe"/>
        <s v="Elmon Ramahoshi"/>
        <s v="Mosima Lucia Mnisi"/>
        <s v="Nonhlakanipho Prayer Masanabo"/>
        <s v="Lehlohonolo Maake"/>
        <s v="Nomthandazo Chabalala"/>
        <s v="Penchele Kakudi"/>
        <s v="Lihle Konzeka"/>
        <s v="Thobile Buthelezi"/>
        <s v="Bonolo Ntoloane"/>
        <s v="Simthandile Jiyane"/>
        <s v="Xihluke Mabunda"/>
        <s v="Katleho Sondlo"/>
        <s v="Thabo Mthembu"/>
        <s v="Nosisa Zungu"/>
        <s v="Mandla Mthembu"/>
        <s v="Reabetsoe Moshoeshoe"/>
        <s v="Thapelo Phatudi"/>
        <s v="Precious Phalwane"/>
        <s v="Karabelo Innocent Finger"/>
        <s v="Nosipho Angela Sithole"/>
        <s v="Mondli Chauke"/>
        <s v="Nyiko Magomani"/>
        <s v="Khonaye Ntshwanti"/>
        <s v="Nosihle Gcaba"/>
        <s v="Nonceba Ludidi"/>
        <s v="Kamogelo Ndlovu"/>
        <s v="Philiswa Lungeleni Msane"/>
        <s v="Bonga Sondlo"/>
        <s v="Siphesihle Anderson Kwelemthini"/>
        <s v="Mmapaseka Mmamogale"/>
        <s v="Winnie Sithole"/>
        <s v="Amishoni Vivian Shirindza"/>
        <s v="Sphelele Ndhlovu"/>
        <s v="Nqobile Nhlapho"/>
        <s v="Molefi Macdonald Modumaela"/>
        <s v="Kutlwano Lekgetho"/>
        <s v="Gugu Yeni"/>
        <s v="Sabelo Mshiywa"/>
        <s v="Nhluvuko Rookie Maluleke"/>
        <s v="Phumlile Lureme"/>
        <s v="Stanley Malepe"/>
        <s v="Mamosa Mokoena"/>
        <s v="Lindokuhle Madonsela"/>
        <s v="Snenhlanhla Bridget Shabalala"/>
        <s v="Stella Lekhoaba"/>
        <s v="Tshegofatso Mokoto"/>
      </sharedItems>
    </cacheField>
    <cacheField name="Mentee Employee Type" numFmtId="0">
      <sharedItems containsBlank="1"/>
    </cacheField>
    <cacheField name="Mentee Race" numFmtId="0">
      <sharedItems containsBlank="1"/>
    </cacheField>
    <cacheField name="Mentee Gender" numFmtId="0">
      <sharedItems/>
    </cacheField>
    <cacheField name="Mentee Age Group" numFmtId="0">
      <sharedItems/>
    </cacheField>
    <cacheField name="Mentee Supervisory Organization" numFmtId="0">
      <sharedItems containsBlank="1"/>
    </cacheField>
    <cacheField name="Mentee Location Country" numFmtId="0">
      <sharedItems/>
    </cacheField>
    <cacheField name="Mentee Franchise" numFmtId="0">
      <sharedItems containsBlank="1"/>
    </cacheField>
    <cacheField name="Mentee Cost Centre" numFmtId="0">
      <sharedItems containsBlank="1"/>
    </cacheField>
    <cacheField name="Mentee Job Title" numFmtId="0">
      <sharedItems containsBlank="1"/>
    </cacheField>
    <cacheField name="Mentee Tenure" numFmtId="0">
      <sharedItems/>
    </cacheField>
    <cacheField name="Mentee Job Family Group" numFmtId="0">
      <sharedItems containsBlank="1"/>
    </cacheField>
    <cacheField name="Mentorship Events" numFmtId="0">
      <sharedItems/>
    </cacheField>
    <cacheField name="Start Date" numFmtId="14">
      <sharedItems containsSemiMixedTypes="0" containsNonDate="0" containsDate="1" containsString="0" minDate="2004-02-05T00:00:00" maxDate="2026-06-26T00:00:00"/>
    </cacheField>
    <cacheField name="End Date" numFmtId="14">
      <sharedItems containsNonDate="0" containsDate="1" containsString="0" containsBlank="1" minDate="2004-06-30T00:00:00" maxDate="2031-02-01T00:00:00"/>
    </cacheField>
    <cacheField name="Close Mentorship Reason" numFmtId="0">
      <sharedItems containsBlank="1"/>
    </cacheField>
  </cacheFields>
  <extLst>
    <ext xmlns:x14="http://schemas.microsoft.com/office/spreadsheetml/2009/9/main" uri="{725AE2AE-9491-48be-B2B4-4EB974FC3084}">
      <x14:pivotCacheDefinition pivotCacheId="199797952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uthelezi, Noluthando" refreshedDate="46071.405730787039" createdVersion="8" refreshedVersion="8" minRefreshableVersion="3" recordCount="162" xr:uid="{A4564C3A-B7DF-4460-98AF-B08B0B4166F7}">
  <cacheSource type="worksheet">
    <worksheetSource name="Table1" r:id="rId2"/>
  </cacheSource>
  <cacheFields count="4">
    <cacheField name="Mentor" numFmtId="0">
      <sharedItems count="65">
        <s v="Aceng Akii "/>
        <s v="Aceng Akii"/>
        <s v="Andisa Mashimbye "/>
        <s v="Andisa Mashimbye"/>
        <s v="Atiyya Hoosain"/>
        <s v="Caleb Sindi"/>
        <s v="Costa Hagios"/>
        <s v="Costa Muthai"/>
        <s v="Fortune Mabele"/>
        <s v="Georgia Wensley"/>
        <s v="Gudani Khuswana"/>
        <s v="Hilde M. Shimpanda"/>
        <s v="Isaac Chauque"/>
        <s v="Jackson Ngwabi"/>
        <s v="Julia Ndjene"/>
        <s v="Kabelo Masekela"/>
        <s v="Kaylyn Karuppen"/>
        <s v="Lehlogonolo Mbiza"/>
        <s v="Liso Tabata"/>
        <s v="Luleka Khumalo"/>
        <s v="Madambi Kutama"/>
        <s v="Malamba Lavhengwa"/>
        <s v="Malvin Maposa"/>
        <s v="Manav Bholah"/>
        <s v="Mishe Chitharai"/>
        <s v="Mohau Tlamama"/>
        <s v="Mologadi Chuene"/>
        <s v="Msimisi Dlamini"/>
        <s v="Muaawiyah Dadabhay"/>
        <s v="Mueletshedzi Neswiswa"/>
        <s v="Nathan Ngqwebo"/>
        <s v="Neo Mphuthi"/>
        <s v="Nikail Singh"/>
        <s v="Nikhil Naidoo"/>
        <s v="Njabulo Nsibande"/>
        <s v="Nobuhle Mlahleki"/>
        <s v="Nolu Buthelezi"/>
        <s v="Nozipho Victoria Sidambe"/>
        <s v="Ntsako Rebecca Zondani"/>
        <s v="Ntuthuko Yiga"/>
        <s v="Ofentse Pilane"/>
        <s v="Reitumetse Rabotapi"/>
        <s v="Robert Hindle"/>
        <s v="Rohan Schoeman"/>
        <s v="Ronewa Tshikosi"/>
        <s v="Rudzani Thagwana"/>
        <s v="Sachin Moodley"/>
        <s v="Sandile Mthiyane"/>
        <s v="Savannah Tadden"/>
        <s v="Shamein Makungu Sabeka"/>
        <s v="Sihle Mthembu"/>
        <s v="Sisanda Sibanda"/>
        <s v="Siyabonga Baloyi"/>
        <s v="Sizolwethu Mthombeni"/>
        <s v="Suhail Moosa"/>
        <s v="Talhah Shahzada"/>
        <s v="Tebogo Matome Raphadu"/>
        <s v="Thabo Zwane"/>
        <s v="Tisetso Maseko"/>
        <s v="Tokelo Monare"/>
        <s v="Trent Graham"/>
        <s v="Tsepo Ndimande"/>
        <s v="Veroshan Thaver"/>
        <s v="Zaakirah Omar"/>
        <s v="Zachary Correia"/>
      </sharedItems>
    </cacheField>
    <cacheField name="Mentee" numFmtId="0">
      <sharedItems/>
    </cacheField>
    <cacheField name="Mentor Email address" numFmtId="0">
      <sharedItems/>
    </cacheField>
    <cacheField name="Mentee Email Address"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uthelezi, Noluthando" refreshedDate="46071.708731944447" createdVersion="8" refreshedVersion="8" minRefreshableVersion="3" recordCount="902" xr:uid="{B4D358C2-47F7-44EA-920B-6EAC19421929}">
  <cacheSource type="worksheet">
    <worksheetSource name="Table1" r:id="rId2"/>
  </cacheSource>
  <cacheFields count="15">
    <cacheField name="Employee ID" numFmtId="0">
      <sharedItems/>
    </cacheField>
    <cacheField name="Employee" numFmtId="0">
      <sharedItems containsBlank="1" count="902">
        <s v="Gerald Maunda"/>
        <s v="Bonolo Molebatsi"/>
        <s v="Otisitswe Faith Rathedi"/>
        <s v="Bydon Longwe"/>
        <s v="Caroline Kepaletswe"/>
        <s v="Chapita Mbuzi"/>
        <s v="Wiza Phiri"/>
        <s v="Retselisitsoe Sylvia Khet'semane"/>
        <s v="Borethe Mogwe"/>
        <s v="Gofaone Mokalake"/>
        <s v="Tshepo Sentle"/>
        <s v="Collen Tshebo"/>
        <s v="Mothibi Tangane"/>
        <s v="Chipo Mwenya"/>
        <s v="Phetso Ntsowe"/>
        <s v="Likenkeng Lylian Morojele"/>
        <s v="Neo Thebeng-Phuthego"/>
        <s v="Stephinah Magetse"/>
        <s v="Baile Corrigan"/>
        <s v="Billy Samuel Mwape"/>
        <s v="Jj Jongman"/>
        <s v="Mwamba Musambo"/>
        <s v="Charity Mubitelela"/>
        <s v="Miyoba Moonga"/>
        <s v="Kgosi Modisaeman"/>
        <s v="Mcintire Luke"/>
        <s v="Maleseli Lorraine Chefa"/>
        <s v="Kapumpe Chola"/>
        <s v="Mike Nyimbili"/>
        <s v="Alfred Mwanza"/>
        <s v="Ronald Mvula"/>
        <s v="Palesa Moeng"/>
        <s v="Lesego Nkepe"/>
        <s v="Lydia Oakile"/>
        <s v="Kelebogile Disang"/>
        <s v="Amantle Mphoeng"/>
        <s v="Tekolo Rasenyai"/>
        <s v="Linda Nengwenani"/>
        <s v="Sachin Arjun"/>
        <s v="Yvonne September"/>
        <s v="Poloko Makhosane"/>
        <s v="Marilaine de Lange"/>
        <s v="Renusha Moodley"/>
        <s v="Wayne Fick"/>
        <s v="Venothan Padayachee"/>
        <s v="Pinkie Ngcobo"/>
        <s v="Zunairah Ismail"/>
        <s v="Johan Terblanche"/>
        <s v="Diran Gajoo"/>
        <s v="Violet Mayeza"/>
        <s v="Thami Simelani"/>
        <s v="Sibo Buthelezi"/>
        <s v="Gail Jacobs"/>
        <s v="Tsholofelo Rakumakoe"/>
        <s v="Monique Swart"/>
        <s v="Vanessa Maharaj"/>
        <s v="Carrie Anne Feldman"/>
        <s v="Willem Richard"/>
        <s v="Malebo Phahlamohlaka"/>
        <s v="Thuli Nkosi"/>
        <s v="Pontsho Njoro"/>
        <s v="Puleng Montseng"/>
        <s v="Themba Twala"/>
        <s v="Wesley Pretorius"/>
        <s v="Vutlhari Sithole"/>
        <s v="Natasha Naidoo"/>
        <s v="Ashwin Gobind"/>
        <s v="Caiphus Nyuswa"/>
        <s v="Jason Nader"/>
        <s v="Reginald Mothubakgang"/>
        <s v="Liza Jacobs"/>
        <s v="Olerato Chimole"/>
        <s v="Mercia Fox-Fisher"/>
        <s v="Dwan Steyn"/>
        <s v="Dumisani Ntanzi"/>
        <s v="Karin Hough"/>
        <s v="Aina Ipinge"/>
        <s v="Kamo Ramagaga"/>
        <s v="Lindokuhle Mkhwanazi"/>
        <s v="Mapule Mahlangu"/>
        <s v="Shane French"/>
        <s v="Yvonne Murray"/>
        <s v="Rehana Shaik"/>
        <s v="Magdel Swarts"/>
        <s v="Shane Chetty"/>
        <s v="Marlene Henniker-Gotley"/>
        <s v="John Pieters"/>
        <s v="Adnaan Rayned"/>
        <s v="Fajria Hartley"/>
        <s v="Michelle Naidoo"/>
        <s v="Rohini Govender"/>
        <s v="Brendon Smith"/>
        <s v="Patrick Motshweni"/>
        <s v="Nivesh Jivan"/>
        <s v="Jan Botha"/>
        <s v="Vuyelwa Sibutha"/>
        <s v="Neo Sikosana"/>
        <s v="Job Mpati"/>
        <s v="Tarin Petersen"/>
        <s v="Mandla Lekhuwana"/>
        <s v="Ray Geldenhuys"/>
        <s v="Khula Olifant"/>
        <s v="Solomon Mzinyane"/>
        <s v="Lizzy Mathaba"/>
        <s v="Goitsemodimo Melesi"/>
        <s v="Phuti Ramolobeng"/>
        <s v="Crystal Brown"/>
        <s v="Eni Tsamago"/>
        <s v="Raymond Tyler"/>
        <s v="Tinyiko Ndlovu"/>
        <s v="Nomvula Luphoko"/>
        <s v="Verona Singh"/>
        <s v="Reshmee Pillay"/>
        <s v="Neal Sokay"/>
        <s v="Grant Pentelow"/>
        <s v="Dash Naidoo"/>
        <s v="John Cronje"/>
        <s v="Nhlanhla Ngcobo"/>
        <s v="Lefu Mofonedi"/>
        <s v="Llewellyn Phillips"/>
        <s v="Michael Honeywell"/>
        <s v="Liesel Hollis"/>
        <s v="Catharina Harmse"/>
        <s v="Christine Kennedy"/>
        <s v="Natasha Parbhoo"/>
        <s v="Delaine Masher"/>
        <s v="Melody Hermanus"/>
        <s v="Carla Luies"/>
        <s v="Vincent Govender"/>
        <s v="Charles Thulani Nkosi"/>
        <s v="Nicholas Litton"/>
        <s v="Malesela Matlaila"/>
        <s v="Melanie Naidu"/>
        <s v="Mohammed Adam"/>
        <s v="Sue-Lynn Sheldon"/>
        <s v="Yoricke Esterhuyse"/>
        <s v="Allen Pillay"/>
        <s v="Kashilla Singh"/>
        <s v="Carol Smit"/>
        <s v="Marli Basson"/>
        <s v="Grant Jansen"/>
        <s v="Vaneshree Moodley"/>
        <s v="Fazia Parker"/>
        <s v="Gavin Tarr"/>
        <s v="Zaeem Motara"/>
        <s v="Nelien Dippenaar"/>
        <s v="Himal Parbhoo"/>
        <s v="Bongi Tshabangu"/>
        <s v="Mellisa Van Staden"/>
        <s v="Avashni Singh"/>
        <s v="Debbie De Beer"/>
        <s v="Nicole Pillay Druion"/>
        <s v="Eddie Roodt"/>
        <s v="Mervyn Moodley"/>
        <s v="Johan Steyn"/>
        <s v="Vekesh Dukhi"/>
        <s v="Mabuke Malebana"/>
        <s v="Anthea Moodalay"/>
        <s v="Sunil Sing"/>
        <s v="Yeonitta Heath"/>
        <s v="Gcina Mnyandu"/>
        <s v="Yvette Jacobsz"/>
        <s v="Nicole De Kock"/>
        <s v="Nicolene De Beer"/>
        <s v="Paul Hazelton"/>
        <s v="Kehiloe Makhele"/>
        <s v="Ebrahim Omar"/>
        <s v="Mmaditsienyane Komako"/>
        <s v="Chantelle Meyer"/>
        <s v="Portia Titus"/>
        <s v="Bomikazi Sekoala"/>
        <s v="Richard Pinto"/>
        <s v="Gabby Moodley"/>
        <s v="Dima Thaba"/>
        <s v="Vuyokazi Rozani"/>
        <s v="Mathapelo Malema"/>
        <s v="Suvina Pillay"/>
        <s v="Sipho Khumalo"/>
        <s v="Boipelo Ndingwan"/>
        <s v="Yasien Allie"/>
        <s v="Lindsay Sullivan"/>
        <s v="Kunny Radile"/>
        <s v="Lee-Anne Holmes"/>
        <s v="Susan Brown"/>
        <s v="Lou-Ann Oosthuizen"/>
        <s v="Rodney Forbes"/>
        <s v="Ilse Smuts"/>
        <s v="Vimal Deonanan"/>
        <s v="Alicia Mcquire"/>
        <s v="Fred Du Plessis"/>
        <s v="Shiraz Mahomed"/>
        <s v="Bontle Mofokeng"/>
        <s v="Dianne Raghunath"/>
        <s v="Michelle Boyd"/>
        <s v="Edmar Topkin"/>
        <s v="Jolene Fisher"/>
        <s v="Debbie Maloney"/>
        <s v="Niresh Moorley"/>
        <s v="Gary Frank"/>
        <s v="Liesel Claase"/>
        <s v="Vanessa Mileham"/>
        <s v="Carlien Scholtz-Snyman"/>
        <s v="Naeem Akoojee"/>
        <s v="Corne Janse Van Rensburg"/>
        <s v="Pfarelo Maudu"/>
        <s v="Stephen Bull"/>
        <s v="Neilan Naicker"/>
        <s v="Hulisani Netshitungulu"/>
        <s v="Terence Mahundla"/>
        <s v="Vusi Khoza"/>
        <s v="Veronica Ntshalintshali"/>
        <s v="Cathrin Pretorius"/>
        <s v="Kishenthren Padayachee"/>
        <s v="Shivesh Govind"/>
        <s v="Simon Makhura"/>
        <s v="Shamil Singh"/>
        <s v="Gladys Nkosi"/>
        <s v="Portia Mashabathakga"/>
        <s v="Ashnee Moodley"/>
        <s v="Lusanda Sombinge"/>
        <s v="Melanie Sacks"/>
        <s v="Poovan Pillay"/>
        <s v="Dorah Mohlopi"/>
        <s v="Wynand Erxleben"/>
        <s v="Xolani Madini"/>
        <s v="Karen Naidoo"/>
        <s v="Ronald Nemutanzhela"/>
        <s v="Gaynore Figeland"/>
        <s v="Sibusiso Ntuli"/>
        <s v="Yamillah Katjirua"/>
        <s v="Leigh-Ann Rossouw"/>
        <s v="Annastasia Williams"/>
        <s v="Nondumiso Motlhala"/>
        <s v="Chantel Pretorius"/>
        <s v="Pieter Smit"/>
        <s v="Mzwandile Mazive"/>
        <s v="Thando Sibiya"/>
        <s v="Mathapelo Mohale"/>
        <s v="Marianne Van Wyk"/>
        <s v="Suraj Rathenpaul"/>
        <s v="Vimalen Naidoo"/>
        <s v="Riaz Shaik"/>
        <s v="Gee Salukazana"/>
        <s v="Sonja Putter"/>
        <s v="Itumeleng Metsing"/>
        <s v="Martin De Lange"/>
        <s v="Jacqui Calitz"/>
        <s v="Naomi Lekalakala"/>
        <s v="Mmajobo Tsholo"/>
        <s v="Thabani Zungu"/>
        <s v="Thembi Ngobeni"/>
        <s v="Deolin Govender"/>
        <s v="Livhu Phanyane"/>
        <s v="Thabiso Nyawose"/>
        <s v="Jacqui Dower"/>
        <s v="Hannes Kruger"/>
        <s v="Shaheem Khan"/>
        <s v="Nozipho Duma"/>
        <s v="Shalati Ngobeni"/>
        <s v="Thanyani Nemutanzhela"/>
        <s v="Charlene Geswind"/>
        <s v="Macdonald Leeuw"/>
        <s v="Gift Magadla"/>
        <s v="Ilyas Patel"/>
        <s v="Ruben Steenkamp"/>
        <s v="Stephen Barnard"/>
        <s v="Roselyn Ngoepe"/>
        <s v="Thuto Chabane"/>
        <s v="Maryke Venter"/>
        <s v="Godfrey Kgoedi"/>
        <s v="David Johnson"/>
        <s v="Thabang Moroa"/>
        <s v="Leon Sharfman"/>
        <s v="Denise Karangwa"/>
        <s v="Zwivhuya Tshitovha"/>
        <s v="Kotane Lekota"/>
        <s v="Dailan Kruger"/>
        <s v="Mary Mudzingwa"/>
        <s v="Samasree Sagadavan"/>
        <s v="Tshidiso Noge"/>
        <s v="Andries Shuping"/>
        <s v="Yoesrie Bloys"/>
        <s v="Carl Rembold"/>
        <s v="Havinash Naidoo"/>
        <s v="Maphelo Mpofu"/>
        <s v="Kgaogelo Dube"/>
        <s v="Ziyaad Jogie"/>
        <s v="Mfundo Mabaso"/>
        <s v="Gladys Mkhobeni"/>
        <s v="Thandi Maciko"/>
        <s v="Lufuno Mulelu"/>
        <s v="Confidence Tsolo"/>
        <s v="Zaakirah Mohideen Paulse"/>
        <s v="Siya Motha"/>
        <s v="Cameron Peel"/>
        <s v="Natasha Nadasen"/>
        <s v="Lekgeto Segola"/>
        <s v="Thariq Benjamin"/>
        <s v="Kimesh Achary"/>
        <s v="Elmine Breedt"/>
        <s v="Shaun Pavaday"/>
        <s v="Cathy Ebrahim"/>
        <s v="Reema Pather"/>
        <s v="Bongani Baloyi"/>
        <s v="Elvis Mokonyama"/>
        <s v="Modise Moeng"/>
        <s v="Mogorosi Ramatlhodi"/>
        <s v="Keshlin Naicker"/>
        <s v="Jermaine Varnicker"/>
        <s v="Yure Haripersad"/>
        <s v="Sizwe Hlatshwayo"/>
        <s v="Dapheny Rakometsi"/>
        <s v="Awelani Mafune"/>
        <s v="Nonhlanhla Mabela"/>
        <s v="Smangele Majola"/>
        <s v="Feroze Saloojee"/>
        <s v="Julianah Chikamba"/>
        <s v="Zanele Phiri"/>
        <s v="Nosi Mthembu"/>
        <s v="Patricia Temba"/>
        <s v="Zaheer Moosa"/>
        <s v="Lerato Mda"/>
        <s v="Shirley Mkhatshwa"/>
        <s v="Kopano Malapela"/>
        <s v="Louise Labuschagne"/>
        <s v="Mpumie Twala"/>
        <s v="Jaco Van Tonder"/>
        <s v="Frank Dhlamini"/>
        <s v="Aileen Spanier-Marson"/>
        <s v="Yudhvir Seetharam"/>
        <s v="Willem-Dirk Van'T Zand"/>
        <s v="Lerato Moloja"/>
        <s v="Raeesa Mohamed"/>
        <s v="Farhana Miller"/>
        <s v="Vukile Sikhakhane"/>
        <s v="Vusi Mabuza"/>
        <s v="Sabata Chomane"/>
        <s v="Hlamalani Mashaba"/>
        <s v="Kesh Pather"/>
        <s v="Thifhelimbilu Netshivhulana"/>
        <s v="Krishen Rangappa"/>
        <s v="Celest Eilers"/>
        <s v="Christopher Pillay"/>
        <s v="Aneshree Pather"/>
        <s v="Mante Mothiba"/>
        <s v="Vhuyedzani Makhado"/>
        <s v="Orateng Moshweunyane"/>
        <s v="Mcguyver Sekgala"/>
        <s v="Suzanne Myburgh"/>
        <s v="Maserame Motheta"/>
        <s v="Duane Ryan"/>
        <s v="Ashok Ravuri"/>
        <s v="Khanyisa Hlazo"/>
        <s v="Nkhensani Risimati"/>
        <s v="Tibane Lebese"/>
        <s v="Lorna Reid"/>
        <s v="Kelly Gilbert"/>
        <s v="Isabel Jacobs"/>
        <s v="Mariska Walkerley"/>
        <s v="Daisy Makoni"/>
        <s v="Matimba Zitha"/>
        <s v="Thuto Masilo"/>
        <s v="Shaun Rampersad"/>
        <s v="Dimpho Thupayakgosi"/>
        <s v="Roshni Morar"/>
        <s v="Willem Van Der Westhuizen"/>
        <s v="Werner Van Oudenhove De St Gery"/>
        <s v="Karel Botes"/>
        <s v="Willy Robinson"/>
        <s v="Meera Khandoo"/>
        <s v="Adriaan Els"/>
        <s v="Terence O'Neill"/>
        <s v="Colin Struwig"/>
        <s v="Sisinyane Hope Motau"/>
        <s v="Lambrie Van Straaten"/>
        <s v="Wilhelm Pauer"/>
        <s v="Angela Meilhon"/>
        <s v="Richard Foaden"/>
        <s v="Handri Kymdell"/>
        <s v="Rathithi Kolobe"/>
        <s v="Pete Cottrell"/>
        <s v="Naomi Sekgobela"/>
        <s v="Jean Du Plessis"/>
        <s v="Liesha Chanderman"/>
        <s v="Athena Botha"/>
        <s v="Andrew Hudson"/>
        <s v="Sagren Naidoo"/>
        <s v="Radiyya Chotia Reddy"/>
        <s v="Malini Mudaly"/>
        <s v="Gareth Kin"/>
        <s v="Ric Smithwick"/>
        <s v="Themba Mabizela"/>
        <s v="Naeem Motala"/>
        <s v="Shetal Bhoola"/>
        <s v="Kreneshen Moodley"/>
        <s v="Richard Levesque"/>
        <s v="Riana Prins"/>
        <s v="Renel Francis"/>
        <s v="Sulien Naidoo"/>
        <s v="Cheryl Odayar"/>
        <s v="Bongi Dlamini"/>
        <s v="Thyhappiness Kosa"/>
        <s v="Lamla Gege"/>
        <s v="Tandekile Bantubevana"/>
        <s v="J.R. Hume"/>
        <s v="Siphokazi Foli"/>
        <s v="Kevin Hu"/>
        <s v="Thulani Dube"/>
        <s v="Sibongile Ngomani"/>
        <s v="Serisha Naicker"/>
        <s v="Wiann Mans"/>
        <s v="Candice Mesk"/>
        <s v="Abdul Raheem Karim"/>
        <s v="Coenraad Pretorius"/>
        <s v="Cornel Du Toit"/>
        <s v="Jeanette Ledwaba"/>
        <s v="Kgotso Buys"/>
        <s v="Khutso Rasetsana"/>
        <s v="Charl Jansen Van Rensburg"/>
        <s v="Kyle Rajoo"/>
        <s v="Hloni Matang"/>
        <s v="Mduduzi Nxumalo"/>
        <s v="Jacqueline Becker"/>
        <s v="Anthony Pollitt"/>
        <s v="Decklyn Pretorius"/>
        <s v="Veneta Nair"/>
        <s v="Wesley Moffett"/>
        <s v="Palesa Nhlapo"/>
        <s v="Buyisile Maseko"/>
        <s v="Pravesh Sunker"/>
        <s v="Martha Wesi"/>
        <s v="Kribben Govender"/>
        <s v="Thabile Mlungwana"/>
        <s v="Jackie Diack"/>
        <s v="Khomotso Molokwane"/>
        <s v="Adriaan Swanepoel"/>
        <s v="Babalwa Masoka"/>
        <s v="Heidi Coetzee"/>
        <s v="Paseka Simela"/>
        <s v="Linda Cele"/>
        <s v="Tania Finn"/>
        <s v="Elaine Knoetsec"/>
        <s v="Themba Dube"/>
        <s v="Gcebile Nkosi"/>
        <s v="Aslam Khan"/>
        <s v="Nokuphila Nkwanyana"/>
        <s v="Nomvula Mzila"/>
        <s v="Darpana Vallabh"/>
        <s v="Charles Davids"/>
        <s v="Tendani Mphidi"/>
        <s v="Maele Masibi"/>
        <s v="Michelle Potgieter"/>
        <s v="Mpho Mogoba"/>
        <s v="Steven Routledge"/>
        <s v="Bertus Huisman"/>
        <s v="Ulrich Van Wijngaarden"/>
        <s v="Rethabile Tsekedi"/>
        <s v="Serena Gounden"/>
        <s v="Ramadimetja Sebola"/>
        <s v="Bina Rowjee"/>
        <s v="Mduduzi Sirayi"/>
        <s v="Brandon Lottering"/>
        <s v="Grace Mlangeni"/>
        <s v="Gloria Qoza"/>
        <s v="Molai Mothejoa"/>
        <s v="Adrian Tonkin"/>
        <s v="Zanele Seshoka"/>
        <s v="Eugene Siyabonga Ntokozo Mbele"/>
        <s v="Michelle Padayachee"/>
        <s v="Craig Fortuin"/>
        <s v="Michael Mabusela"/>
        <s v="Shailesh Pillay"/>
        <s v="Angela Bloem"/>
        <s v="Morne Van Der Walt"/>
        <s v="Busiso Hlatshwayo"/>
        <s v="Freddie Muller"/>
        <s v="Mitchell Ncube"/>
        <s v="Tokollo Matsapola"/>
        <s v="Jaco Loots"/>
        <s v="Caryn Bell"/>
        <s v="Phemelo Masilo"/>
        <s v="Mandisa Ndlovu"/>
        <s v="Harold Tiyisela Badjie"/>
        <s v="Malungelo Zwane"/>
        <s v="Thenjelwa Mesatywa"/>
        <s v="Constance Baloyi"/>
        <s v="Sandile Phillip"/>
        <s v="Kholofelo Napo"/>
        <s v="Zaheer Ismail"/>
        <s v="Muhammad Seedat"/>
        <s v="Edwina Zenani"/>
        <s v="Conroy Williams"/>
        <s v="Zizi Sohuma"/>
        <s v="Mmamodise Tiro"/>
        <s v="Nirvana Ramboth"/>
        <s v="Kayle Rechter"/>
        <s v="Enoch Ndlovu"/>
        <s v="Nicole Van Der Merwe"/>
        <s v="Elrico Goliath"/>
        <s v="Thabo Matukane-Mnisi"/>
        <s v="Stephan Hattingh"/>
        <s v="Gao Ngakantsi"/>
        <s v="Bokamoso Lebaka"/>
        <s v="Tshepiso Mngomezulu"/>
        <s v="Innocentia Moeketsi"/>
        <s v="Bradley Shodries"/>
        <s v="Tracy Farndell"/>
        <s v="Thapelo Sekanka"/>
        <s v="Mary Mwale"/>
        <s v="Theho Paul"/>
        <s v="Lethu Nala"/>
        <s v="Candice Khan"/>
        <s v="Charles Chapman"/>
        <s v="Lynette Diedericks"/>
        <s v="Rafael Martinez De La Iglesia"/>
        <s v="Lifa Masindane"/>
        <s v="Marcia De Menezes"/>
        <s v="Sk Nene"/>
        <s v="Lucille Abrams"/>
        <s v="Faith Sibiya"/>
        <s v="Nomthandazo Sibiya"/>
        <s v="Ouma Aphane"/>
        <s v="Mr Tshililo Tharini"/>
        <s v="Markus Prince"/>
        <s v="Maya Samlal"/>
        <s v="Khethiwe Khoza"/>
        <s v="Ndiyafhi Mphephu"/>
        <s v="Bruce Ncube"/>
        <s v="Sumayyah Suliman"/>
        <s v="Lwazi Madonsela"/>
        <s v="Fhumulani Mudau"/>
        <s v="Samantha Mntungwa"/>
        <s v="Meghan Mitchell"/>
        <s v="Ezelle Wolmarans"/>
        <s v="Mulalo Kutame"/>
        <s v="Shivash Jughdaw"/>
        <s v="Allen Chapingidza"/>
        <s v="Mark Miller"/>
        <s v="Dirk Kotze"/>
        <s v="Fridah Maake-Gumede"/>
        <s v="Sdumisile Mbambo"/>
        <s v="Brett Kruger"/>
        <s v="Kebaokeditse Ramolotsa"/>
        <s v="Jonathan Hayes"/>
        <s v="Mberii Kamahene"/>
        <s v="Philip Schutte"/>
        <s v="Karabo Makgala"/>
        <s v="Trevian Peter"/>
        <s v="Reshma Somaroo"/>
        <s v="Varsha Lutchman"/>
        <s v="Thiroshan Naidoo"/>
        <s v="Tshepiso Matabane"/>
        <s v="Sophia Anoar"/>
        <s v="Kobus Ayres"/>
        <s v="Thapelo Modisagae"/>
        <s v="Puculwa Lucwaba"/>
        <s v="Candice Lee Kondominas"/>
        <s v="Bheki Cele"/>
        <s v="Katleho Mokoena"/>
        <s v="Yanga Babana"/>
        <s v="Lenize Lottering"/>
        <s v="Nokwazi Mabaso"/>
        <s v="Amdutt Parthab"/>
        <s v="Marlene Bohmer"/>
        <s v="Xola Ntlangula"/>
        <s v="Tshegofatso Phambami"/>
        <s v="Moreblessing Mupfumira"/>
        <s v="Ashlin Poonan"/>
        <s v="Tumi Mofokeng"/>
        <s v="Nonhlanhla Gumede Moloto"/>
        <s v="Kemsley Grantham"/>
        <s v="Mark Liao"/>
        <s v="Shantal Reddy"/>
        <s v="Kevin Smith"/>
        <s v="Tshepo Leroto"/>
        <s v="Jennifer Crail"/>
        <s v="Tracy Eagles"/>
        <s v="Nevin Narraidu"/>
        <s v="Wouter De Klerk"/>
        <s v="Kim Pitout"/>
        <s v="Molebogeng Mphatoe"/>
        <s v="Pearl Manakana"/>
        <s v="Yasmin Kadwa"/>
        <s v="Lebogang Selepe"/>
        <s v="Itumeleng Kunene"/>
        <s v="Nthabiseng Phetla"/>
        <s v="Sergio De Sousa"/>
        <s v="Tian Bester"/>
        <s v="Pontso Mohlotsane"/>
        <s v="Mzwandile Maawu"/>
        <s v="Mashudu Matsila"/>
        <s v="Lindelwe Mbugua"/>
        <s v="Thandiwe Mkalipi"/>
        <s v="Andani Negota"/>
        <s v="Kavilan Rajagopaul Pillay"/>
        <s v="Korsten Bezuidenhout"/>
        <s v="Thabo Ngubane"/>
        <s v="Mitesh Makan"/>
        <s v="Kuda Mukoki"/>
        <s v="Yuvika Singh"/>
        <s v="Tejal Daya"/>
        <s v="Tanya Weitz"/>
        <s v="Nelisa Shiba"/>
        <s v="Pehrusha Nair"/>
        <s v="Ashley Saffy"/>
        <s v="Lesego Sefolo"/>
        <s v="Kofi Acheampong-Boateng"/>
        <s v="Robyn Potgieter"/>
        <s v="Ookame Maruping"/>
        <s v="Ben Van Der Merwe"/>
        <s v="Thabo Seroto"/>
        <s v="Ozzie Maluleka"/>
        <s v="Vuyiswa Khutswa"/>
        <s v="Lawrence Owen"/>
        <s v="Versalia David"/>
        <s v="Khombisile Dumakude"/>
        <s v="Tshepho Rasemphe"/>
        <s v="Lufuno Raluombe"/>
        <s v="Thembinkosi Mahola"/>
        <s v="Zanele Nyoka"/>
        <s v="Nenad Misic"/>
        <s v="Smangele Cunningham"/>
        <s v="Pratiksha Husrath Bridglall"/>
        <s v="Malose Mashitisho"/>
        <s v="Luke Adriaanse"/>
        <s v="Kearn Parker"/>
        <s v="Vulindlela Pietersen"/>
        <s v="Precious Khechane"/>
        <s v="Namisile Zama"/>
        <s v="Sinazo Ndzawombi"/>
        <s v="Stacy Jeannes"/>
        <s v="Tsami Motaung"/>
        <s v="Tricia Nkopodi"/>
        <s v="Asha Rampershad"/>
        <s v="Chris Goudis"/>
        <s v="Manuel Motabatshindi"/>
        <s v="Desire Molapo"/>
        <s v="Betty Moabelo"/>
        <s v="Jean Welsh"/>
        <s v="Dario Neto"/>
        <s v="Bilqees Higgins"/>
        <s v="Moagi Mokgatlhe"/>
        <s v="Carla Pretorius"/>
        <s v="Maria Madisa"/>
        <s v="Noelle Moore-Nel"/>
        <s v="Bridget Nkhumeleni"/>
        <s v="Dohann Neethling"/>
        <s v="Keren Scheepers"/>
        <s v="Nangula Kauluma"/>
        <s v="Nolu Hlwatika"/>
        <s v="Mawande Ngcai"/>
        <s v="Jurgens Van Rooyen"/>
        <s v="Phelela Ngcongolo"/>
        <s v="Paul Van Tonder"/>
        <s v="Engelberth Djami"/>
        <s v="Ushana Chetty"/>
        <s v="Zakhele Mkhatshwa"/>
        <s v="Precious Tshegofatso Boshielo"/>
        <s v="Mbali Modjela"/>
        <s v="Percival Peterson"/>
        <s v="Tsaone Maseng"/>
        <s v="Santelle Naicker"/>
        <s v="Kumari Padiachy"/>
        <s v="Nicole Dooling"/>
        <s v="Mayuri Ravjee"/>
        <s v="Radeefa Breda"/>
        <s v="Tammy Bolon"/>
        <s v="Frans Qhinebe"/>
        <s v="Motshedisi Makoea"/>
        <s v="Nadira Umraw"/>
        <s v="Andre Olivier"/>
        <s v="Zukisani Dyasi"/>
        <s v="Michelle Girdharilall"/>
        <s v="Leeresha Dehaloo"/>
        <s v="Kevin Myers"/>
        <s v="Alcinda Moezelaar"/>
        <s v="Sifiso Nkosi"/>
        <s v="Denis Nhatumbo"/>
        <s v="Banele Kumalo"/>
        <s v="Anele Mkhize"/>
        <s v="Tshepo Mokoena"/>
        <s v="Shanice Sunderpersadh"/>
        <s v="Darshika Sewraj"/>
        <s v="Thabang Hatane"/>
        <s v="Kellan Govender"/>
        <s v="Melva Bugana"/>
        <s v="Jennifer Dutton"/>
        <s v="Rashida Rawat"/>
        <s v="Geraldine Parker"/>
        <s v="Lihle Nkala"/>
        <s v="Laylaa Mahomed"/>
        <s v="Sudeshni Gounden"/>
        <s v="Annanda Basson"/>
        <s v="Tsholofelo Mathye"/>
        <s v="Siphamandla Mkhwanazi"/>
        <s v="Andries Jordaan"/>
        <s v="Shaun Caromba"/>
        <s v="Nolwazi Ndlovu"/>
        <s v="Cherise Coetzee-stein"/>
        <s v="Fatima Kasoojee"/>
        <s v="Olivia Randriamady"/>
        <s v="Wanda Ndabambi"/>
        <s v="Melissa Delie"/>
        <s v="Tebogo Mashigo"/>
        <s v="Ragel Shivute"/>
        <s v="Gaylene Walters"/>
        <s v="Sihle Kwaaiman"/>
        <s v="Tracy Johnson"/>
        <s v="Bronwin Londt"/>
        <s v="Rialivhuwa Mudau"/>
        <s v="Nomgqibelo Msimango"/>
        <s v="Wesley Francis"/>
        <s v="Majdah Mathews"/>
        <s v="Ruben Smith"/>
        <s v="Asanda Grimis"/>
        <s v="Afreen Kumandan"/>
        <s v="Gavyn Letley"/>
        <s v="Loren Johnson"/>
        <s v="Denver Wayne Daniels"/>
        <s v="Elne Jacobs"/>
        <s v="Hermann Schutzler"/>
        <s v="Amanda Ramba"/>
        <s v="Eptisaam Morris-Norman"/>
        <s v="Megan Petersen"/>
        <s v="Zulyga Patel"/>
        <s v="Masood Titus"/>
        <s v="Rida Lutta"/>
        <s v="Fiona Ssemanda"/>
        <s v="Janine Wray"/>
        <s v="Nicki Hill"/>
        <s v="Methuen Fowkes"/>
        <s v="Zithulele Mjiako"/>
        <s v="Thomas Tonga"/>
        <s v="Umphile Moroe"/>
        <s v="Karabo Mohlala"/>
        <s v="Ridwaan Eshak"/>
        <s v="Thabang Mashilo"/>
        <s v="Arthur Halahala"/>
        <s v="Morena Mohlodi"/>
        <s v="Alison Felix-Lodewyk"/>
        <s v="Herman Moolman"/>
        <s v="Thobeka Zulu"/>
        <s v="Senzo Manzini"/>
        <s v="Tania Peters"/>
        <s v="Mumbi Odame"/>
        <s v="Thabo Mahlaba"/>
        <s v="Sibongile Rakgosi"/>
        <s v="Busang Kgomo"/>
        <s v="Simni Letuka"/>
        <s v="Sam Mekwa"/>
        <s v="Nelly Mvelase"/>
        <s v="Ryan Jacobs"/>
        <s v="Mohammed Sakildien"/>
        <s v="Kholofelo Mogodi"/>
        <s v="Lyndon Collins"/>
        <s v="Sunitha Govender"/>
        <s v="Nosipho Shandu"/>
        <s v="Sibonisile Zulu"/>
        <s v="Bjorn Coetzee"/>
        <s v="Ismaeel Majiet"/>
        <s v="Kelly Ntebe"/>
        <s v="Hussein Khan"/>
        <s v="Warwick Buttress"/>
        <s v="Karabo Modisane"/>
        <s v="Johannah Mohlabeng"/>
        <s v="Sbonelo Masilela"/>
        <s v="Simon Sekokotla"/>
        <s v="Samira Harris"/>
        <s v="Froggy Munga"/>
        <s v="Marcus Manganyi"/>
        <s v="Mpho Masisi"/>
        <s v="Sabelo Ndabazandile"/>
        <s v="Itumeleng Kgoare"/>
        <s v="Tshepiso Mokadi"/>
        <s v="Nabeel Makkan"/>
        <s v="Kelly Chetty"/>
        <s v="Steven Harris"/>
        <s v="Peter Mogodi"/>
        <s v="Mosa Seloane"/>
        <s v="Courtney Lewis"/>
        <s v="Lucius Madithapa"/>
        <s v="Rivan Meyer"/>
        <s v="Mohammed Abdul Hamid"/>
        <s v="Edward Le Roux"/>
        <s v="Amukelani Maetsa"/>
        <s v="Mohummad Sabir Gaffoor"/>
        <s v="Cuthbert (Sedutla) Sekgotodi"/>
        <s v="Helen Mkhize"/>
        <s v="Tsietsi Xaba"/>
        <s v="Jones Mabapa"/>
        <s v="Tswelo Kodisang"/>
        <s v="Dane Pillay"/>
        <s v="Humbulani Colbert Nekhumbe"/>
        <s v="Johannes Scholtz"/>
        <s v="David Manala"/>
        <s v="Nastassja Nydoo"/>
        <s v="Mpho Mokaleng"/>
        <s v="Clara Baby Mbuyisa"/>
        <s v="Sydney Mhlanga"/>
        <s v="Deseree Noxolo Gumede"/>
        <s v="Stephen Mbhele"/>
        <s v="Tams Hari"/>
        <s v="Muhammed Jagot"/>
        <s v="Henry Lesar"/>
        <s v="Zanele Mabelane"/>
        <s v="Kusara Sithole"/>
        <s v="Thaveshni Govender"/>
        <s v="Zaida Cornelissen"/>
        <s v="Sonnyboy Phalane"/>
        <s v="Michelle Ashen"/>
        <s v="Jeanre Vermaak"/>
        <s v="Heman Chhana"/>
        <s v="Celiasha Ramnarain"/>
        <s v="Mongezi Mahlangu"/>
        <s v="Tebatso Raganya"/>
        <s v="Fikile Annie Tshabalala"/>
        <s v="Kevin Jansen"/>
        <s v="Ndivho Ndadza"/>
        <s v="Mill Makanda"/>
        <s v="Aobakwe Kgobokoe"/>
        <s v="Sean Christoph"/>
        <s v="Siyabonga Mthethwa"/>
        <s v="Andani Maluwa"/>
        <s v="Barbara Engle"/>
        <s v="Menzi Skhosana"/>
        <s v="Tebatso Mokgokolo"/>
        <s v="Priya Naicker"/>
        <s v="Nikita Preston"/>
        <s v="Wilma Masilo"/>
        <s v="Thobile Tyiso"/>
        <s v="Phindi Ngcobo"/>
        <s v="Mduduzi Dlamini"/>
        <s v="Stephana Tshehla"/>
        <s v="Shovagne Jooste"/>
        <s v="Theo Ngoma"/>
        <s v="Keith Naicker"/>
        <s v="Thirumala Pillay"/>
        <s v="Luleka Righteous Khumalo"/>
        <s v="Ronewa Errol Maemu Tshikosi"/>
        <s v="Veroshan Thaver"/>
        <s v="Savannah Tadden"/>
        <s v="Tebogo Matome Raphadu"/>
        <s v="Isaac Chauque"/>
        <s v="Sihle Mthembu"/>
        <s v="Shamein Makungu Sabeka"/>
        <s v="Mologadi Francinah Chuene"/>
        <s v="Liso Tabata"/>
        <s v="Muhammad Moosa"/>
        <s v="Sachin Moodley"/>
        <s v="Julia Ndjene"/>
        <s v="Hilde Metumo Shimpanda"/>
        <s v="Kubeshan Padayachy"/>
        <s v="Caleb Sindi"/>
        <s v="Msimisi Dlamini"/>
        <s v="Ntuthuko Yiga"/>
        <s v="Dido Wa Kalonji"/>
        <s v="Trisa Naidu"/>
        <s v="Deshnee Boodhram"/>
        <s v="Rudzani Thagwana"/>
        <s v="Dineo Phala"/>
        <s v="Neo Mphuthi"/>
        <s v="Nikhil Naidoo"/>
        <s v="Georgia Wensley"/>
        <s v="Lerato Makhura"/>
        <s v="Costa Hagios"/>
        <s v="Nobuhle Mlahleki"/>
        <s v="Kaylyn Karuppen"/>
        <s v="Mishé Chitharai"/>
        <s v="Noluthando Buthelezi"/>
        <s v="Costa Muthai"/>
        <s v="Sandile Mthiyane"/>
        <s v="Nikail Singh"/>
        <s v="Rohan Schoeman"/>
        <s v="Malamba Lavhengwa"/>
        <s v="Ofentse Pilane"/>
        <s v="Sisanda Sibanda"/>
        <s v="Njabulo Preysgod Nsibande"/>
        <s v="Tisetso Maseko"/>
        <s v="Manav Bholah"/>
        <s v="Andisa Mashimbye"/>
        <s v="Kabelo Masekela"/>
        <s v="Nathan Ngqwebo"/>
        <s v="Nozipho Victoria Sidambe"/>
        <s v="Thabo Zwane"/>
        <s v="Malvin Maposa"/>
        <s v="Lehlogonolo Phineas Mbiza"/>
        <s v="Aceng Akii"/>
        <s v="Reitumetse Rabotapi"/>
        <s v="Tokelo Monare"/>
        <s v="Ntsako Rebecca Zondani"/>
        <s v="Mohau Tlamama"/>
        <s v="Gudani Khuswana"/>
        <s v="Talhah Shahzada"/>
        <s v="Sizolwethu Mthombeni"/>
        <s v="Trent Graham"/>
        <s v="Margaret Mwewa"/>
        <s v="Zachary Correia"/>
        <s v="Rinesh Bhagvath"/>
        <s v="Daniela Vitale"/>
        <s v="Lerato Tlhako"/>
        <s v="Farieda Mayet"/>
        <m/>
      </sharedItems>
    </cacheField>
    <cacheField name="Available to Mentor" numFmtId="0">
      <sharedItems count="1">
        <s v="Yes"/>
      </sharedItems>
    </cacheField>
    <cacheField name="Mentor Types" numFmtId="0">
      <sharedItems containsBlank="1" count="35">
        <s v="Career Mentor"/>
        <s v="Career Mentor_x000a__x000a_Leadership Mentor"/>
        <s v="Career Mentor_x000a__x000a_Leadership Mentor_x000a__x000a_Technical Mentor_x000a__x000a_Transition Mentor_x000a__x000a_Workplace  Buddy"/>
        <s v="Career Mentor_x000a__x000a_Leadership Mentor_x000a__x000a_Transition Mentor_x000a__x000a_Workplace  Buddy"/>
        <m/>
        <s v="Career Mentor_x000a__x000a_Leadership Mentor_x000a__x000a_Workplace  Buddy"/>
        <s v="Leadership Mentor"/>
        <s v="Career Mentor_x000a__x000a_Leadership Mentor_x000a__x000a_Technical Mentor_x000a__x000a_Workplace  Buddy"/>
        <s v="Career Mentor_x000a__x000a_Technical Mentor"/>
        <s v="Career Mentor_x000a__x000a_Leadership Mentor_x000a__x000a_Transition Mentor"/>
        <s v="Z2-Programme Mentor (HC Managed)"/>
        <s v="Transition Mentor_x000a__x000a_Workplace  Buddy"/>
        <s v="Leadership Mentor_x000a__x000a_Technical Mentor"/>
        <s v="Technical Mentor_x000a__x000a_Workplace  Buddy"/>
        <s v="Career Mentor_x000a__x000a_Leadership Mentor_x000a__x000a_Technical Mentor"/>
        <s v="Technical Mentor"/>
        <s v="Career Mentor_x000a__x000a_Technical Mentor_x000a__x000a_Z2-Programme Mentor (HC Managed)"/>
        <s v="Career Mentor_x000a__x000a_Transition Mentor"/>
        <s v="Career Mentor_x000a__x000a_Workplace  Buddy"/>
        <s v="Leadership Mentor_x000a__x000a_Technical Mentor_x000a__x000a_Workplace  Buddy"/>
        <s v="Workplace  Buddy"/>
        <s v="Career Mentor_x000a__x000a_Leadership Mentor_x000a__x000a_Technical Mentor_x000a__x000a_Transition Mentor_x000a__x000a_Z1-Mentoring Circle Mentor (HC Managed)_x000a__x000a_Z2-Programme Mentor (HC Managed)"/>
        <s v="Career Mentor_x000a__x000a_Leadership Mentor_x000a__x000a_Technical Mentor_x000a__x000a_Transition Mentor"/>
        <s v="Career Mentor_x000a__x000a_Technical Mentor_x000a__x000a_Transition Mentor"/>
        <s v="Leadership Mentor_x000a__x000a_Transition Mentor"/>
        <s v="Career Mentor_x000a__x000a_Transition Mentor_x000a__x000a_Workplace  Buddy"/>
        <s v="Career Mentor_x000a__x000a_Leadership Mentor_x000a__x000a_Technical Mentor_x000a__x000a_Transition Mentor_x000a__x000a_Workplace  Buddy_x000a__x000a_Z2-Programme Mentor (HC Managed)"/>
        <s v="Career Mentor_x000a__x000a_Technical Mentor_x000a__x000a_Workplace  Buddy"/>
        <s v="Career Mentor_x000a__x000a_Technical Mentor_x000a__x000a_Transition Mentor_x000a__x000a_Workplace  Buddy"/>
        <s v="Career Mentor_x000a__x000a_Leadership Mentor_x000a__x000a_Z2-Programme Mentor (HC Managed)"/>
        <s v="Career Mentor_x000a__x000a_Leadership Mentor_x000a__x000a_Technical Mentor_x000a__x000a_Z2-Programme Mentor (HC Managed)"/>
        <s v="Leadership Mentor_x000a__x000a_Transition Mentor_x000a__x000a_Workplace  Buddy"/>
        <s v="Leadership Mentor_x000a__x000a_Transition Mentor_x000a__x000a_Workplace  Buddy_x000a__x000a_Z1-Mentoring Circle Mentor (HC Managed)"/>
        <s v="Technical Mentor_x000a__x000a_Transition Mentor"/>
        <s v="Transition Mentor"/>
      </sharedItems>
    </cacheField>
    <cacheField name="Location Address - Country" numFmtId="0">
      <sharedItems/>
    </cacheField>
    <cacheField name="Franchise" numFmtId="0">
      <sharedItems/>
    </cacheField>
    <cacheField name="Supervisory Organization" numFmtId="0">
      <sharedItems/>
    </cacheField>
    <cacheField name="Cost Center" numFmtId="0">
      <sharedItems/>
    </cacheField>
    <cacheField name="Employee Type" numFmtId="0">
      <sharedItems containsBlank="1"/>
    </cacheField>
    <cacheField name="Job Family Group" numFmtId="0">
      <sharedItems/>
    </cacheField>
    <cacheField name="Job Title" numFmtId="0">
      <sharedItems/>
    </cacheField>
    <cacheField name="Worker's Tenure At Company" numFmtId="0">
      <sharedItems/>
    </cacheField>
    <cacheField name="Age Group" numFmtId="0">
      <sharedItems/>
    </cacheField>
    <cacheField name="Gender (Locale Sensitive)" numFmtId="0">
      <sharedItems/>
    </cacheField>
    <cacheField name="Race/Ethnicity (Locale Sensitive and Country Securable)" numFmtId="0">
      <sharedItems containsBlank="1"/>
    </cacheField>
  </cacheFields>
  <extLst>
    <ext xmlns:x14="http://schemas.microsoft.com/office/spreadsheetml/2009/9/main" uri="{725AE2AE-9491-48be-B2B4-4EB974FC3084}">
      <x14:pivotCacheDefinition pivotCacheId="2197433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87">
  <r>
    <s v="3246388"/>
    <x v="0"/>
    <s v="Develop your team leadership and self-leadership skills_x000a_Train to be an effective leader"/>
    <s v="Leadership Mentor"/>
    <s v="Full Time Employee"/>
    <m/>
    <s v="Female"/>
    <s v="40 - 49"/>
    <s v="FNB Botswana Retail Banking (Boniface Seane)"/>
    <s v="Botswana"/>
    <s v="FNB"/>
    <s v="5010292200 FNB Botswana Channels Head Office"/>
    <s v="Risk Manager"/>
    <s v="16 - 20 Years"/>
    <s v="Operational Risk"/>
    <s v="3509672"/>
    <x v="0"/>
    <s v="Full Time Employee"/>
    <s v="African (Botswana)"/>
    <s v="Female"/>
    <s v="30 - 39"/>
    <s v="FNB Botswana Enterprise Risk Management (Kagiso Patrick)"/>
    <s v="Botswana"/>
    <s v="FNB"/>
    <s v="5010401100 FNB Botswana Mogoditshane Branch"/>
    <s v="Migration Official"/>
    <s v="11 -15 Years"/>
    <s v="Client Experience and Value Management"/>
    <s v="Close Mentorship Event for Banyatsi Seeme with Phetso Ntsowe_x000a__x000a_Create Mentorship Event for Banyatsi Seeme with Phetso Ntsowe_x000a__x000a_Edit Mentorship Event for Banyatsi Seeme with Phetso Ntsowe"/>
    <d v="2023-09-01T00:00:00"/>
    <d v="2024-02-29T00:00:00"/>
    <s v="Mentee Withdrawal - Availability"/>
  </r>
  <r>
    <s v="5495989"/>
    <x v="1"/>
    <m/>
    <s v="Career Mentor"/>
    <s v="Full Time Employee"/>
    <s v="African (Botswana)"/>
    <s v="Female"/>
    <s v="30 - 39"/>
    <s v="FNB Botswana Channels (Mpho Nthutang)"/>
    <s v="Botswana"/>
    <s v="FNB"/>
    <s v="501071600 FNB Botswana Kanye Branch"/>
    <s v="Sales and Service Consultant"/>
    <s v="3 - 5 Years"/>
    <s v="Direct Sales"/>
    <s v="5549248"/>
    <x v="1"/>
    <s v="Full Time Employee"/>
    <s v="African (Botswana)"/>
    <s v="Female"/>
    <s v="30 - 39"/>
    <s v="FNB Botswana Channels (Lorato Mothibi)"/>
    <s v="Botswana"/>
    <s v="FNB"/>
    <s v="5010401300 FNB Botswana Mochudi Branch"/>
    <s v="Migration Official"/>
    <s v="&lt;1 Year"/>
    <s v="Client Experience and Value Management"/>
    <s v="Create Mentorship Event for Boago Thomas with Bonolo Molebatsi"/>
    <d v="2023-07-18T00:00:00"/>
    <m/>
    <m/>
  </r>
  <r>
    <s v="3246388"/>
    <x v="0"/>
    <m/>
    <s v="Career Mentor"/>
    <s v="Full Time Employee"/>
    <m/>
    <s v="Female"/>
    <s v="40 - 49"/>
    <s v="FNB Botswana Retail Banking (Boniface Seane)"/>
    <s v="Botswana"/>
    <s v="FNB"/>
    <s v="5010292200 FNB Botswana Channels Head Office"/>
    <s v="Risk Manager"/>
    <s v="16 - 20 Years"/>
    <s v="Operational Risk"/>
    <s v="5599199"/>
    <x v="2"/>
    <m/>
    <m/>
    <s v="Female"/>
    <s v="20 - 29"/>
    <m/>
    <s v="Botswana"/>
    <m/>
    <m/>
    <m/>
    <s v="&lt;1 Year"/>
    <m/>
    <s v="Close Mentorship Event for Thuto Kofi (Terminated) with Phetso Ntsowe_x000a__x000a_Create Mentorship Event for Thuto Kofi (Terminated) with Phetso Ntsowe_x000a__x000a_Edit Mentorship Event for Thuto Kofi (Terminated) with Phetso Ntsowe"/>
    <d v="2023-08-01T00:00:00"/>
    <d v="2024-02-29T00:00:00"/>
    <s v="Mentee Withdrawal - Availability"/>
  </r>
  <r>
    <s v="3244121"/>
    <x v="2"/>
    <s v="To help the employee in navigating their growth in the organisation as well as exploring various opportunities."/>
    <s v="Career Mentor"/>
    <m/>
    <m/>
    <s v="Female"/>
    <s v="50 - 59"/>
    <m/>
    <s v="Botswana"/>
    <m/>
    <m/>
    <m/>
    <s v="6 - 10 Years"/>
    <m/>
    <s v="5389836"/>
    <x v="3"/>
    <s v="Full Time Employee"/>
    <s v="African (Botswana)"/>
    <s v="Male"/>
    <s v="30 - 39"/>
    <s v="FNB Rand Merchant Bank Botswana (Therisanyo Masuga)"/>
    <s v="Botswana"/>
    <s v="FNB"/>
    <s v="5010168800 FNB Botswana Corporate Segments"/>
    <s v="Product Analyst"/>
    <s v="3 - 5 Years"/>
    <s v="Product Support, Development and Analysis"/>
    <s v="Create Mentorship Event for Kabelo Sekoto with Udah Otukile (Terminated)"/>
    <d v="2022-10-01T00:00:00"/>
    <d v="2023-09-30T00:00:00"/>
    <m/>
  </r>
  <r>
    <s v="5066220"/>
    <x v="3"/>
    <s v="To help ascend to a Managerial role or change portfolio from the current Premier Banker which is overwhelming."/>
    <s v="Career Mentor"/>
    <s v="Full Time Employee"/>
    <s v="African (Botswana)"/>
    <s v="Male"/>
    <s v="40 - 49"/>
    <s v="FNB Botswana Human Capital (Kaone Kopi)"/>
    <s v="Botswana"/>
    <s v="FNB"/>
    <s v="5010152800 FNB Botswana Human Capital"/>
    <s v="Human Capital Business Partner"/>
    <s v="6 - 10 Years"/>
    <s v="Business Human Capital"/>
    <s v="5124387"/>
    <x v="4"/>
    <s v="Full Time Employee"/>
    <m/>
    <s v="Female"/>
    <s v="30 - 39"/>
    <s v="FNB Botswana Premier (Kelebogile Disang)"/>
    <s v="Botswana"/>
    <s v="FNB"/>
    <s v="5010160210 FNB Botswana Retail Smart and Gold Sales"/>
    <s v="Premier Banker"/>
    <s v="6 - 10 Years"/>
    <s v="Client Relationship Management"/>
    <s v="Create Mentorship Event for Pamela Ndlovu with Jj Jongman_x000a__x000a_Edit Mentorship Event for Pamela Ndlovu with Jj Jongman_x000a__x000a_Edit Mentorship Event for Pamela Ndlovu with Jj Jongman"/>
    <d v="2023-01-01T00:00:00"/>
    <d v="2024-12-31T00:00:00"/>
    <m/>
  </r>
  <r>
    <s v="3246388"/>
    <x v="0"/>
    <s v="Career guidance_x000a__x000a_Relationship building and networking._x000a__x000a_Manage a career transition._x000a__x000a_Develop leadership skills."/>
    <s v="Career Mentor"/>
    <s v="Full Time Employee"/>
    <m/>
    <s v="Female"/>
    <s v="40 - 49"/>
    <s v="FNB Botswana Retail Banking (Boniface Seane)"/>
    <s v="Botswana"/>
    <s v="FNB"/>
    <s v="5010292200 FNB Botswana Channels Head Office"/>
    <s v="Risk Manager"/>
    <s v="16 - 20 Years"/>
    <s v="Operational Risk"/>
    <s v="5179564"/>
    <x v="5"/>
    <s v="Full Time Employee"/>
    <m/>
    <s v="Female"/>
    <s v="30 - 39"/>
    <s v="FNB Botswana Channels (Lebelelang Mabeo)"/>
    <s v="Botswana"/>
    <s v="FNB"/>
    <s v="5010164100 FNB Botswana Call Centre"/>
    <s v="Sales Consultant"/>
    <s v="6 - 10 Years"/>
    <s v="Direct Sales"/>
    <s v="Close Mentorship Event for Kefilwe Samson with Phetso Ntsowe_x000a__x000a_Create Mentorship Event for Kefilwe Samson with Phetso Ntsowe_x000a__x000a_Edit Mentorship Event for Kefilwe Samson with Phetso Ntsowe_x000a__x000a_Edit Mentorship Event for Kefilwe Samson with Phetso Ntsowe"/>
    <d v="2023-09-01T00:00:00"/>
    <d v="2024-02-29T00:00:00"/>
    <s v="Mentor Withdrawal - Availability"/>
  </r>
  <r>
    <s v="5495989"/>
    <x v="1"/>
    <s v="To take me the right department"/>
    <s v="Career Mentor"/>
    <s v="Full Time Employee"/>
    <s v="African (Botswana)"/>
    <s v="Female"/>
    <s v="30 - 39"/>
    <s v="FNB Botswana Channels (Mpho Nthutang)"/>
    <s v="Botswana"/>
    <s v="FNB"/>
    <s v="501071600 FNB Botswana Kanye Branch"/>
    <s v="Sales and Service Consultant"/>
    <s v="3 - 5 Years"/>
    <s v="Direct Sales"/>
    <s v="4773829"/>
    <x v="6"/>
    <s v="Full Time Employee"/>
    <m/>
    <s v="Male"/>
    <s v="30 - 39"/>
    <s v="FNB Botswana Channels (Nametsegang Muchina)"/>
    <s v="Botswana"/>
    <s v="FNB"/>
    <s v="501073700 FNB Botswana Broadhurst Branch"/>
    <s v="Teller"/>
    <s v="6 - 10 Years"/>
    <s v="Client Services Support and Delivery"/>
    <s v="Create Mentorship Event for Otlaadisa Mogosane with Bonolo Molebatsi"/>
    <d v="2023-10-06T00:00:00"/>
    <d v="2023-11-30T00:00:00"/>
    <m/>
  </r>
  <r>
    <s v="3246388"/>
    <x v="0"/>
    <m/>
    <s v="Leadership Mentor"/>
    <s v="Full Time Employee"/>
    <m/>
    <s v="Female"/>
    <s v="40 - 49"/>
    <s v="FNB Botswana Retail Banking (Boniface Seane)"/>
    <s v="Botswana"/>
    <s v="FNB"/>
    <s v="5010292200 FNB Botswana Channels Head Office"/>
    <s v="Risk Manager"/>
    <s v="16 - 20 Years"/>
    <s v="Operational Risk"/>
    <s v="2700069"/>
    <x v="7"/>
    <s v="Full Time Employee"/>
    <m/>
    <s v="Female"/>
    <s v="50 - 59"/>
    <s v="FNB Botswana Channels (Rose Selema)"/>
    <s v="Botswana"/>
    <s v="FNB"/>
    <s v="501071400 FNB Botswana Lobatse Branch"/>
    <s v="Teller Coordinator"/>
    <s v="&gt;20 Years"/>
    <s v="Client Services Support and Delivery"/>
    <s v="Close Mentorship Event for Bontle Maeco with Phetso Ntsowe_x000a__x000a_Create Mentorship Event for Bontle Maeco with Phetso Ntsowe_x000a__x000a_Edit Mentorship Event for Bontle Maeco with Phetso Ntsowe"/>
    <d v="2023-09-01T00:00:00"/>
    <d v="2024-02-29T00:00:00"/>
    <s v="Mentee Withdrawal - Availability"/>
  </r>
  <r>
    <s v="3246388"/>
    <x v="0"/>
    <m/>
    <s v="Career Mentor"/>
    <s v="Full Time Employee"/>
    <m/>
    <s v="Female"/>
    <s v="40 - 49"/>
    <s v="FNB Botswana Retail Banking (Boniface Seane)"/>
    <s v="Botswana"/>
    <s v="FNB"/>
    <s v="5010292200 FNB Botswana Channels Head Office"/>
    <s v="Risk Manager"/>
    <s v="16 - 20 Years"/>
    <s v="Operational Risk"/>
    <s v="5042070"/>
    <x v="8"/>
    <s v="Full Time Employee"/>
    <s v="Coloured (Botswana)"/>
    <s v="Female"/>
    <s v="40 - 49"/>
    <s v="FNB Botswana Channels (Fiona Kasese)"/>
    <s v="Botswana"/>
    <s v="FNB"/>
    <s v="5010150200 FNB Botswana Riverwalk Branch"/>
    <s v="Service Consultant"/>
    <s v="6 - 10 Years"/>
    <s v="Client Experience and Value Management"/>
    <s v="Close Mentorship Event for Ivy Letus with Phetso Ntsowe_x000a__x000a_Create Mentorship Event for Ivy Letus with Phetso Ntsowe_x000a__x000a_Edit Mentorship Event for Ivy Letus with Phetso Ntsowe"/>
    <d v="2023-09-01T00:00:00"/>
    <d v="2024-02-29T00:00:00"/>
    <s v="Mentee Withdrawal - Availability"/>
  </r>
  <r>
    <s v="3246388"/>
    <x v="0"/>
    <m/>
    <s v="Transition Mentor"/>
    <s v="Full Time Employee"/>
    <m/>
    <s v="Female"/>
    <s v="40 - 49"/>
    <s v="FNB Botswana Retail Banking (Boniface Seane)"/>
    <s v="Botswana"/>
    <s v="FNB"/>
    <s v="5010292200 FNB Botswana Channels Head Office"/>
    <s v="Risk Manager"/>
    <s v="16 - 20 Years"/>
    <s v="Operational Risk"/>
    <s v="4773829"/>
    <x v="6"/>
    <s v="Full Time Employee"/>
    <m/>
    <s v="Male"/>
    <s v="30 - 39"/>
    <s v="FNB Botswana Channels (Nametsegang Muchina)"/>
    <s v="Botswana"/>
    <s v="FNB"/>
    <s v="501073700 FNB Botswana Broadhurst Branch"/>
    <s v="Teller"/>
    <s v="6 - 10 Years"/>
    <s v="Client Services Support and Delivery"/>
    <s v="Close Mentorship Event for Otlaadisa Mogosane with Phetso Ntsowe_x000a__x000a_Create Mentorship Event for Otlaadisa Mogosane with Phetso Ntsowe"/>
    <d v="2023-10-31T00:00:00"/>
    <d v="2023-11-30T00:00:00"/>
    <s v="Mentee Withdrawal - Availability"/>
  </r>
  <r>
    <s v="3246388"/>
    <x v="0"/>
    <s v="MENTORSHIP"/>
    <s v="Leadership Mentor"/>
    <s v="Full Time Employee"/>
    <m/>
    <s v="Female"/>
    <s v="40 - 49"/>
    <s v="FNB Botswana Retail Banking (Boniface Seane)"/>
    <s v="Botswana"/>
    <s v="FNB"/>
    <s v="5010292200 FNB Botswana Channels Head Office"/>
    <s v="Risk Manager"/>
    <s v="16 - 20 Years"/>
    <s v="Operational Risk"/>
    <s v="3506878"/>
    <x v="9"/>
    <s v="Full Time Employee"/>
    <m/>
    <s v="Female"/>
    <s v="30 - 39"/>
    <s v="FNB Botswana Channels (Mable Motsumi)"/>
    <s v="Botswana"/>
    <s v="FNB"/>
    <s v="5010160300 FNB Botswana Airport Junction"/>
    <s v="Branch Delivery Sales and Service Team Leader"/>
    <s v="16 - 20 Years"/>
    <s v="Direct Sales"/>
    <s v="Close Mentorship Event for Maipelo Daman with Phetso Ntsowe_x000a__x000a_Create Mentorship Event for Maipelo Daman with Phetso Ntsowe"/>
    <d v="2023-09-01T00:00:00"/>
    <d v="2024-02-29T00:00:00"/>
    <s v="Mentee Withdrawal - Availability"/>
  </r>
  <r>
    <s v="3246388"/>
    <x v="0"/>
    <s v="MENTORSHIP"/>
    <s v="Career Mentor"/>
    <s v="Full Time Employee"/>
    <m/>
    <s v="Female"/>
    <s v="40 - 49"/>
    <s v="FNB Botswana Retail Banking (Boniface Seane)"/>
    <s v="Botswana"/>
    <s v="FNB"/>
    <s v="5010292200 FNB Botswana Channels Head Office"/>
    <s v="Risk Manager"/>
    <s v="16 - 20 Years"/>
    <s v="Operational Risk"/>
    <s v="5000181"/>
    <x v="10"/>
    <s v="Full Time Employee"/>
    <s v="African (Botswana)"/>
    <s v="Female"/>
    <s v="40 - 49"/>
    <s v="FNB Botswana Channels (Onneile Mogotsi)"/>
    <s v="Botswana"/>
    <s v="FNB"/>
    <s v="501079200 FNB Botswana Kgale Branch"/>
    <s v="Sales and Service Consultant"/>
    <s v="6 - 10 Years"/>
    <s v="Direct Sales"/>
    <s v="Close Mentorship Event for Maureen Lucas with Phetso Ntsowe_x000a__x000a_Create Mentorship Event for Maureen Lucas with Phetso Ntsowe"/>
    <d v="2023-09-01T00:00:00"/>
    <d v="2024-02-29T00:00:00"/>
    <s v="Mentee Withdrawal - Availability"/>
  </r>
  <r>
    <s v="3246388"/>
    <x v="0"/>
    <m/>
    <s v="Leadership Mentor"/>
    <s v="Full Time Employee"/>
    <m/>
    <s v="Female"/>
    <s v="40 - 49"/>
    <s v="FNB Botswana Retail Banking (Boniface Seane)"/>
    <s v="Botswana"/>
    <s v="FNB"/>
    <s v="5010292200 FNB Botswana Channels Head Office"/>
    <s v="Risk Manager"/>
    <s v="16 - 20 Years"/>
    <s v="Operational Risk"/>
    <s v="3245489"/>
    <x v="11"/>
    <s v="Full Time Employee"/>
    <s v="African (Botswana)"/>
    <s v="Female"/>
    <s v="40 - 49"/>
    <s v="FNB Botswana Premier (Kelebogile Disang)"/>
    <s v="Botswana"/>
    <s v="FNB"/>
    <s v="5010209700 FNB Botswana Premier"/>
    <s v="Premier Banker"/>
    <s v="16 - 20 Years"/>
    <s v="Client Relationship Management"/>
    <s v="Close Mentorship Event for Masego Basupang with Phetso Ntsowe_x000a__x000a_Create Mentorship Event for Masego Basupang with Phetso Ntsowe"/>
    <d v="2023-09-04T00:00:00"/>
    <d v="2024-09-30T00:00:00"/>
    <s v="Mentee Withdrawal - Availability"/>
  </r>
  <r>
    <s v="2815966"/>
    <x v="4"/>
    <s v="Career guidance._x000a_Better integration into a team/business unit._x000a_Deal with diversity and inclusion challenges."/>
    <s v="Career Mentor"/>
    <s v="Full Time Employee"/>
    <m/>
    <s v="Female"/>
    <s v="40 - 49"/>
    <s v="FNB Botswana Wealth (Tshepiso Scheffers)"/>
    <s v="Botswana"/>
    <s v="FNB"/>
    <s v="5010209700 FNB Botswana Premier"/>
    <s v="Senior Premier Manager"/>
    <s v="&gt;20 Years"/>
    <s v="Client Experience and Value Management"/>
    <s v="5598613"/>
    <x v="12"/>
    <s v="Full Time Employee"/>
    <s v="African (Botswana)"/>
    <s v="Female"/>
    <s v="20 - 29"/>
    <s v="FNB Botswana Channels (Lorato Mothibi (Inherited))"/>
    <s v="Botswana"/>
    <s v="FNB"/>
    <s v="5010401300 FNB Botswana Mochudi Branch"/>
    <s v="Sales and Service Consultant"/>
    <s v="&lt;1 Year"/>
    <s v="Direct Sales"/>
    <s v="Create Mentorship Event for Kaone Malete with Kelebogile Disang"/>
    <d v="2023-08-28T00:00:00"/>
    <m/>
    <m/>
  </r>
  <r>
    <s v="3246388"/>
    <x v="0"/>
    <m/>
    <s v="Career Mentor"/>
    <s v="Full Time Employee"/>
    <m/>
    <s v="Female"/>
    <s v="40 - 49"/>
    <s v="FNB Botswana Retail Banking (Boniface Seane)"/>
    <s v="Botswana"/>
    <s v="FNB"/>
    <s v="5010292200 FNB Botswana Channels Head Office"/>
    <s v="Risk Manager"/>
    <s v="16 - 20 Years"/>
    <s v="Operational Risk"/>
    <s v="4972279"/>
    <x v="13"/>
    <m/>
    <m/>
    <s v="Male"/>
    <s v="30 - 39"/>
    <m/>
    <s v="Botswana"/>
    <m/>
    <m/>
    <m/>
    <s v="3 - 5 Years"/>
    <m/>
    <s v="Close Mentorship Event for Prince Mopipi (Terminated) with Phetso Ntsowe_x000a__x000a_Create Mentorship Event for Prince Mopipi (Terminated) with Phetso Ntsowe"/>
    <d v="2023-09-01T00:00:00"/>
    <d v="2024-02-29T00:00:00"/>
    <s v="Mentee Resigned"/>
  </r>
  <r>
    <s v="3246388"/>
    <x v="0"/>
    <m/>
    <s v="Leadership Mentor"/>
    <s v="Full Time Employee"/>
    <m/>
    <s v="Female"/>
    <s v="40 - 49"/>
    <s v="FNB Botswana Retail Banking (Boniface Seane)"/>
    <s v="Botswana"/>
    <s v="FNB"/>
    <s v="5010292200 FNB Botswana Channels Head Office"/>
    <s v="Risk Manager"/>
    <s v="16 - 20 Years"/>
    <s v="Operational Risk"/>
    <s v="3243990"/>
    <x v="14"/>
    <s v="Full Time Employee"/>
    <m/>
    <s v="Female"/>
    <s v="40 - 49"/>
    <s v="FNB Botswana Channels (Kgotso Morei)"/>
    <s v="Botswana"/>
    <s v="FNB"/>
    <s v="5010167100 FNB Botswana Main Branch"/>
    <s v="Multi Skilled Consultant"/>
    <s v="16 - 20 Years"/>
    <s v="Client Experience and Value Management"/>
    <s v="Close Mentorship Event for Gaongalelwe Ikaneng with Phetso Ntsowe_x000a__x000a_Create Mentorship Event for Gaongalelwe Ikaneng with Phetso Ntsowe"/>
    <d v="2023-09-01T00:00:00"/>
    <d v="2024-02-29T00:00:00"/>
    <s v="Mentee Withdrawal - Availability"/>
  </r>
  <r>
    <s v="3246388"/>
    <x v="0"/>
    <m/>
    <s v="Career Mentor"/>
    <s v="Full Time Employee"/>
    <m/>
    <s v="Female"/>
    <s v="40 - 49"/>
    <s v="FNB Botswana Retail Banking (Boniface Seane)"/>
    <s v="Botswana"/>
    <s v="FNB"/>
    <s v="5010292200 FNB Botswana Channels Head Office"/>
    <s v="Risk Manager"/>
    <s v="16 - 20 Years"/>
    <s v="Operational Risk"/>
    <s v="5367891"/>
    <x v="15"/>
    <s v="Full Time Employee"/>
    <m/>
    <s v="Male"/>
    <s v="30 - 39"/>
    <s v="FNB Botswana Channels (Kgomotso Wetshootsile)"/>
    <s v="Botswana"/>
    <s v="FNB"/>
    <s v="5010167100 FNB Botswana Main Branch"/>
    <s v="Sales Consultant"/>
    <s v="3 - 5 Years"/>
    <s v="Direct Sales"/>
    <s v="Close Mentorship Event for Tebogo Sebobi with Phetso Ntsowe_x000a__x000a_Create Mentorship Event for Tebogo Sebobi with Phetso Ntsowe"/>
    <d v="2023-09-01T00:00:00"/>
    <d v="2024-02-29T00:00:00"/>
    <s v="Mentee Withdrawal - Availability"/>
  </r>
  <r>
    <s v="3246388"/>
    <x v="0"/>
    <m/>
    <s v="Leadership Mentor"/>
    <s v="Full Time Employee"/>
    <m/>
    <s v="Female"/>
    <s v="40 - 49"/>
    <s v="FNB Botswana Retail Banking (Boniface Seane)"/>
    <s v="Botswana"/>
    <s v="FNB"/>
    <s v="5010292200 FNB Botswana Channels Head Office"/>
    <s v="Risk Manager"/>
    <s v="16 - 20 Years"/>
    <s v="Operational Risk"/>
    <s v="3505766"/>
    <x v="16"/>
    <s v="Full Time Employee"/>
    <m/>
    <s v="Female"/>
    <s v="40 - 49"/>
    <s v="FNB Botswana Channels (Kgomotso Wetshootsile)"/>
    <s v="Botswana"/>
    <s v="FNB"/>
    <s v="5010167100 FNB Botswana Main Branch"/>
    <s v="Service Consultant"/>
    <s v="16 - 20 Years"/>
    <s v="Client Experience and Value Management"/>
    <s v="Close Mentorship Event for Amongie Kewakae with Phetso Ntsowe_x000a__x000a_Create Mentorship Event for Amongie Kewakae with Phetso Ntsowe"/>
    <d v="2023-09-01T00:00:00"/>
    <d v="2024-02-29T00:00:00"/>
    <s v="Mentee Withdrawal - Availability"/>
  </r>
  <r>
    <s v="3330370"/>
    <x v="5"/>
    <s v="I would like to learn more leadership skills in branches."/>
    <s v="Leadership Mentor"/>
    <s v="Full Time Employee"/>
    <s v="African (Lesotho)"/>
    <s v="Female"/>
    <s v="30 - 39"/>
    <s v="FNB Lesotho (Fusi Sefatsane)"/>
    <s v="Lesotho"/>
    <s v="FNB"/>
    <s v="51800001851 FNB Lesotho Kingway Branch"/>
    <s v="Branch Manager"/>
    <s v="16 - 20 Years"/>
    <s v="Client Experience and Value Management"/>
    <s v="3869865"/>
    <x v="17"/>
    <s v="Full Time Employee"/>
    <s v="African (Lesotho)"/>
    <s v="Female"/>
    <s v="30 - 39"/>
    <s v="FNB Lesotho (Mamahao Andronicah Makhoa)"/>
    <s v="Lesotho"/>
    <s v="FNB"/>
    <s v="51800002929 FNB Lesotho Retail"/>
    <s v="Schemes Coordinator"/>
    <s v="11 -15 Years"/>
    <s v="Direct Sales"/>
    <s v="Create Mentorship Event for Mapule Mosiuoa with Likenkeng Lylian Morojele"/>
    <d v="2023-09-01T00:00:00"/>
    <d v="2024-10-01T00:00:00"/>
    <m/>
  </r>
  <r>
    <s v="4946073"/>
    <x v="6"/>
    <s v="Career guidance_x000a_Broaden organizational knowledge_x000a_Innovation"/>
    <s v="Career Mentor"/>
    <m/>
    <s v="African (Botswana)"/>
    <s v="Male"/>
    <s v="30 - 39"/>
    <m/>
    <s v="Botswana"/>
    <m/>
    <m/>
    <m/>
    <s v="&lt;1 Year"/>
    <m/>
    <s v="5598613"/>
    <x v="12"/>
    <s v="Full Time Employee"/>
    <s v="African (Botswana)"/>
    <s v="Female"/>
    <s v="20 - 29"/>
    <s v="FNB Botswana Channels (Lorato Mothibi (Inherited))"/>
    <s v="Botswana"/>
    <s v="FNB"/>
    <s v="5010401300 FNB Botswana Mochudi Branch"/>
    <s v="Sales and Service Consultant"/>
    <s v="&lt;1 Year"/>
    <s v="Direct Sales"/>
    <s v="Create Mentorship Event for Kaone Malete with Patrick Bontsibokae"/>
    <d v="2023-09-06T00:00:00"/>
    <d v="2023-09-06T00:00:00"/>
    <m/>
  </r>
  <r>
    <s v="4778561"/>
    <x v="7"/>
    <m/>
    <s v="Leadership Mentor"/>
    <s v="Full Time Employee"/>
    <m/>
    <s v="Male"/>
    <s v="30 - 39"/>
    <s v="FNB Zambia Retail Segment (Njavwa Nakapizye)"/>
    <s v="Zambia"/>
    <s v="FNB"/>
    <s v="55300003645 FNB Zambia Kasama Branch"/>
    <s v="Branch Administrator"/>
    <s v="11 -15 Years"/>
    <s v="Administration"/>
    <s v="5173353"/>
    <x v="18"/>
    <s v="Full Time Employee"/>
    <m/>
    <s v="Female"/>
    <s v="30 - 39"/>
    <s v="FNB Zambia Retail Segment (Nancy Simutowe)"/>
    <s v="Zambia"/>
    <s v="FNB"/>
    <s v="55300009278 FNB Zambia Industrial Branch"/>
    <s v="Counter Support Coordinator"/>
    <s v="3 - 5 Years"/>
    <s v="Client Services Support and Delivery"/>
    <s v="Create Mentorship Event for Miyoba Moonga with Mike Nyimbili"/>
    <d v="2023-11-06T00:00:00"/>
    <d v="2023-11-19T00:00:00"/>
    <m/>
  </r>
  <r>
    <s v="3511480"/>
    <x v="8"/>
    <s v="TO LEARN."/>
    <s v="Career Mentor"/>
    <m/>
    <s v="African (Botswana)"/>
    <s v="Male"/>
    <s v="50 - 59"/>
    <m/>
    <s v="Botswana"/>
    <m/>
    <m/>
    <m/>
    <s v="11 -15 Years"/>
    <m/>
    <s v="5595541"/>
    <x v="19"/>
    <s v="Fixed Term Contractor"/>
    <s v="African (Botswana)"/>
    <s v="Female"/>
    <s v="30 - 39"/>
    <s v="FNB Botswana Executive Suite (Onkarabile Kono)"/>
    <s v="Botswana"/>
    <s v="FNB"/>
    <s v="5010160800 FNB Botswana Retail Operations"/>
    <s v="Administration Assistant"/>
    <s v="3 - 5 Years"/>
    <s v="Administration"/>
    <s v="Create Mentorship Event for LILLIAN K EZEKIEL with Kagiso Tlhase (Terminated)"/>
    <d v="2023-01-11T00:00:00"/>
    <d v="2023-01-11T00:00:00"/>
    <m/>
  </r>
  <r>
    <s v="5084725"/>
    <x v="9"/>
    <s v="Transition to Systems Analyst job"/>
    <s v="Career Mentor"/>
    <s v="Full Time Employee"/>
    <s v="African (South Africa)"/>
    <s v="Male"/>
    <s v="30 - 39"/>
    <s v="CDO Kernel Integrations (Rudzani Nemusombori)"/>
    <s v="South Africa"/>
    <s v="FNB"/>
    <s v="79000005315 CDO Kernel Integrations"/>
    <s v="Systems Analyst"/>
    <s v="6 - 10 Years"/>
    <s v="Business/Systems Analysis"/>
    <s v="5309697"/>
    <x v="20"/>
    <s v="Full Time Employee"/>
    <s v="African (South Africa)"/>
    <s v="Male"/>
    <s v="30 - 39"/>
    <s v="FNB Private Banking and Advisory (Kurt Schurbohm)"/>
    <s v="South Africa"/>
    <s v="FNB"/>
    <s v="34100007232 PB&amp;A Service Suite Advisor Engagement"/>
    <s v="Private Service Advisor"/>
    <s v="6 - 10 Years"/>
    <s v="Client Relationship Management"/>
    <s v="Close Mentorship Event for Sifisosakhe Dube with Manuel Motabatshindi_x000a__x000a_Create Mentorship Event for Sifisosakhe Dube with Manuel Motabatshindi"/>
    <d v="2023-01-09T00:00:00"/>
    <d v="2024-05-31T00:00:00"/>
    <s v="Mentoring Needs Fulfilled"/>
  </r>
  <r>
    <s v="7552793"/>
    <x v="10"/>
    <s v="To fast-track career progression._x000a_To improve stakeholder engagement_x000a_To assist in peer coaching and skills transfer._x000a_To align career path and skills training, learning and development."/>
    <s v="Career Mentor"/>
    <s v="Full Time Employee"/>
    <s v="African (South Africa)"/>
    <s v="Female"/>
    <s v="30 - 39"/>
    <s v="CDO Infrastructure and Security Services (Ntswaki Lecage)"/>
    <s v="South Africa"/>
    <s v="FNB"/>
    <s v="20700005266 CDO Infrastructure and Security Services Command Centre"/>
    <s v="Enterprise Systems Manager"/>
    <s v="3 - 5 Years"/>
    <s v="System Design and Administration"/>
    <s v="5238730"/>
    <x v="21"/>
    <m/>
    <s v="African (South Africa)"/>
    <s v="Male"/>
    <s v="30 - 39"/>
    <m/>
    <s v="South Africa"/>
    <m/>
    <m/>
    <m/>
    <s v="3 - 5 Years"/>
    <m/>
    <s v="Create Mentorship Event for Tebogo Moorosi (Terminated) with Theo Ngoma"/>
    <d v="2023-05-01T00:00:00"/>
    <d v="2024-04-30T00:00:00"/>
    <m/>
  </r>
  <r>
    <s v="4942027"/>
    <x v="11"/>
    <s v="Programme duration is 7 months from Aug – Feb 24 (considering Dec/Jan holidays)_x000a_Mentees are expected to meet with their mentors at least once a month._x000a_Also, an additional 1 day “leave no action” a month aimed at job shadowing virtually or face to face._x000a_Mentees are expected to take lead and ensure that sessions are booked on time and alternatives are taken if need be._x000a_Mentees are expected let their managers know of their whereabouts during the period where they would be job shadowing or attending masterclasses_x000a_Kindly sign the NDA and the Agreement attached to the email and send back to me ( Agreement needs your mentor to sign as well so you can get that back to me once you have your introduction session.)_x000a_ _x000a_Please use the Development Plan to keep track of all the activities and learning you will be doing with your mentor."/>
    <s v="Career Mentor"/>
    <s v="Full Time Employee"/>
    <s v="Indian (South Africa)"/>
    <s v="Female"/>
    <s v="40 - 49"/>
    <s v="FNB Retail COO (Tara Cabion)"/>
    <s v="South Africa"/>
    <s v="FNB"/>
    <s v="69000006171 FNB Retail Enterprise Project Management Office"/>
    <s v="Programme Manager"/>
    <s v="6 - 10 Years"/>
    <s v="Programme and Project Management"/>
    <s v="4860098"/>
    <x v="22"/>
    <s v="Full Time Employee"/>
    <s v="Coloured (South Africa)"/>
    <s v="Female"/>
    <s v="30 - 39"/>
    <s v="REMS Real Estate Management Services (Hanifah Khan)"/>
    <s v="South Africa"/>
    <s v="FNB"/>
    <s v="22300008588 REMS Property"/>
    <s v="Property Administrator"/>
    <s v="6 - 10 Years"/>
    <s v="Administration"/>
    <s v="Create Mentorship Event for Stephanie Bezuidenhout with Shantal Reddy"/>
    <d v="2023-08-18T00:00:00"/>
    <d v="2024-02-29T00:00:00"/>
    <m/>
  </r>
  <r>
    <s v="5266106"/>
    <x v="12"/>
    <s v="Career guidance_x000a__x000a_Manage a career transition._x000a__x000a_Better integration into a team/business unit"/>
    <s v="Career Mentor"/>
    <s v="Full Time Employee"/>
    <s v="Coloured (South Africa)"/>
    <s v="Female"/>
    <s v="50 - 59"/>
    <s v="FNB Personal Human Capital (Shalini John)"/>
    <s v="South Africa"/>
    <s v="FNB"/>
    <s v="84900003961 FNB ConnectMe EXCO"/>
    <s v="Human Capital Manager"/>
    <s v="6 - 10 Years"/>
    <s v="Business Human Capital"/>
    <s v="5183855"/>
    <x v="23"/>
    <s v="Full Time Employee"/>
    <s v="African (South Africa)"/>
    <s v="Female"/>
    <s v="20 - 29"/>
    <s v="DirectAxis (Adiela April)"/>
    <s v="South Africa"/>
    <s v="FNB"/>
    <s v="99700015102 DA Solutions Delivery"/>
    <s v="Implementation Manager"/>
    <s v="6 - 10 Years"/>
    <s v="Operations"/>
    <s v="Create Mentorship Event for Chizoba Mkhwanazi with Alison Felix-Lodewyk"/>
    <d v="2023-02-14T00:00:00"/>
    <d v="2024-12-13T00:00:00"/>
    <m/>
  </r>
  <r>
    <s v="2285681"/>
    <x v="13"/>
    <m/>
    <s v="Transition Mentor"/>
    <s v="Full Time Employee"/>
    <s v="White (South Africa)"/>
    <s v="Male"/>
    <s v="50 - 59"/>
    <s v="FNB International SA (Tsholofelo Mosito)"/>
    <s v="South Africa"/>
    <s v="FNB"/>
    <s v="83200009889 FNB International SA Learning and Development"/>
    <s v="Learning Consultant"/>
    <s v="&gt;20 Years"/>
    <s v="Experience Architecting"/>
    <s v="5516307"/>
    <x v="24"/>
    <m/>
    <s v="African (South Africa)"/>
    <s v="Male"/>
    <s v="30 - 39"/>
    <m/>
    <s v="South Africa"/>
    <m/>
    <m/>
    <m/>
    <s v="1 Year"/>
    <m/>
    <s v="Create Mentorship Event for Mahlori Chauke (Terminated) with Eddie Roodt"/>
    <d v="2022-10-21T00:00:00"/>
    <m/>
    <m/>
  </r>
  <r>
    <s v="5467845"/>
    <x v="14"/>
    <m/>
    <s v="Career Mentor"/>
    <m/>
    <s v="African (South Africa)"/>
    <s v="Male"/>
    <s v="30 - 39"/>
    <m/>
    <s v="South Africa"/>
    <m/>
    <m/>
    <m/>
    <s v="2 Years"/>
    <m/>
    <s v="5573874"/>
    <x v="25"/>
    <s v="Full Time Employee"/>
    <s v="African (South Africa)"/>
    <s v="Female"/>
    <s v="30 - 39"/>
    <s v="FNB Private Banking and Advisory (Caswill Koert)"/>
    <s v="South Africa"/>
    <s v="FNB"/>
    <s v="34100007232 PB&amp;A Service Suite Advisor Engagement"/>
    <s v="Private Service Advisor"/>
    <s v="3 - 5 Years"/>
    <s v="Client Relationship Management"/>
    <s v="Create Mentorship Event for Refilwe Leburu with Emmanuel Tsiame (Terminated)"/>
    <d v="2023-05-17T00:00:00"/>
    <m/>
    <m/>
  </r>
  <r>
    <s v="2053527"/>
    <x v="15"/>
    <m/>
    <s v="Career Mentor"/>
    <s v="Full Time Employee"/>
    <s v="Coloured (South Africa)"/>
    <s v="Male"/>
    <s v="50 - 59"/>
    <s v="FNB Commercial Sales Cape (Stephan Claassen)"/>
    <s v="South Africa"/>
    <s v="FNB"/>
    <s v="34300005001 FNB Commercial Growth Cape Head Office"/>
    <s v="Regional Head"/>
    <s v="&gt;20 Years"/>
    <s v="Sales Management"/>
    <s v="5114713"/>
    <x v="26"/>
    <s v="Full Time Employee"/>
    <s v="Indian (South Africa)"/>
    <s v="Male"/>
    <s v="30 - 39"/>
    <s v="FNB Commercial Projects and Operations (Gavilan Barnes)"/>
    <s v="South Africa"/>
    <s v="FNB"/>
    <s v="34200005337 FNB Commercial Security Access Management"/>
    <s v="Information Security Administrator"/>
    <s v="1 Year"/>
    <s v="IT Security"/>
    <s v="Create Mentorship Event for Yusuf Ahmed with Adnaan Rayned"/>
    <d v="2023-12-04T00:00:00"/>
    <m/>
    <m/>
  </r>
  <r>
    <s v="5478960"/>
    <x v="16"/>
    <m/>
    <s v="Career Mentor"/>
    <s v="Full Time Employee"/>
    <s v="Coloured (South Africa)"/>
    <s v="Male"/>
    <s v="40 - 49"/>
    <s v="CDO Kernel Customer IT (Craig Coombs)"/>
    <s v="South Africa"/>
    <s v="FNB"/>
    <s v="79000005746 CDO Kernel CIS"/>
    <s v="Application Development Manager"/>
    <s v="3 - 5 Years"/>
    <s v="IT Development"/>
    <s v="5498783"/>
    <x v="27"/>
    <s v="Full Time Employee"/>
    <s v="Indian (South Africa)"/>
    <s v="Female"/>
    <s v="30 - 39"/>
    <s v="CDO Kernel iNterfaceX (Chris Bolle)"/>
    <s v="South Africa"/>
    <s v="FNB"/>
    <s v="21800001994 CDO Kernel iNterfaceX Tech App and Mobile Dev App"/>
    <s v="Developer"/>
    <s v="3 - 5 Years"/>
    <s v="IT Development"/>
    <s v="Create Mentorship Event for Thaveshni Govender with Henry Lesar"/>
    <d v="2023-03-01T00:00:00"/>
    <m/>
    <m/>
  </r>
  <r>
    <s v="2404028"/>
    <x v="17"/>
    <s v="Growth and guidance"/>
    <s v="Career Mentor"/>
    <s v="Full Time Employee"/>
    <s v="White (South Africa)"/>
    <s v="Female"/>
    <s v="50 - 59"/>
    <s v="FNB Points of Presence (Edmar Topkin)"/>
    <s v="South Africa"/>
    <s v="FNB"/>
    <s v="771027100 FNB POP Branch Delivery Koffiefontein"/>
    <s v="Associate"/>
    <s v="&gt;20 Years"/>
    <s v="Client Relationship Management"/>
    <s v="4793854"/>
    <x v="28"/>
    <m/>
    <s v="African (Lesotho)"/>
    <s v="Male"/>
    <s v="50 - 59"/>
    <m/>
    <s v="Lesotho"/>
    <m/>
    <m/>
    <m/>
    <s v="6 - 10 Years"/>
    <m/>
    <s v="Create Mentorship Event for Makoae _x0009__x0009_ Lawrence Mothibe (Terminated) with Debbie Maloney"/>
    <d v="2023-11-30T00:00:00"/>
    <d v="2024-08-31T00:00:00"/>
    <m/>
  </r>
  <r>
    <s v="2010879"/>
    <x v="18"/>
    <m/>
    <s v="Career Mentor"/>
    <m/>
    <s v="White (South Africa)"/>
    <s v="Male"/>
    <s v="50 - 59"/>
    <m/>
    <s v="South Africa"/>
    <m/>
    <m/>
    <m/>
    <s v="&gt;20 Years"/>
    <m/>
    <s v="2627388"/>
    <x v="29"/>
    <s v="Full Time Employee"/>
    <s v="White (South Africa)"/>
    <s v="Male"/>
    <s v="40 - 49"/>
    <s v="FNB Commercial Sales Gauteng North (Andile Ncoyini)"/>
    <s v="South Africa"/>
    <s v="FNB"/>
    <s v="34200006503 FNB Commercial Sales Gauteng Midrand 10 to 60M"/>
    <s v="Sales Head"/>
    <s v="&gt;20 Years"/>
    <s v="Direct Sales"/>
    <s v="Create Mentorship Event for Fred Du Plessis with Dave Aitken (Terminated)"/>
    <d v="2023-07-01T00:00:00"/>
    <d v="2024-06-30T00:00:00"/>
    <m/>
  </r>
  <r>
    <s v="4610016"/>
    <x v="19"/>
    <s v="Gareth is assisting Ayanda with Career Development"/>
    <s v="Career Mentor"/>
    <s v="Full Time Employee"/>
    <s v="Coloured (South Africa)"/>
    <s v="Male"/>
    <s v="40 - 49"/>
    <s v="FNB Private Segment (Philani Phakamani Potwana)"/>
    <s v="South Africa"/>
    <s v="FNB"/>
    <s v="41200007842 FNB Private Core Banking Exco"/>
    <s v="Product Head"/>
    <s v="16 - 20 Years"/>
    <s v="Product Management"/>
    <s v="5522633"/>
    <x v="30"/>
    <s v="Full Time Employee"/>
    <s v="African (South Africa)"/>
    <s v="Female"/>
    <s v="30 - 39"/>
    <s v="FNB Retail Marketing (Sifiso Mahlangu)"/>
    <s v="South Africa"/>
    <s v="FNB"/>
    <s v="85500006598 FNB Retail Marketing"/>
    <s v="Marketing Portfolio Manager"/>
    <s v="3 - 5 Years"/>
    <s v="Marketing, Advertising and Media (incl. digital)"/>
    <s v="Create Mentorship Event for Ayanda Dubazana with Gareth Kin"/>
    <d v="2023-07-01T00:00:00"/>
    <d v="2024-07-01T00:00:00"/>
    <m/>
  </r>
  <r>
    <s v="4792718"/>
    <x v="20"/>
    <m/>
    <s v="Technical Mentor"/>
    <m/>
    <s v="White (South Africa)"/>
    <s v="Male"/>
    <s v="30 - 39"/>
    <m/>
    <s v="South Africa"/>
    <m/>
    <m/>
    <m/>
    <s v="11 -15 Years"/>
    <m/>
    <s v="4765745"/>
    <x v="31"/>
    <m/>
    <s v="African (South Africa)"/>
    <s v="Male"/>
    <s v="30 - 39"/>
    <m/>
    <s v="South Africa"/>
    <m/>
    <m/>
    <m/>
    <s v="11 -15 Years"/>
    <m/>
    <s v="Create Mentorship Event for Tsholofelo Kgwele (Terminated) with Grant Ravno (Terminated)"/>
    <d v="2023-11-01T00:00:00"/>
    <d v="2024-05-31T00:00:00"/>
    <m/>
  </r>
  <r>
    <s v="3486850"/>
    <x v="21"/>
    <s v="Shahida is looking for exposure in total reward"/>
    <s v="Career Mentor"/>
    <s v="Full Time Employee"/>
    <s v="Indian (South Africa)"/>
    <s v="Male"/>
    <s v="40 - 49"/>
    <s v="Group Human Capital (Zama Lamla)"/>
    <s v="South Africa"/>
    <s v="FirstRand Corporate Centre"/>
    <s v="20200003706 Group Reward"/>
    <s v="Reward Head FCC and Group Shares"/>
    <s v="16 - 20 Years"/>
    <s v="Experience Architecting"/>
    <s v="3614263"/>
    <x v="32"/>
    <s v="Full Time Employee"/>
    <s v="Coloured (South Africa)"/>
    <s v="Female"/>
    <s v="30 - 39"/>
    <s v="FNB Points of Presence (Charlene Calleja)"/>
    <s v="South Africa"/>
    <s v="FNB"/>
    <s v="7710644300 FNB POP HC Operations and Talent Management"/>
    <s v="Operations Manager"/>
    <s v="11 -15 Years"/>
    <s v="Operations"/>
    <s v="Create Mentorship Event for Shahida Begg with Ilyas Patel_x000a__x000a_Edit Mentorship Event for Shahida Begg with Ilyas Patel"/>
    <d v="2023-11-14T00:00:00"/>
    <d v="2024-10-31T00:00:00"/>
    <m/>
  </r>
  <r>
    <s v="3355268"/>
    <x v="22"/>
    <s v="Leadership in Branch programme"/>
    <s v="Leadership Mentor"/>
    <m/>
    <s v="African (South Africa)"/>
    <s v="Male"/>
    <s v="40 - 49"/>
    <m/>
    <s v="South Africa"/>
    <m/>
    <m/>
    <m/>
    <s v="16 - 20 Years"/>
    <m/>
    <s v="4788540"/>
    <x v="33"/>
    <s v="Full Time Employee"/>
    <s v="African (South Africa)"/>
    <s v="Female"/>
    <s v="30 - 39"/>
    <s v="FNB Points of Presence (Abednigo Chauke)"/>
    <s v="South Africa"/>
    <s v="FNB"/>
    <s v="7710693500 FNB POP Branch Delivery Zebediela Plaza"/>
    <s v="Branch Controller"/>
    <s v="11 -15 Years"/>
    <s v="Administration"/>
    <s v="Create Mentorship Event for Kgaugelo Kulube with Josh Minyuku (Terminated)"/>
    <d v="2023-10-10T00:00:00"/>
    <d v="2024-04-30T00:00:00"/>
    <m/>
  </r>
  <r>
    <s v="5235049"/>
    <x v="23"/>
    <s v="The purpose of the mentorship is to Learn about different careers and fields._x000a_Provide guidance and support during difficult times, and in narrowing what to study to archive my career goals. Clarify and narrow down my unique strengths and journey"/>
    <s v="Career Mentor"/>
    <s v="Full Time Employee"/>
    <s v="African (South Africa)"/>
    <s v="Female"/>
    <s v="30 - 39"/>
    <s v="FNB Personal Segment Advisory and Suites (Devesh Naidoo)"/>
    <s v="South Africa"/>
    <s v="FNB"/>
    <s v="97200005382 PSAS Stratco"/>
    <s v="Risk Head"/>
    <s v="6 - 10 Years"/>
    <s v="Operational Risk"/>
    <s v="5246628"/>
    <x v="34"/>
    <s v="Full Time Employee"/>
    <s v="African (South Africa)"/>
    <s v="Female"/>
    <s v="40 - 49"/>
    <s v="FNB Loans (Prolene Louw)"/>
    <s v="South Africa"/>
    <s v="FNB"/>
    <s v="79100003305 FNB Consumer Loans Internal Collections"/>
    <s v="Collections Advisor"/>
    <s v="11 -15 Years"/>
    <s v="Collections and Recoveries"/>
    <s v="Create Mentorship Event for Anelisa Singanzi with Rialivhuwa Mudau"/>
    <d v="2022-02-01T00:00:00"/>
    <d v="2025-06-25T00:00:00"/>
    <m/>
  </r>
  <r>
    <s v="3054829"/>
    <x v="24"/>
    <s v="The 12th of December will mark my first year again since re-joining the Bank. I will identify gaps in Leadership development and enroll where applicable, job shadow and skills development."/>
    <s v="Leadership Mentor"/>
    <s v="Full Time Employee"/>
    <s v="Coloured (South Africa)"/>
    <s v="Female"/>
    <s v="40 - 49"/>
    <s v="FNB Commercial Sales Cape (Philip Poole)"/>
    <s v="South Africa"/>
    <s v="FNB"/>
    <s v="34200009138 FNB Commercial Agriculture Western Cape"/>
    <s v="Relationship Analyst"/>
    <s v="&gt;20 Years"/>
    <s v="Client Relationship Management"/>
    <s v="3054241"/>
    <x v="35"/>
    <s v="Full Time Employee"/>
    <s v="Coloured (South Africa)"/>
    <s v="Female"/>
    <s v="40 - 49"/>
    <s v="FNB Points of Presence (Clinton Barthus)"/>
    <s v="South Africa"/>
    <s v="FNB"/>
    <s v="771038000 FNB POP Branch Delivery Strand"/>
    <s v="Branch Delivery Sales and Service Team Leader"/>
    <s v="3 - 5 Years"/>
    <s v="Direct Sales"/>
    <s v="Create Mentorship Event for Laetitia Kay with Crystal Brown"/>
    <d v="2023-11-17T00:00:00"/>
    <d v="2023-12-31T00:00:00"/>
    <m/>
  </r>
  <r>
    <s v="4873033"/>
    <x v="25"/>
    <m/>
    <s v="Leadership Mentor"/>
    <s v="Full Time Employee"/>
    <m/>
    <s v="Male"/>
    <s v="30 - 39"/>
    <s v="FNB Botswana Business Support WesBank (Goeme Ganetsang)"/>
    <s v="Botswana"/>
    <s v="FNB"/>
    <s v="5010394500 FNB Botswana Business Support"/>
    <s v="Client Portfolio Analyst"/>
    <s v="6 - 10 Years"/>
    <s v="Client Services Support and Delivery"/>
    <s v="5599199"/>
    <x v="2"/>
    <m/>
    <m/>
    <s v="Female"/>
    <s v="20 - 29"/>
    <m/>
    <s v="Botswana"/>
    <m/>
    <m/>
    <m/>
    <s v="&lt;1 Year"/>
    <m/>
    <s v="Create Mentorship Event for Thuto Kofi (Terminated) with Collen Tshebo"/>
    <d v="2023-08-01T00:00:00"/>
    <d v="2024-08-01T00:00:00"/>
    <m/>
  </r>
  <r>
    <s v="4617444"/>
    <x v="26"/>
    <m/>
    <s v="Career Mentor"/>
    <s v="Full Time Employee"/>
    <s v="White (South Africa)"/>
    <s v="Female"/>
    <s v="50 - 59"/>
    <s v="FNB Commercial National Sales and Service (Jurgens Boshoff)"/>
    <s v="South Africa"/>
    <s v="FNB"/>
    <s v="34300007707 FNB Financial Advisory Business Central"/>
    <s v="Financial Advisory Channel Head"/>
    <s v="16 - 20 Years"/>
    <s v="Investor Services"/>
    <s v="5128218"/>
    <x v="36"/>
    <s v="Commission With Fixed Pay"/>
    <s v="White (South Africa)"/>
    <s v="Male"/>
    <s v="40 - 49"/>
    <s v="FNB Commercial National Sales and Service (Riana Prins)"/>
    <s v="South Africa"/>
    <s v="FNB"/>
    <s v="34300004503 FNB Financial Advisory Business Western Cape"/>
    <s v="Business Financial Advisor"/>
    <s v="6 - 10 Years"/>
    <s v="Investor Services"/>
    <s v="Create Mentorship Event for Waldo Visagie with Riana Prins"/>
    <d v="2024-01-01T00:00:00"/>
    <d v="2024-12-31T00:00:00"/>
    <m/>
  </r>
  <r>
    <s v="2746573"/>
    <x v="27"/>
    <m/>
    <s v="Career Mentor"/>
    <s v="Full Time Employee"/>
    <s v="Indian (South Africa)"/>
    <s v="Male"/>
    <s v="40 - 49"/>
    <s v="FNB Private Segment (Sizwe Nxedlana)"/>
    <s v="South Africa"/>
    <s v="FNB"/>
    <s v="85500008551 FNB Retail Exco"/>
    <s v="Chief Executive Officer Cash Investments Retail"/>
    <s v="16 - 20 Years"/>
    <s v="Operations"/>
    <s v="5320763"/>
    <x v="37"/>
    <s v="Full Time Employee"/>
    <s v="Indian (South Africa)"/>
    <s v="Male"/>
    <s v="30 - 39"/>
    <s v="FNB Private Core Banking (Daryl Rajah)"/>
    <s v="South Africa"/>
    <s v="FNB"/>
    <s v="41200003615 FNB Private Core Banking Private Clients"/>
    <s v="Product Portfolio Manager"/>
    <s v="3 - 5 Years"/>
    <s v="Product Management"/>
    <s v="Create Mentorship Event for Balesh Raniga with Himal Parbhoo"/>
    <d v="2023-12-06T00:00:00"/>
    <d v="2024-12-05T00:00:00"/>
    <m/>
  </r>
  <r>
    <s v="3818748"/>
    <x v="28"/>
    <m/>
    <s v="Leadership Mentor"/>
    <s v="Full Time Employee"/>
    <s v="African (South Africa)"/>
    <s v="Male"/>
    <s v="40 - 49"/>
    <s v="FNB Chief Finance Office iFinance (Parmasivan Pillay)"/>
    <s v="South Africa"/>
    <s v="FirstRand Corporate Centre"/>
    <s v="20200011041 FRCC Group Project Management Office"/>
    <s v="Capability Lead"/>
    <s v="11 -15 Years"/>
    <s v="Operations"/>
    <s v="5256984"/>
    <x v="38"/>
    <s v="Full Time Employee"/>
    <s v="African (South Africa)"/>
    <s v="Male"/>
    <s v="30 - 39"/>
    <s v="FNB Chief Risk Office IT (Paul Hazelton)"/>
    <s v="South Africa"/>
    <s v="FNB"/>
    <s v="39400008197 FNB Chief Risk Office IT"/>
    <s v="Small and Medium Enterprise Development Head"/>
    <s v="6 - 10 Years"/>
    <s v="Client Services Support and Delivery"/>
    <s v="Create Mentorship Event for Thomas Tonga with Hlamalani Mashaba"/>
    <d v="2023-11-14T00:00:00"/>
    <m/>
    <m/>
  </r>
  <r>
    <s v="5004608"/>
    <x v="29"/>
    <m/>
    <s v="Leadership Mentor"/>
    <s v="Full Time Employee"/>
    <s v="African (Lesotho)"/>
    <s v="Female"/>
    <s v="30 - 39"/>
    <s v="FNB Lesotho (Daniel Mohau)"/>
    <s v="Lesotho"/>
    <s v="FNB"/>
    <s v="51800001852 FNB Lesotho OPC"/>
    <s v="Team Leader Back Office"/>
    <s v="6 - 10 Years"/>
    <s v="Operations"/>
    <s v="5365732"/>
    <x v="39"/>
    <s v="Full Time Employee"/>
    <m/>
    <s v="Female"/>
    <s v="20 - 29"/>
    <s v="FNB Lesotho (Mamokheseng Mokheseng)"/>
    <s v="Lesotho"/>
    <s v="FNB"/>
    <s v="51800008847 FNBL Finance"/>
    <s v="Procurement Coordinator"/>
    <s v="3 - 5 Years"/>
    <s v="Procurement and Supply Chain Management"/>
    <s v="Close Mentorship Event for Ikaneng Francina Setlhotlelo with Maleseli Lorraine Chefa_x000a__x000a_Create Mentorship Event for Ikaneng Francina Setlhotlelo with Maleseli Lorraine Chefa"/>
    <d v="2023-08-01T00:00:00"/>
    <d v="2024-05-31T00:00:00"/>
    <s v="Mentoring Needs Fulfilled"/>
  </r>
  <r>
    <s v="5087112"/>
    <x v="30"/>
    <s v="I SEEK TO BE TAKEN THROUGH ON THE MERCHANT JOUNEY ON THE FULFILMENT ASPECTS AS I LOOK AT JOINING THE MERCHANT SERVICE TEAM IN THE NEAR FUTURE."/>
    <s v="Technical Mentor"/>
    <s v="Full Time Employee"/>
    <s v="African (South Africa)"/>
    <s v="Female"/>
    <s v="40 - 49"/>
    <s v="FNB Commercial Merchant Services (Netsai Ngidi)"/>
    <s v="South Africa"/>
    <s v="FNB"/>
    <s v="22800004061 FNB Commercial Merchant Services Product and Solutions"/>
    <s v="Industry Manager"/>
    <s v="6 - 10 Years"/>
    <s v="Client Relationship Management"/>
    <s v="4632893"/>
    <x v="40"/>
    <s v="Full Time Employee"/>
    <m/>
    <s v="Male"/>
    <s v="30 - 39"/>
    <s v="FNB Zambia Operations (Mubukwanu Mutiti (Inherited))"/>
    <s v="Zambia"/>
    <s v="FNB"/>
    <s v="55300003086 FNB Zambia Operations"/>
    <s v="Administration Assistant"/>
    <s v="11 -15 Years"/>
    <s v="Administration"/>
    <s v="Create Mentorship Event for Chipande Shisala with Betty Moabelo"/>
    <d v="2024-01-03T00:00:00"/>
    <d v="2024-01-19T00:00:00"/>
    <m/>
  </r>
  <r>
    <s v="7538677"/>
    <x v="31"/>
    <s v="I’m seeing myself as a branch administrator for the bank . I also want to broaden my knowledge and experience in the banking world. My future is in the financial sector and I want to learn more about the banking system and development myself gradually to make a difference in FNB. I believe it is my time to show my skills, knowledge and passion for the brand."/>
    <s v="Career Mentor"/>
    <m/>
    <s v="African (South Africa)"/>
    <s v="Female"/>
    <s v="30 - 39"/>
    <m/>
    <s v="South Africa"/>
    <m/>
    <m/>
    <m/>
    <s v="16 - 20 Years"/>
    <m/>
    <s v="3426416"/>
    <x v="41"/>
    <s v="OBR With Fixed Pay"/>
    <s v="African (South Africa)"/>
    <s v="Male"/>
    <s v="30 - 39"/>
    <s v="FNB Points of Presence (Xolani Nkosi)"/>
    <s v="South Africa"/>
    <s v="FNB"/>
    <s v="7710115300 FNB POP Branch Delivery Village Horizon"/>
    <s v="Branch Advisor FAIS"/>
    <s v="16 - 20 Years"/>
    <s v="Client Services Support and Delivery"/>
    <s v="Close Mentorship Event for Mandla Mathipa with Carol Dlamini (Terminated)_x000a__x000a_Create Mentorship Event for Mandla Mathipa with Carol Dlamini (Terminated)"/>
    <d v="2023-11-27T00:00:00"/>
    <d v="2024-12-30T00:00:00"/>
    <s v="Mentor Withdrawal - Availability"/>
  </r>
  <r>
    <s v="1989413"/>
    <x v="32"/>
    <s v="To improve my leadership skills and groom me for future management positions."/>
    <s v="Leadership Mentor"/>
    <m/>
    <s v="Coloured (South Africa)"/>
    <s v="Female"/>
    <s v="60 - 64"/>
    <m/>
    <s v="South Africa"/>
    <m/>
    <m/>
    <m/>
    <s v="11 -15 Years"/>
    <m/>
    <s v="2475960"/>
    <x v="42"/>
    <s v="Full Time Employee"/>
    <s v="White (South Africa)"/>
    <s v="Female"/>
    <s v="50 - 59"/>
    <s v="FNB Points of Presence (Reece Brown)"/>
    <s v="South Africa"/>
    <s v="FNB"/>
    <s v="771027700 FNB POP Branch Delivery Kuruman"/>
    <s v="Local Market Operations Manager"/>
    <s v="&gt;20 Years"/>
    <s v="Administration"/>
    <s v="Create Mentorship Event for Igna Kirsten with Marlene Van Nel (Terminated)"/>
    <d v="2023-11-28T00:00:00"/>
    <d v="2024-11-28T00:00:00"/>
    <m/>
  </r>
  <r>
    <s v="4878922"/>
    <x v="33"/>
    <m/>
    <s v="Career Mentor"/>
    <s v="Full Time Employee"/>
    <s v="African (South Africa)"/>
    <s v="Female"/>
    <s v="30 - 39"/>
    <s v="FNB Points of Presence (Angela Nathoo)"/>
    <s v="South Africa"/>
    <s v="FNB"/>
    <s v="7710179200 FNB POP Branch Delivery Middelburg Mall"/>
    <s v="Local Market Manager"/>
    <s v="6 - 10 Years"/>
    <s v="Client Relationship Management"/>
    <s v="4912233"/>
    <x v="43"/>
    <s v="OBR With Fixed Pay"/>
    <s v="African (South Africa)"/>
    <s v="Female"/>
    <s v="30 - 39"/>
    <s v="FNB Points of Presence (Linda Sequeira)"/>
    <s v="South Africa"/>
    <s v="FNB"/>
    <s v="771013700 FNB POP Branch Delivery Nigel"/>
    <s v="Branch Advisor FAIS"/>
    <s v="3 - 5 Years"/>
    <s v="Client Services Support and Delivery"/>
    <s v="Create Mentorship Event for Maltilda Sonopo with Fridah Maake-Gumede"/>
    <d v="2023-11-23T00:00:00"/>
    <d v="2024-04-30T00:00:00"/>
    <m/>
  </r>
  <r>
    <s v="4633369"/>
    <x v="34"/>
    <m/>
    <s v="Career Mentor"/>
    <s v="Full Time Employee"/>
    <m/>
    <s v="Female"/>
    <s v="30 - 39"/>
    <s v="FNB Zambia Retail Segment (Jeremiah Namitondo)"/>
    <s v="Zambia"/>
    <s v="FNB"/>
    <s v="55300009179 FNB Zambia Choma Branch"/>
    <s v="Branch Manager"/>
    <s v="11 -15 Years"/>
    <s v="Client Experience and Value Management"/>
    <s v="4931181"/>
    <x v="44"/>
    <s v="Full Time Employee"/>
    <m/>
    <s v="Male"/>
    <s v="30 - 39"/>
    <s v="FNB Zambia Retail Segment (Jason Silwamba)"/>
    <s v="Zambia"/>
    <s v="FNB"/>
    <s v="55300001894 FNB Zambia Kabwe Branch"/>
    <s v="Counter Support Coordinator"/>
    <s v="6 - 10 Years"/>
    <s v="Client Services Support and Delivery"/>
    <s v="Create Mentorship Event for Eugine Hatyoka with Chipo Mwenya"/>
    <d v="2023-11-27T00:00:00"/>
    <d v="2024-12-31T00:00:00"/>
    <m/>
  </r>
  <r>
    <s v="4535286"/>
    <x v="35"/>
    <m/>
    <s v="Transition Mentor"/>
    <s v="Full Time Employee"/>
    <s v="White (South Africa)"/>
    <s v="Female"/>
    <s v="50 - 59"/>
    <s v="FNB Commercial Analytics Insights Data (Patrick Motshweni)"/>
    <s v="South Africa"/>
    <s v="FNB"/>
    <s v="34300005518 FNB Commercial Data Office"/>
    <s v="Information Architect Head"/>
    <s v="11 -15 Years"/>
    <s v="Data Management, Maintenance and Security"/>
    <s v="3678482"/>
    <x v="45"/>
    <s v="Full Time Employee"/>
    <s v="Coloured (South Africa)"/>
    <s v="Male"/>
    <s v="30 - 39"/>
    <s v="FNB Commercial Cash (Andries Vermaak)"/>
    <s v="South Africa"/>
    <s v="FNB"/>
    <s v="25200006132 FNB Commercial IT Application Development Cash"/>
    <s v="Data Analyst"/>
    <s v="11 -15 Years"/>
    <s v="Data Management, Maintenance and Security"/>
    <s v="Create Mentorship Event for Jermaine Varnicker with Athena Botha"/>
    <d v="2022-11-23T00:00:00"/>
    <m/>
    <m/>
  </r>
  <r>
    <s v="2860538"/>
    <x v="36"/>
    <s v="To empower and provide On the job training"/>
    <s v="Leadership Mentor"/>
    <s v="Full Time Employee"/>
    <s v="White (South Africa)"/>
    <s v="Female"/>
    <s v="40 - 49"/>
    <s v="FNB Points of Presence (Hein Hoffman)"/>
    <s v="South Africa"/>
    <s v="FNB"/>
    <s v="771044800 FNB POP Branch Delivery Hyde Park"/>
    <s v="Branch Administrator"/>
    <s v="&gt;20 Years"/>
    <s v="Administration"/>
    <s v="3719138"/>
    <x v="46"/>
    <s v="Full Time Employee"/>
    <s v="African (South Africa)"/>
    <s v="Female"/>
    <s v="30 - 39"/>
    <s v="FNB Points of Presence (Kobus Steenkamp)"/>
    <s v="South Africa"/>
    <s v="FNB"/>
    <s v="771042500 FNB POP Branch Delivery Wepener"/>
    <s v="Associate"/>
    <s v="11 -15 Years"/>
    <s v="Client Relationship Management"/>
    <s v="Create Mentorship Event for Caroline Nkuna with Lou-Ann Oosthuizen"/>
    <d v="2024-01-02T00:00:00"/>
    <d v="2024-11-30T00:00:00"/>
    <m/>
  </r>
  <r>
    <s v="4878922"/>
    <x v="33"/>
    <s v="Leadership"/>
    <s v="Leadership Mentor"/>
    <s v="Full Time Employee"/>
    <s v="African (South Africa)"/>
    <s v="Female"/>
    <s v="30 - 39"/>
    <s v="FNB Points of Presence (Angela Nathoo)"/>
    <s v="South Africa"/>
    <s v="FNB"/>
    <s v="7710179200 FNB POP Branch Delivery Middelburg Mall"/>
    <s v="Local Market Manager"/>
    <s v="6 - 10 Years"/>
    <s v="Client Relationship Management"/>
    <s v="4912233"/>
    <x v="43"/>
    <s v="OBR With Fixed Pay"/>
    <s v="African (South Africa)"/>
    <s v="Female"/>
    <s v="30 - 39"/>
    <s v="FNB Points of Presence (Linda Sequeira)"/>
    <s v="South Africa"/>
    <s v="FNB"/>
    <s v="771013700 FNB POP Branch Delivery Nigel"/>
    <s v="Branch Advisor FAIS"/>
    <s v="3 - 5 Years"/>
    <s v="Client Services Support and Delivery"/>
    <s v="Create Mentorship Event for Maltilda Sonopo with Fridah Maake-Gumede"/>
    <d v="2023-11-23T00:00:00"/>
    <d v="2024-04-30T00:00:00"/>
    <m/>
  </r>
  <r>
    <s v="3384292"/>
    <x v="37"/>
    <m/>
    <s v="Leadership Mentor"/>
    <s v="Full Time Employee"/>
    <s v="Racially disadvantaged (Namibia)"/>
    <s v="Female"/>
    <s v="50 - 59"/>
    <s v="FNB Namibia Limited (Wiann Mans)"/>
    <s v="Namibia"/>
    <s v="FNB"/>
    <s v="302031B9D555 FNB Namibia Human Capital"/>
    <s v="Learning and Development Manager"/>
    <s v="11 -15 Years"/>
    <s v="Experience Architecting"/>
    <s v="3388115"/>
    <x v="47"/>
    <s v="Full Time Employee"/>
    <s v="Racially disadvantaged (Namibia)"/>
    <s v="Female"/>
    <s v="30 - 39"/>
    <s v="FNB Namibia Limited (Margareth Dawid)"/>
    <s v="Namibia"/>
    <s v="FNB"/>
    <s v="302000001454 FNB Namibia Commercial Clusters"/>
    <s v="Relationship Analyst Clusters"/>
    <s v="11 -15 Years"/>
    <s v="Client Relationship Management"/>
    <s v="Create Mentorship Event for Beata Kalola with Annastasia Williams"/>
    <d v="2023-11-22T00:00:00"/>
    <d v="2024-06-30T00:00:00"/>
    <m/>
  </r>
  <r>
    <s v="3377326"/>
    <x v="38"/>
    <s v="as agreed between Yamilla and Prudence, this mentorship is to assist Prudence in developing herself and growing her care"/>
    <s v="Career Mentor"/>
    <s v="Full Time Employee"/>
    <s v="Racially disadvantaged (Namibia)"/>
    <s v="Female"/>
    <s v="50 - 59"/>
    <s v="FNB Namibia Limited (Emmanuel Murwira)"/>
    <s v="Namibia"/>
    <s v="FNB"/>
    <s v="846000004213 Ashburton Investment Managers (Pty) Ltd"/>
    <s v="Compliance Head"/>
    <s v="6 - 10 Years"/>
    <s v="Compliance"/>
    <s v="5071429"/>
    <x v="48"/>
    <m/>
    <s v="African (South Africa)"/>
    <s v="Female"/>
    <s v="20 - 29"/>
    <m/>
    <s v="South Africa"/>
    <m/>
    <m/>
    <m/>
    <s v="6 - 10 Years"/>
    <m/>
    <s v="Create Mentorship Event for Prudence Motha (Terminated) with Yamillah Katjirua"/>
    <d v="2023-11-24T00:00:00"/>
    <d v="2024-11-22T00:00:00"/>
    <m/>
  </r>
  <r>
    <s v="3252396"/>
    <x v="39"/>
    <m/>
    <s v="Career Mentor"/>
    <s v="Full Time Employee"/>
    <s v="Indian (South Africa)"/>
    <s v="Male"/>
    <s v="30 - 39"/>
    <s v="FNB Chief Risk Office Executive (Brandon Olivier)"/>
    <s v="South Africa"/>
    <s v="FNB"/>
    <s v="39400004555 FNB Chief Risk Office Screening Services COO"/>
    <s v="Operations Head"/>
    <s v="11 -15 Years"/>
    <s v="Operations"/>
    <s v="5463130"/>
    <x v="49"/>
    <s v="Full Time Employee"/>
    <s v="Indian (South Africa)"/>
    <s v="Male"/>
    <s v="40 - 49"/>
    <s v="FNB Private Core Banking (Nico Oosthuizen)"/>
    <s v="South Africa"/>
    <s v="FNB"/>
    <s v="41200003546 FNB Private Core Banking Operations Support"/>
    <s v="Business Intelligence Analyst"/>
    <s v="3 - 5 Years"/>
    <s v="Business Intelligence"/>
    <s v="Create Mentorship Event for Nish Chinappa with Diran Gajoo"/>
    <d v="2023-08-01T00:00:00"/>
    <d v="2024-06-30T00:00:00"/>
    <m/>
  </r>
  <r>
    <s v="2627388"/>
    <x v="40"/>
    <s v="To be guided on how to maneuver through the transition of the coporate world to be a better leader and more equiped with skills and knowledge"/>
    <s v="Transition Mentor"/>
    <s v="Full Time Employee"/>
    <s v="White (South Africa)"/>
    <s v="Male"/>
    <s v="40 - 49"/>
    <s v="FNB Commercial Sales Gauteng North (Andile Ncoyini)"/>
    <s v="South Africa"/>
    <s v="FNB"/>
    <s v="34200006503 FNB Commercial Sales Gauteng Midrand 10 to 60M"/>
    <s v="Sales Head"/>
    <s v="&gt;20 Years"/>
    <s v="Direct Sales"/>
    <s v="4856945"/>
    <x v="50"/>
    <s v="OBR With Fixed Pay"/>
    <s v="African (South Africa)"/>
    <s v="Male"/>
    <s v="30 - 39"/>
    <s v="FNB Points of Presence (Innocent Radebe)"/>
    <s v="South Africa"/>
    <s v="FNB"/>
    <s v="7710841400 FNB POP External Sales Local Market"/>
    <s v="External Sales and Service Advisor Lead OBR"/>
    <s v="6 - 10 Years"/>
    <s v="Direct Sales"/>
    <s v="Create Mentorship Event for Lucky Phiri with Fred Du Plessis"/>
    <d v="2024-01-16T00:00:00"/>
    <d v="2024-12-13T00:00:00"/>
    <m/>
  </r>
  <r>
    <s v="3377326"/>
    <x v="38"/>
    <m/>
    <s v="Career Mentor"/>
    <s v="Full Time Employee"/>
    <s v="Racially disadvantaged (Namibia)"/>
    <s v="Female"/>
    <s v="50 - 59"/>
    <s v="FNB Namibia Limited (Emmanuel Murwira)"/>
    <s v="Namibia"/>
    <s v="FNB"/>
    <s v="846000004213 Ashburton Investment Managers (Pty) Ltd"/>
    <s v="Compliance Head"/>
    <s v="6 - 10 Years"/>
    <s v="Compliance"/>
    <s v="4696549"/>
    <x v="51"/>
    <s v="Full Time Employee"/>
    <s v="Racially disadvantaged (Namibia)"/>
    <s v="Female"/>
    <s v="40 - 49"/>
    <s v="FNB Namibia Limited (Sandi Isaacs)"/>
    <s v="Namibia"/>
    <s v="FNB"/>
    <s v="302000006866 FNB Namibia Compliance"/>
    <s v="Financial Crime Operations Manager"/>
    <s v="11 -15 Years"/>
    <s v="Fraud Risk"/>
    <s v="Create Mentorship Event for Fortune Boois-Mafwila with Yamillah Katjirua"/>
    <d v="2024-09-30T00:00:00"/>
    <m/>
    <m/>
  </r>
  <r>
    <s v="3803821"/>
    <x v="41"/>
    <m/>
    <s v="Leadership Mentor"/>
    <s v="Full Time Employee"/>
    <s v="African (South Africa)"/>
    <s v="Male"/>
    <s v="40 - 49"/>
    <s v="FNB Points of Presence (Kobus Steenkamp)"/>
    <s v="South Africa"/>
    <s v="FNB"/>
    <s v="771028000 FNB POP Branch Delivery Ladybrand"/>
    <s v="Associate"/>
    <s v="11 -15 Years"/>
    <s v="Client Relationship Management"/>
    <s v="3716333"/>
    <x v="52"/>
    <s v="OBR With Fixed Pay"/>
    <s v="African (South Africa)"/>
    <s v="Female"/>
    <s v="30 - 39"/>
    <s v="FNB Points of Presence (Lee Ainslie)"/>
    <s v="South Africa"/>
    <s v="FNB"/>
    <s v="771032600 FNB POP Branch Delivery Parys"/>
    <s v="Branch Advisor FAIS"/>
    <s v="6 - 10 Years"/>
    <s v="Client Services Support and Delivery"/>
    <s v="Create Mentorship Event for Mohlekaze Hlubi with Sabata Chomane"/>
    <d v="2024-01-16T00:00:00"/>
    <d v="2024-12-24T00:00:00"/>
    <m/>
  </r>
  <r>
    <s v="7527403"/>
    <x v="42"/>
    <s v="Contract 2024"/>
    <s v="Career Mentor"/>
    <m/>
    <s v="Indian (South Africa)"/>
    <s v="Male"/>
    <s v="30 - 39"/>
    <m/>
    <s v="South Africa"/>
    <m/>
    <m/>
    <m/>
    <s v="11 -15 Years"/>
    <m/>
    <s v="3253759"/>
    <x v="53"/>
    <s v="Full Time Employee"/>
    <s v="Indian (South Africa)"/>
    <s v="Male"/>
    <s v="40 - 49"/>
    <s v="FNB Points of Presence (Musa Vukeya)"/>
    <s v="South Africa"/>
    <s v="FNB"/>
    <s v="7710405800 FNB POP Commercial Collaboration"/>
    <s v="Key Accounts Manager"/>
    <s v="16 - 20 Years"/>
    <s v="Client Relationship Management"/>
    <s v="Create Mentorship Event for Vikash Mahabally with Daren Moodley (Terminated)"/>
    <d v="2023-12-06T00:00:00"/>
    <d v="2023-12-06T00:00:00"/>
    <m/>
  </r>
  <r>
    <s v="3902161"/>
    <x v="43"/>
    <s v="To guide and monitor success."/>
    <s v="Workplace  Buddy"/>
    <s v="Full Time Employee"/>
    <s v="White (South Africa)"/>
    <s v="Female"/>
    <s v="50 - 59"/>
    <s v="FNB Wealth and Investments (Malebo Selepe)"/>
    <s v="South Africa"/>
    <s v="FNB"/>
    <s v="46700006629 FNB WI IT Dev"/>
    <s v="Applications Developer"/>
    <s v="11 -15 Years"/>
    <s v="IT Development"/>
    <s v="4921151"/>
    <x v="54"/>
    <s v="OBR With Fixed Pay"/>
    <s v="African (South Africa)"/>
    <s v="Female"/>
    <s v="30 - 39"/>
    <s v="FNB Points of Presence (Nomfundo Favourite Chili)"/>
    <s v="South Africa"/>
    <s v="FNB"/>
    <s v="771007900 FNB POP Branch Delivery Durban North"/>
    <s v="Branch Advisor FAIS"/>
    <s v="6 - 10 Years"/>
    <s v="Client Services Support and Delivery"/>
    <s v="Create Mentorship Event for Nokwazi Mabaso with Mariska Walkerley"/>
    <d v="2023-11-04T00:00:00"/>
    <m/>
    <m/>
  </r>
  <r>
    <s v="4878922"/>
    <x v="33"/>
    <m/>
    <s v="Career Mentor"/>
    <s v="Full Time Employee"/>
    <s v="African (South Africa)"/>
    <s v="Female"/>
    <s v="30 - 39"/>
    <s v="FNB Points of Presence (Angela Nathoo)"/>
    <s v="South Africa"/>
    <s v="FNB"/>
    <s v="7710179200 FNB POP Branch Delivery Middelburg Mall"/>
    <s v="Local Market Manager"/>
    <s v="6 - 10 Years"/>
    <s v="Client Relationship Management"/>
    <s v="4654641"/>
    <x v="55"/>
    <m/>
    <s v="African (South Africa)"/>
    <s v="Male"/>
    <s v="30 - 39"/>
    <m/>
    <s v="South Africa"/>
    <m/>
    <m/>
    <m/>
    <s v="1 Year"/>
    <m/>
    <s v="Create Mentorship Event for Kgotlelelo Makeke (Terminated) with Fridah Maake-Gumede"/>
    <d v="2024-02-01T00:00:00"/>
    <d v="2024-02-29T00:00:00"/>
    <m/>
  </r>
  <r>
    <s v="4878922"/>
    <x v="33"/>
    <m/>
    <s v="Leadership Mentor"/>
    <s v="Full Time Employee"/>
    <s v="African (South Africa)"/>
    <s v="Female"/>
    <s v="30 - 39"/>
    <s v="FNB Points of Presence (Angela Nathoo)"/>
    <s v="South Africa"/>
    <s v="FNB"/>
    <s v="7710179200 FNB POP Branch Delivery Middelburg Mall"/>
    <s v="Local Market Manager"/>
    <s v="6 - 10 Years"/>
    <s v="Client Relationship Management"/>
    <s v="3837157"/>
    <x v="56"/>
    <s v="OBR With Fixed Pay"/>
    <s v="African (South Africa)"/>
    <s v="Female"/>
    <s v="40 - 49"/>
    <s v="FNB Points of Presence (Reuben Diphoko)"/>
    <s v="South Africa"/>
    <s v="FNB"/>
    <s v="771037200 FNB POP Branch Delivery Standerton"/>
    <s v="Branch Advisor FAIS"/>
    <s v="11 -15 Years"/>
    <s v="Client Services Support and Delivery"/>
    <s v="Create Mentorship Event for Sibongile Dhlamini with Fridah Maake-Gumede"/>
    <d v="2024-02-01T00:00:00"/>
    <d v="2024-05-01T00:00:00"/>
    <m/>
  </r>
  <r>
    <s v="4741617"/>
    <x v="44"/>
    <s v="I wanted a mentor to help me navigate my career as I am new in this corporate world"/>
    <s v="Career Mentor"/>
    <s v="Full Time Employee"/>
    <s v="Indian (South Africa)"/>
    <s v="Female"/>
    <s v="30 - 39"/>
    <s v="FNB Central Finance RMB Technology (Stelios Herodotou)"/>
    <s v="South Africa"/>
    <s v="FNB"/>
    <s v="39400003431 FNB Finance BI"/>
    <s v="Application Development Team Leader"/>
    <s v="11 -15 Years"/>
    <s v="IT Development"/>
    <s v="5605040"/>
    <x v="57"/>
    <s v="Full Time Employee"/>
    <s v="African (South Africa)"/>
    <s v="Female"/>
    <s v="20 - 29"/>
    <s v="FNB Retail CDAO (Jaysha Singh)"/>
    <s v="South Africa"/>
    <s v="FNB"/>
    <s v="34100003373 PB&amp;A BI &amp; Data Analytics"/>
    <s v="Business Intelligence Analyst"/>
    <s v="3 - 5 Years"/>
    <s v="Business Intelligence"/>
    <s v="Close Mentorship Event for Mbali Ohlson with Bina Rowjee_x000a__x000a_Create Mentorship Event for Mbali Ohlson with Bina Rowjee"/>
    <d v="2023-05-01T00:00:00"/>
    <d v="2024-01-08T00:00:00"/>
    <s v="Mentor Withdrawal - Availability"/>
  </r>
  <r>
    <s v="3818748"/>
    <x v="28"/>
    <m/>
    <s v="Leadership Mentor"/>
    <s v="Full Time Employee"/>
    <s v="African (South Africa)"/>
    <s v="Male"/>
    <s v="40 - 49"/>
    <s v="FNB Chief Finance Office iFinance (Parmasivan Pillay)"/>
    <s v="South Africa"/>
    <s v="FirstRand Corporate Centre"/>
    <s v="20200011041 FRCC Group Project Management Office"/>
    <s v="Capability Lead"/>
    <s v="11 -15 Years"/>
    <s v="Operations"/>
    <s v="5455030"/>
    <x v="58"/>
    <m/>
    <s v="African (South Africa)"/>
    <s v="Female"/>
    <s v="30 - 39"/>
    <m/>
    <s v="South Africa"/>
    <m/>
    <m/>
    <m/>
    <s v="2 Years"/>
    <m/>
    <s v="Create Mentorship Event for Mologadi Monakhisi (Terminated) with Hlamalani Mashaba"/>
    <d v="2023-06-01T00:00:00"/>
    <d v="2024-06-01T00:00:00"/>
    <m/>
  </r>
  <r>
    <s v="4805062"/>
    <x v="45"/>
    <m/>
    <s v="Transition Mentor"/>
    <s v="Full Time Employee"/>
    <s v="Indian (South Africa)"/>
    <s v="Male"/>
    <s v="30 - 39"/>
    <s v="Group Human Capital (Dudu Moloko)"/>
    <s v="South Africa"/>
    <s v="FirstRand Corporate Centre"/>
    <s v="20200007954 FRCC People Governance Learning Compliance"/>
    <s v="Leadership Development Specialist"/>
    <s v="11 -15 Years"/>
    <s v="Experience Architecting"/>
    <s v="4528204"/>
    <x v="59"/>
    <m/>
    <s v="Indian (South Africa)"/>
    <s v="Female"/>
    <s v="50 - 59"/>
    <m/>
    <s v="South Africa"/>
    <m/>
    <m/>
    <m/>
    <s v="16 - 20 Years"/>
    <m/>
    <s v="Close Mentorship Event for Yoshini Naidoo (Terminated) with Zaheer Ismail_x000a__x000a_Create Mentorship Event for Yoshini Naidoo (Terminated) with Zaheer Ismail"/>
    <d v="2023-12-07T00:00:00"/>
    <d v="2023-12-21T00:00:00"/>
    <s v="Mentee Withdrawal - Change in Mentoring Needs"/>
  </r>
  <r>
    <s v="7527403"/>
    <x v="42"/>
    <s v="upskilling."/>
    <s v="Career Mentor"/>
    <m/>
    <s v="Indian (South Africa)"/>
    <s v="Male"/>
    <s v="30 - 39"/>
    <m/>
    <s v="South Africa"/>
    <m/>
    <m/>
    <m/>
    <s v="11 -15 Years"/>
    <m/>
    <s v="2421143"/>
    <x v="60"/>
    <s v="Full Time Employee"/>
    <s v="Indian (South Africa)"/>
    <s v="Male"/>
    <s v="50 - 59"/>
    <s v="FNB Points of Presence (Musa Vukeya)"/>
    <s v="South Africa"/>
    <s v="FNB"/>
    <s v="7710405800 FNB POP Commercial Collaboration"/>
    <s v="Key Accounts Manager"/>
    <s v="&gt;20 Years"/>
    <s v="Client Relationship Management"/>
    <s v="Create Mentorship Event for Daya Govender with Daren Moodley (Terminated)"/>
    <d v="2023-12-01T00:00:00"/>
    <d v="2024-04-30T00:00:00"/>
    <m/>
  </r>
  <r>
    <s v="4771281"/>
    <x v="46"/>
    <s v="Career alignment and guidance"/>
    <s v="Transition Mentor"/>
    <s v="Full Time Employee"/>
    <s v="African (South Africa)"/>
    <s v="Female"/>
    <s v="40 - 49"/>
    <s v="FNB Personal Core Banking (Jolandi Jansen Van Vuuren)"/>
    <s v="South Africa"/>
    <s v="FNB"/>
    <s v="28100006605 RCB Risk Management Gauteng"/>
    <s v="Credit Portfolio Management Head"/>
    <s v="11 -15 Years"/>
    <s v="Credit Risk"/>
    <s v="4815793"/>
    <x v="61"/>
    <s v="Full Time Employee"/>
    <s v="African (South Africa)"/>
    <s v="Female"/>
    <s v="30 - 39"/>
    <s v="FNB Personal Segment Advisory and Suites (Nicole Greeves)"/>
    <s v="South Africa"/>
    <s v="FNB"/>
    <s v="97200010975 PSAS Case Management"/>
    <s v="Service and Sales Advisor"/>
    <s v="6 - 10 Years"/>
    <s v="Client Services Support and Delivery"/>
    <s v="Create Mentorship Event for Sandra Mnyoni with Mitchell Ncube"/>
    <d v="2022-10-01T00:00:00"/>
    <d v="2023-10-31T00:00:00"/>
    <m/>
  </r>
  <r>
    <s v="7527403"/>
    <x v="42"/>
    <s v="Overall achievement of Goals and Measures as set out in agreed Points of Presence Staffing Solutions Key Account Manager_x000a__x000a_Overall achievement of Goals and Measures as set out in agreed Points of Presence Staffing Solutions Operations Manager Contract_x000a__x000a_Overall achievement of Goals and Measures as set out in agreed Points of Presence Staffing Solutions Administrator Contract"/>
    <s v="Leadership Mentor"/>
    <m/>
    <s v="Indian (South Africa)"/>
    <s v="Male"/>
    <s v="30 - 39"/>
    <m/>
    <s v="South Africa"/>
    <m/>
    <m/>
    <m/>
    <s v="11 -15 Years"/>
    <m/>
    <s v="3253759"/>
    <x v="53"/>
    <s v="Full Time Employee"/>
    <s v="Indian (South Africa)"/>
    <s v="Male"/>
    <s v="40 - 49"/>
    <s v="FNB Points of Presence (Musa Vukeya)"/>
    <s v="South Africa"/>
    <s v="FNB"/>
    <s v="7710405800 FNB POP Commercial Collaboration"/>
    <s v="Key Accounts Manager"/>
    <s v="16 - 20 Years"/>
    <s v="Client Relationship Management"/>
    <s v="Create Mentorship Event for Vikash Mahabally with Daren Moodley (Terminated)"/>
    <d v="2023-12-06T00:00:00"/>
    <d v="2023-12-06T00:00:00"/>
    <m/>
  </r>
  <r>
    <s v="7527403"/>
    <x v="42"/>
    <s v="Upskilling to gain experience so as to advance further in my career."/>
    <s v="Leadership Mentor"/>
    <m/>
    <s v="Indian (South Africa)"/>
    <s v="Male"/>
    <s v="30 - 39"/>
    <m/>
    <s v="South Africa"/>
    <m/>
    <m/>
    <m/>
    <s v="11 -15 Years"/>
    <m/>
    <s v="2421143"/>
    <x v="60"/>
    <s v="Full Time Employee"/>
    <s v="Indian (South Africa)"/>
    <s v="Male"/>
    <s v="50 - 59"/>
    <s v="FNB Points of Presence (Musa Vukeya)"/>
    <s v="South Africa"/>
    <s v="FNB"/>
    <s v="7710405800 FNB POP Commercial Collaboration"/>
    <s v="Key Accounts Manager"/>
    <s v="&gt;20 Years"/>
    <s v="Client Relationship Management"/>
    <s v="Create Mentorship Event for Daya Govender with Daren Moodley (Terminated)"/>
    <d v="2024-01-23T00:00:00"/>
    <d v="2024-06-28T00:00:00"/>
    <m/>
  </r>
  <r>
    <s v="3472892"/>
    <x v="47"/>
    <s v="Leadership, individual branding, career development"/>
    <s v="Leadership Mentor"/>
    <s v="Full Time Employee"/>
    <s v="African (South Africa)"/>
    <s v="Female"/>
    <s v="40 - 49"/>
    <s v="FNB Broader Africa (Bydon Longwe)"/>
    <s v="South Africa"/>
    <s v="FNB"/>
    <s v="83200009887 FNB International SA Exco"/>
    <s v="Chief Data and Analytics Officer"/>
    <s v="6 - 10 Years"/>
    <s v="Analytics"/>
    <s v="5098858"/>
    <x v="62"/>
    <s v="Full Time Employee"/>
    <s v="White (South Africa)"/>
    <s v="Female"/>
    <s v="30 - 39"/>
    <s v="FNB Dynamic Decisioning Project Delivery (Cindy John)"/>
    <s v="South Africa"/>
    <s v="FNB"/>
    <s v="23900006144 FNB Dynamic Decisioning Project Delivery"/>
    <s v="Project Management Office Portfolio Manager"/>
    <s v="6 - 10 Years"/>
    <s v="Programme and Project Management"/>
    <s v="Close Mentorship Event for Veronika Jacobsz with Nozipho Duma_x000a__x000a_Create Mentorship Event for Veronika Jacobsz with Nozipho Duma"/>
    <d v="2022-01-17T00:00:00"/>
    <d v="2022-11-25T00:00:00"/>
    <s v="Mentee Withdrawal - Availability"/>
  </r>
  <r>
    <s v="2423243"/>
    <x v="48"/>
    <m/>
    <s v="Leadership Mentor"/>
    <s v="Full Time Employee"/>
    <s v="African (South Africa)"/>
    <s v="Female"/>
    <s v="50 - 59"/>
    <s v="FNB Points of Presence (Reuben Fernandez)"/>
    <s v="South Africa"/>
    <s v="FNB"/>
    <s v="7710237600 FNB POP Regional Office Mpumalanga"/>
    <s v="Regional Operations Manager"/>
    <s v="&gt;20 Years"/>
    <s v="Operations"/>
    <s v="5121159"/>
    <x v="63"/>
    <m/>
    <s v="African (South Africa)"/>
    <s v="Female"/>
    <s v="30 - 39"/>
    <m/>
    <s v="South Africa"/>
    <m/>
    <m/>
    <m/>
    <s v="6 - 10 Years"/>
    <m/>
    <s v="Create Mentorship Event for Naledi Modipane (Terminated) with Bongi Tshabangu"/>
    <d v="2024-01-02T00:00:00"/>
    <d v="2024-01-31T00:00:00"/>
    <m/>
  </r>
  <r>
    <s v="4878922"/>
    <x v="33"/>
    <m/>
    <s v="Career Mentor"/>
    <s v="Full Time Employee"/>
    <s v="African (South Africa)"/>
    <s v="Female"/>
    <s v="30 - 39"/>
    <s v="FNB Points of Presence (Angela Nathoo)"/>
    <s v="South Africa"/>
    <s v="FNB"/>
    <s v="7710179200 FNB POP Branch Delivery Middelburg Mall"/>
    <s v="Local Market Manager"/>
    <s v="6 - 10 Years"/>
    <s v="Client Relationship Management"/>
    <s v="4838734"/>
    <x v="64"/>
    <s v="Full Time Employee"/>
    <s v="African (South Africa)"/>
    <s v="Male"/>
    <s v="30 - 39"/>
    <s v="FNB Points of Presence (Makarabo Mahlomotja)"/>
    <s v="South Africa"/>
    <s v="FNB"/>
    <s v="771037200 FNB POP Branch Delivery Standerton"/>
    <s v="Branch Delivery Sales and Service Team Leader"/>
    <s v="11 -15 Years"/>
    <s v="Direct Sales"/>
    <s v="Create Mentorship Event for Reuben Diphoko with Fridah Maake-Gumede"/>
    <d v="2024-02-01T00:00:00"/>
    <d v="2024-03-31T00:00:00"/>
    <m/>
  </r>
  <r>
    <s v="4878922"/>
    <x v="33"/>
    <m/>
    <s v="Leadership Mentor"/>
    <s v="Full Time Employee"/>
    <s v="African (South Africa)"/>
    <s v="Female"/>
    <s v="30 - 39"/>
    <s v="FNB Points of Presence (Angela Nathoo)"/>
    <s v="South Africa"/>
    <s v="FNB"/>
    <s v="7710179200 FNB POP Branch Delivery Middelburg Mall"/>
    <s v="Local Market Manager"/>
    <s v="6 - 10 Years"/>
    <s v="Client Relationship Management"/>
    <s v="4868463"/>
    <x v="65"/>
    <s v="Full Time Employee"/>
    <s v="African (South Africa)"/>
    <s v="Female"/>
    <s v="40 - 49"/>
    <s v="FNB Points of Presence (Angela Nathoo)"/>
    <s v="South Africa"/>
    <s v="FNB"/>
    <s v="771037200 FNB POP Branch Delivery Standerton"/>
    <s v="Associate"/>
    <s v="6 - 10 Years"/>
    <s v="Client Relationship Management"/>
    <s v="Create Mentorship Event for Makarabo Mahlomotja with Fridah Maake-Gumede"/>
    <d v="2024-01-01T00:00:00"/>
    <d v="2024-08-31T00:00:00"/>
    <m/>
  </r>
  <r>
    <s v="7552793"/>
    <x v="10"/>
    <m/>
    <s v="Leadership Mentor"/>
    <s v="Full Time Employee"/>
    <s v="African (South Africa)"/>
    <s v="Female"/>
    <s v="30 - 39"/>
    <s v="CDO Infrastructure and Security Services (Ntswaki Lecage)"/>
    <s v="South Africa"/>
    <s v="FNB"/>
    <s v="20700005266 CDO Infrastructure and Security Services Command Centre"/>
    <s v="Enterprise Systems Manager"/>
    <s v="3 - 5 Years"/>
    <s v="System Design and Administration"/>
    <s v="4692497"/>
    <x v="66"/>
    <s v="Full Time Employee"/>
    <s v="African (South Africa)"/>
    <s v="Female"/>
    <s v="30 - 39"/>
    <s v="FNB Points of Presence (Zukisa Gabela)"/>
    <s v="South Africa"/>
    <s v="FNB"/>
    <s v="771034000 FNB POP Branch Delivery Port Alfred"/>
    <s v="Universal Advisor Lead"/>
    <s v="11 -15 Years"/>
    <s v="Client Experience and Value Management"/>
    <s v="Create Mentorship Event for Sihle Ncedani-Madlebe with Theo Ngoma"/>
    <d v="2023-12-09T00:00:00"/>
    <d v="2024-03-31T00:00:00"/>
    <m/>
  </r>
  <r>
    <s v="2746573"/>
    <x v="27"/>
    <s v="Actuarial Science Mentoring Programme"/>
    <s v="Z2-Programme Mentor (HC Managed)"/>
    <s v="Full Time Employee"/>
    <s v="Indian (South Africa)"/>
    <s v="Male"/>
    <s v="40 - 49"/>
    <s v="FNB Private Segment (Sizwe Nxedlana)"/>
    <s v="South Africa"/>
    <s v="FNB"/>
    <s v="85500008551 FNB Retail Exco"/>
    <s v="Chief Executive Officer Cash Investments Retail"/>
    <s v="16 - 20 Years"/>
    <s v="Operations"/>
    <s v="5608627"/>
    <x v="67"/>
    <s v="Full Time Employee"/>
    <s v="African (South Africa)"/>
    <s v="Female"/>
    <s v="20 - 29"/>
    <s v="FNB International SA Retail Credit (Drikus Conradie)"/>
    <s v="South Africa"/>
    <s v="FNB"/>
    <s v="83200005888 FNB International SA Retail Credit"/>
    <s v="Data Scientist"/>
    <s v="3 - 5 Years"/>
    <s v="Analytics"/>
    <s v="Create Mentorship Event for Neo Hlalele with Himal Parbhoo"/>
    <d v="2023-08-01T00:00:00"/>
    <d v="2024-08-31T00:00:00"/>
    <m/>
  </r>
  <r>
    <s v="3477428"/>
    <x v="49"/>
    <m/>
    <s v="Leadership Mentor"/>
    <s v="Full Time Employee"/>
    <s v="African (South Africa)"/>
    <s v="Female"/>
    <s v="40 - 49"/>
    <s v="FNB Points of Presence (Barry Kuhn)"/>
    <s v="South Africa"/>
    <s v="FNB"/>
    <s v="7710299500 FNB Points of Presence Sales and Collaboration"/>
    <s v="Leadership Coach"/>
    <s v="16 - 20 Years"/>
    <s v="Process and Business Analysis"/>
    <s v="7547463"/>
    <x v="68"/>
    <s v="Full Time Employee"/>
    <s v="African (South Africa)"/>
    <s v="Male"/>
    <s v="40 - 49"/>
    <s v="FNB Points of Presence (Reineth Mpondwane)"/>
    <s v="South Africa"/>
    <s v="FNB"/>
    <s v="7710248400 FNB POP Branch Delivery Centurion Mall"/>
    <s v="Branch Delivery Sales and Service Team Leader"/>
    <s v="16 - 20 Years"/>
    <s v="Direct Sales"/>
    <s v="Create Mentorship Event for Stephana Tshehla with Shalati Ngobeni"/>
    <d v="2023-12-12T00:00:00"/>
    <d v="2023-12-12T00:00:00"/>
    <m/>
  </r>
  <r>
    <s v="3082644"/>
    <x v="50"/>
    <s v="The purpose of this mentorship is for me to acquire a skill set that will help me move and excel in the commercial space specifically commercial property finance and all other surrounding disciplines."/>
    <s v="Career Mentor"/>
    <s v="Full Time Employee"/>
    <s v="African (South Africa)"/>
    <s v="Female"/>
    <s v="40 - 49"/>
    <s v="FNB Commercial Sales Inland (Regita Lawrence)"/>
    <s v="South Africa"/>
    <s v="FNB"/>
    <s v="34200006563 FNB Commercial Sales North West Enterprise"/>
    <s v="Client Portfolio Executive"/>
    <s v="11 -15 Years"/>
    <s v="Client Relationship Management"/>
    <s v="3862674"/>
    <x v="69"/>
    <s v="Full Time Employee"/>
    <s v="African (South Africa)"/>
    <s v="Female"/>
    <s v="30 - 39"/>
    <s v="FNB Commercial Sales Inland (Kammie Coetzee)"/>
    <s v="South Africa"/>
    <s v="FNB"/>
    <s v="34200006563 FNB Commercial Sales North West Enterprise"/>
    <s v="Client Portfolio Analyst"/>
    <s v="11 -15 Years"/>
    <s v="Client Services Support and Delivery"/>
    <s v="Create Mentorship Event for Nomthandazo Rapodile with Pontsho Njoro"/>
    <d v="2024-01-22T00:00:00"/>
    <d v="2024-06-28T00:00:00"/>
    <m/>
  </r>
  <r>
    <s v="7500262"/>
    <x v="51"/>
    <s v="BA"/>
    <s v="Career Mentor"/>
    <s v="Full Time Employee"/>
    <s v="African (South Africa)"/>
    <s v="Female"/>
    <s v="40 - 49"/>
    <s v="FNB Points of Presence (Bernice O Reilly)"/>
    <s v="South Africa"/>
    <s v="FNB"/>
    <s v="7710669900 FNB POP Branch Finance"/>
    <s v="Regional Financial Manager"/>
    <s v="16 - 20 Years"/>
    <s v="Financial Management"/>
    <s v="5110092"/>
    <x v="70"/>
    <s v="Full Time Employee"/>
    <s v="African (South Africa)"/>
    <s v="Male"/>
    <s v="30 - 39"/>
    <s v="FNB Points of Presence (Delisiwe Chilwane)"/>
    <s v="South Africa"/>
    <s v="FNB"/>
    <s v="7710452300 FNB POP Nelspruit Crossing Centre"/>
    <s v="Universal Advisor Lead"/>
    <s v="6 - 10 Years"/>
    <s v="Client Experience and Value Management"/>
    <s v="Create Mentorship Event for Sibusiso Khumalo with Wilma Masilo"/>
    <d v="2023-12-12T00:00:00"/>
    <d v="2023-12-12T00:00:00"/>
    <m/>
  </r>
  <r>
    <s v="3773531"/>
    <x v="52"/>
    <s v="Actuarial Science Mentoring Programme"/>
    <s v="Z2-Programme Mentor (HC Managed)"/>
    <s v="Full Time Employee"/>
    <s v="White (South Africa)"/>
    <s v="Female"/>
    <s v="30 - 39"/>
    <s v="FR Life Assurance (Dash Naidoo)"/>
    <s v="South Africa"/>
    <s v="FNB"/>
    <s v="61500010304 FR Insure and Invest Distribution"/>
    <s v="Data Science Head"/>
    <s v="11 -15 Years"/>
    <s v="Analytics"/>
    <s v="5617391"/>
    <x v="71"/>
    <s v="Full Time Employee"/>
    <s v="Indian (South Africa)"/>
    <s v="Female"/>
    <s v="20 - 29"/>
    <s v="Funding and Liquidity Management (Cameron Gough)"/>
    <s v="South Africa"/>
    <s v="FirstRand Corporate Centre"/>
    <s v="78200000SFE Structured Finance"/>
    <s v="Quantitative Analyst"/>
    <s v="3 - 5 Years"/>
    <s v="Analytics"/>
    <s v="Create Mentorship Event for Danika Ramalingum with Louise Labuschagne"/>
    <d v="2023-08-01T00:00:00"/>
    <d v="2024-08-31T00:00:00"/>
    <m/>
  </r>
  <r>
    <s v="3795446"/>
    <x v="53"/>
    <s v="Actuarial Science Mentoring Programme"/>
    <s v="Z2-Programme Mentor (HC Managed)"/>
    <s v="Full Time Employee"/>
    <s v="White (South Africa)"/>
    <s v="Male"/>
    <s v="30 - 39"/>
    <s v="FCC Risk Management (Lindy Riphagen)"/>
    <s v="South Africa"/>
    <s v="FirstRand Corporate Centre"/>
    <s v="78200000FDD FCC Risk Management"/>
    <s v="Risk Production and Modelling Head"/>
    <s v="11 -15 Years"/>
    <s v="Asset Management"/>
    <s v="5611474"/>
    <x v="72"/>
    <m/>
    <s v="White (South Africa)"/>
    <s v="Male"/>
    <s v="20 - 29"/>
    <m/>
    <s v="South Africa"/>
    <m/>
    <m/>
    <m/>
    <s v="2 Years"/>
    <m/>
    <s v="Create Mentorship Event for Matthew Gerrish (Terminated) with Willem-Dirk Van'T Zand"/>
    <d v="2023-08-01T00:00:00"/>
    <d v="2024-08-31T00:00:00"/>
    <m/>
  </r>
  <r>
    <s v="4762762"/>
    <x v="54"/>
    <s v="Actuarial Science Mentoring Programme"/>
    <s v="Z2-Programme Mentor (HC Managed)"/>
    <s v="Full Time Employee"/>
    <s v="Indian (South Africa)"/>
    <s v="Male"/>
    <s v="40 - 49"/>
    <s v="FRCC ERM CRO Office (Mine Van Zyl)"/>
    <s v="South Africa"/>
    <s v="FirstRand Corporate Centre"/>
    <s v="20200008665 FRCC ERM Model Risk Management"/>
    <s v="Model Risk Management Head"/>
    <s v="11 -15 Years"/>
    <s v="Legal"/>
    <s v="5605911"/>
    <x v="73"/>
    <m/>
    <s v="Indian (South Africa)"/>
    <s v="Male"/>
    <s v="20 - 29"/>
    <m/>
    <s v="South Africa"/>
    <m/>
    <m/>
    <m/>
    <s v="2 Years"/>
    <m/>
    <s v="Create Mentorship Event for Salmaan Mukhtar (Terminated) with Shailesh Pillay"/>
    <d v="2023-08-01T00:00:00"/>
    <d v="2024-08-31T00:00:00"/>
    <m/>
  </r>
  <r>
    <s v="5277264"/>
    <x v="55"/>
    <s v="For guidance on sales and service role"/>
    <s v="Career Mentor"/>
    <s v="OBR With Fixed Pay"/>
    <s v="African (South Africa)"/>
    <s v="Male"/>
    <s v="30 - 39"/>
    <s v="FNB Points of Presence (Nontobeko Kunene)"/>
    <s v="South Africa"/>
    <s v="FNB"/>
    <s v="771079400 FNB POP Branch Delivery Nelspruit Pinnacle"/>
    <s v="Branch Advisor FAIS"/>
    <s v="6 - 10 Years"/>
    <s v="Client Services Support and Delivery"/>
    <s v="5489091"/>
    <x v="74"/>
    <s v="OBR With Fixed Pay"/>
    <s v="African (South Africa)"/>
    <s v="Male"/>
    <s v="20 - 29"/>
    <s v="FNB Points of Presence (Delisiwe Chilwane)"/>
    <s v="South Africa"/>
    <s v="FNB"/>
    <s v="771079400 FNB POP Branch Delivery Nelspruit Pinnacle"/>
    <s v="Branch Advisor FAIS"/>
    <s v="2 Years"/>
    <s v="Client Services Support and Delivery"/>
    <s v="Create Mentorship Event for Mphumuzi Khoza with Thabo Mahlaba"/>
    <d v="2023-12-12T00:00:00"/>
    <d v="2024-06-12T00:00:00"/>
    <m/>
  </r>
  <r>
    <s v="3835057"/>
    <x v="56"/>
    <m/>
    <s v="Technical Mentor"/>
    <m/>
    <s v="African (South Africa)"/>
    <s v="Male"/>
    <s v="30 - 39"/>
    <m/>
    <s v="South Africa"/>
    <m/>
    <m/>
    <m/>
    <s v="11 -15 Years"/>
    <m/>
    <s v="5300312"/>
    <x v="75"/>
    <s v="OBR With Fixed Pay"/>
    <s v="African (South Africa)"/>
    <s v="Male"/>
    <s v="30 - 39"/>
    <s v="FNB Points of Presence (Bulelwa Sikrweqe (Inherited))"/>
    <s v="South Africa"/>
    <s v="FNB"/>
    <s v="7710248500 FNB POP Branch Delivery Diepkloof Square"/>
    <s v="Branch Advisor FAIS"/>
    <s v="6 - 10 Years"/>
    <s v="Client Services Support and Delivery"/>
    <s v="Create Mentorship Event for Gift Rathekoane with Nhlamulo Thosi (Terminated)"/>
    <d v="2023-12-13T00:00:00"/>
    <d v="2024-12-31T00:00:00"/>
    <m/>
  </r>
  <r>
    <s v="5156270"/>
    <x v="57"/>
    <s v="Actuarial Science Mentoring Programme"/>
    <s v="Z2-Programme Mentor (HC Managed)"/>
    <s v="Full Time Employee"/>
    <s v="White (South Africa)"/>
    <s v="Male"/>
    <s v="30 - 39"/>
    <s v="FNB Retail Financial Resource Management (Anina Siriram)"/>
    <s v="South Africa"/>
    <s v="FNB"/>
    <s v="85500002046 FNB Retail Financial Resource Management"/>
    <s v="Financial Resources Analyst"/>
    <s v="6 - 10 Years"/>
    <s v="Financial Resources Management"/>
    <s v="5609305"/>
    <x v="76"/>
    <s v="Full Time Employee"/>
    <s v="White (South Africa)"/>
    <s v="Male"/>
    <s v="20 - 29"/>
    <s v="RMBSA Global Markets Technical Risk Advisory (Gareth Schumann)"/>
    <s v="South Africa"/>
    <s v="RMB"/>
    <s v="77800000THR RMBSA Global Markets Technical Risk Advisory"/>
    <s v="Quantitative Risk Analyst"/>
    <s v="3 - 5 Years"/>
    <s v="Operational Risk"/>
    <s v="Create Mentorship Event for Hugh Bouwer with Kevin Myers"/>
    <d v="2023-08-01T00:00:00"/>
    <d v="2024-08-31T00:00:00"/>
    <m/>
  </r>
  <r>
    <s v="4643321"/>
    <x v="58"/>
    <s v="Actuarial Science Mentoring Programme"/>
    <s v="Z2-Programme Mentor (HC Managed)"/>
    <s v="Full Time Employee"/>
    <s v="Coloured (South Africa)"/>
    <s v="Male"/>
    <s v="30 - 39"/>
    <s v="Group ERM Credit Risk Control (Engelbert Meyer)"/>
    <s v="South Africa"/>
    <s v="FirstRand Corporate Centre"/>
    <s v="20200006711 FRCC ERM Credit Risk Control"/>
    <s v="Credit Model Standards and Governance Lead"/>
    <s v="11 -15 Years"/>
    <s v="Operational Risk"/>
    <s v="5612144"/>
    <x v="77"/>
    <m/>
    <s v="White (South Africa)"/>
    <s v="Male"/>
    <s v="20 - 29"/>
    <m/>
    <s v="South Africa"/>
    <m/>
    <m/>
    <m/>
    <s v="3 - 5 Years"/>
    <m/>
    <s v="Create Mentorship Event for Diaan Dietrichsen (Terminated) with Kevin Hu"/>
    <d v="2023-08-01T00:00:00"/>
    <d v="2024-08-31T00:00:00"/>
    <m/>
  </r>
  <r>
    <s v="5478960"/>
    <x v="16"/>
    <m/>
    <s v="Career Mentor"/>
    <s v="Full Time Employee"/>
    <s v="Coloured (South Africa)"/>
    <s v="Male"/>
    <s v="40 - 49"/>
    <s v="CDO Kernel Customer IT (Craig Coombs)"/>
    <s v="South Africa"/>
    <s v="FNB"/>
    <s v="79000005746 CDO Kernel CIS"/>
    <s v="Application Development Manager"/>
    <s v="3 - 5 Years"/>
    <s v="IT Development"/>
    <s v="5535093"/>
    <x v="78"/>
    <s v="Full Time Employee"/>
    <s v="African (South Africa)"/>
    <s v="Female"/>
    <s v="40 - 49"/>
    <s v="FNB Chief Risk Office PMO (Olwethu Vuyo Nkosi Bodlani)"/>
    <s v="South Africa"/>
    <s v="FNB"/>
    <s v="39400008595 FNB Chief Risk Office PMO"/>
    <s v="Business Analyst"/>
    <s v="3 - 5 Years"/>
    <s v="Process and Business Analysis"/>
    <s v="Create Mentorship Event for Maggie Nkoana with Henry Lesar"/>
    <d v="2023-12-11T00:00:00"/>
    <m/>
    <m/>
  </r>
  <r>
    <s v="7552793"/>
    <x v="10"/>
    <m/>
    <s v="Career Mentor"/>
    <s v="Full Time Employee"/>
    <s v="African (South Africa)"/>
    <s v="Female"/>
    <s v="30 - 39"/>
    <s v="CDO Infrastructure and Security Services (Ntswaki Lecage)"/>
    <s v="South Africa"/>
    <s v="FNB"/>
    <s v="20700005266 CDO Infrastructure and Security Services Command Centre"/>
    <s v="Enterprise Systems Manager"/>
    <s v="3 - 5 Years"/>
    <s v="System Design and Administration"/>
    <s v="3475697"/>
    <x v="79"/>
    <s v="OBR With Fixed Pay"/>
    <s v="African (South Africa)"/>
    <s v="Female"/>
    <s v="30 - 39"/>
    <s v="FNB Points of Presence (Noma Bozwana)"/>
    <s v="South Africa"/>
    <s v="FNB"/>
    <s v="771034000 FNB POP Branch Delivery Port Alfred"/>
    <s v="Branch Advisor FAIS"/>
    <s v="3 - 5 Years"/>
    <s v="Client Services Support and Delivery"/>
    <s v="Create Mentorship Event for Nomvuselelo Ntuli with Theo Ngoma"/>
    <d v="2023-12-11T00:00:00"/>
    <d v="2024-03-31T00:00:00"/>
    <m/>
  </r>
  <r>
    <s v="7552793"/>
    <x v="10"/>
    <m/>
    <s v="Leadership Mentor"/>
    <s v="Full Time Employee"/>
    <s v="African (South Africa)"/>
    <s v="Female"/>
    <s v="30 - 39"/>
    <s v="CDO Infrastructure and Security Services (Ntswaki Lecage)"/>
    <s v="South Africa"/>
    <s v="FNB"/>
    <s v="20700005266 CDO Infrastructure and Security Services Command Centre"/>
    <s v="Enterprise Systems Manager"/>
    <s v="3 - 5 Years"/>
    <s v="System Design and Administration"/>
    <s v="4844777"/>
    <x v="80"/>
    <s v="OBR With Fixed Pay"/>
    <s v="African (South Africa)"/>
    <s v="Female"/>
    <s v="30 - 39"/>
    <s v="FNB Points of Presence (Noma Bozwana)"/>
    <s v="South Africa"/>
    <s v="FNB"/>
    <s v="771034000 FNB POP Branch Delivery Port Alfred"/>
    <s v="Branch Advisor FAIS"/>
    <s v="6 - 10 Years"/>
    <s v="Client Services Support and Delivery"/>
    <s v="Create Mentorship Event for Amanda Mene with Theo Ngoma"/>
    <d v="2023-12-11T00:00:00"/>
    <d v="2024-03-01T00:00:00"/>
    <m/>
  </r>
  <r>
    <s v="3354423"/>
    <x v="59"/>
    <s v="performance goal"/>
    <s v="Leadership Mentor"/>
    <s v="Full Time Employee"/>
    <s v="African (South Africa)"/>
    <s v="Female"/>
    <s v="30 - 39"/>
    <s v="FNB Personal Core Banking (Malesela Rankapole)"/>
    <s v="South Africa"/>
    <s v="FNB"/>
    <s v="48100003462 FNB Personal Core Banking Retail Sales"/>
    <s v="Growth Specialist"/>
    <s v="16 - 20 Years"/>
    <s v="Business Development"/>
    <s v="7547056"/>
    <x v="81"/>
    <s v="Full Time Employee"/>
    <s v="African (South Africa)"/>
    <s v="Female"/>
    <s v="40 - 49"/>
    <s v="FNB Points of Presence (Phumzile Mbele)"/>
    <s v="South Africa"/>
    <s v="FNB"/>
    <s v="771079500 FNB POP Branch Delivery Bryanston"/>
    <s v="Branch Controller"/>
    <s v="11 -15 Years"/>
    <s v="Administration"/>
    <s v="Create Mentorship Event for Pitsi Mnguni with Dorah Mohlopi"/>
    <d v="2023-12-12T00:00:00"/>
    <d v="2024-12-12T00:00:00"/>
    <m/>
  </r>
  <r>
    <s v="3560643"/>
    <x v="60"/>
    <s v="I want to be able to lead a highly motivated team which is always hungry for success."/>
    <s v="Leadership Mentor"/>
    <s v="Full Time Employee"/>
    <s v="African (South Africa)"/>
    <s v="Male"/>
    <s v="40 - 49"/>
    <s v="FNB Points of Presence (Brian Wellsted)"/>
    <s v="South Africa"/>
    <s v="FNB"/>
    <s v="771042800 FNB POP Branch Delivery White River"/>
    <s v="Local Market Manager"/>
    <s v="16 - 20 Years"/>
    <s v="Client Relationship Management"/>
    <s v="3556611"/>
    <x v="82"/>
    <s v="Full Time Employee"/>
    <s v="African (South Africa)"/>
    <s v="Male"/>
    <s v="40 - 49"/>
    <s v="FNB Points of Presence (Brian Wellsted)"/>
    <s v="South Africa"/>
    <s v="FNB"/>
    <s v="7710102900 FNB POP Branch Delivery Elukwatini"/>
    <s v="Associate"/>
    <s v="16 - 20 Years"/>
    <s v="Client Relationship Management"/>
    <s v="Create Mentorship Event for Sandile Nkosi with Andries Shuping"/>
    <d v="2023-12-11T00:00:00"/>
    <d v="2024-09-30T00:00:00"/>
    <m/>
  </r>
  <r>
    <s v="3105857"/>
    <x v="61"/>
    <s v="To help me navigate in to the new role, especially with sales and service. And for my branch not to peform below 400."/>
    <s v="Career Mentor"/>
    <s v="Full Time Employee"/>
    <s v="African (South Africa)"/>
    <s v="Female"/>
    <s v="40 - 49"/>
    <s v="FNB Points of Presence (Tshwarelo Malele)"/>
    <s v="South Africa"/>
    <s v="FNB"/>
    <s v="7710110800 FNB POP Branch Delivery Kabokweni Plaza"/>
    <s v="Branch Administrator"/>
    <s v="16 - 20 Years"/>
    <s v="Administration"/>
    <s v="4717082"/>
    <x v="83"/>
    <s v="Full Time Employee"/>
    <s v="African (South Africa)"/>
    <s v="Female"/>
    <s v="30 - 39"/>
    <s v="FNB Points of Presence (Nondumiso Mthembu)"/>
    <s v="South Africa"/>
    <s v="FNB"/>
    <s v="7710452300 FNB POP Nelspruit Crossing Centre"/>
    <s v="Branch Controller"/>
    <s v="11 -15 Years"/>
    <s v="Administration"/>
    <s v="Create Mentorship Event for Delisiwe Chilwane with Nomvula Luphoko"/>
    <d v="2023-12-19T00:00:00"/>
    <d v="2024-12-19T00:00:00"/>
    <m/>
  </r>
  <r>
    <s v="2966794"/>
    <x v="62"/>
    <m/>
    <s v="Leadership Mentor"/>
    <s v="Full Time Employee"/>
    <s v="Indian (South Africa)"/>
    <s v="Female"/>
    <s v="50 - 59"/>
    <s v="FNB Points of Presence (Pam Pitout)"/>
    <s v="South Africa"/>
    <s v="FNB"/>
    <s v="771006200 FNB POP Branch Delivery Pine Crest"/>
    <s v="Local Market Manager"/>
    <s v="&gt;20 Years"/>
    <s v="Client Relationship Management"/>
    <s v="2221543"/>
    <x v="84"/>
    <s v="Full Time Employee"/>
    <s v="Indian (South Africa)"/>
    <s v="Female"/>
    <s v="50 - 59"/>
    <s v="FNB Points of Presence (Avashni Singh)"/>
    <s v="South Africa"/>
    <s v="FNB"/>
    <s v="771083500 FNB POP Branch Delivery The Pavilion"/>
    <s v="Associate"/>
    <s v="&gt;20 Years"/>
    <s v="Client Relationship Management"/>
    <s v="Create Mentorship Event for Fazila Khan with Avashni Singh"/>
    <d v="2023-12-07T00:00:00"/>
    <d v="2023-12-07T00:00:00"/>
    <m/>
  </r>
  <r>
    <s v="3221776"/>
    <x v="63"/>
    <m/>
    <s v="Leadership Mentor"/>
    <s v="Full Time Employee"/>
    <s v="African (South Africa)"/>
    <s v="Female"/>
    <s v="40 - 49"/>
    <s v="FNB Points of Presence (Kobus Steenkamp)"/>
    <s v="South Africa"/>
    <s v="FNB"/>
    <s v="771043400 FNB POP Branch Delivery Zastron"/>
    <s v="Associate"/>
    <s v="16 - 20 Years"/>
    <s v="Client Relationship Management"/>
    <s v="5393639"/>
    <x v="85"/>
    <s v="OBR With Fixed Pay"/>
    <s v="African (South Africa)"/>
    <s v="Female"/>
    <s v="30 - 39"/>
    <s v="FNB Points of Presence (Thabiso Kutwane)"/>
    <s v="South Africa"/>
    <s v="FNB"/>
    <s v="7710993900 FNB POP BRANCH DELIVERY PALM SPRINGS MALL"/>
    <s v="Branch Advisor FAIS"/>
    <s v="3 - 5 Years"/>
    <s v="Client Services Support and Delivery"/>
    <s v="Create Mentorship Event for Madika Makgeletsi with Bomikazi Sekoala"/>
    <d v="2024-01-04T00:00:00"/>
    <d v="2024-01-31T00:00:00"/>
    <m/>
  </r>
  <r>
    <s v="2966794"/>
    <x v="62"/>
    <m/>
    <s v="Leadership Mentor"/>
    <s v="Full Time Employee"/>
    <s v="Indian (South Africa)"/>
    <s v="Female"/>
    <s v="50 - 59"/>
    <s v="FNB Points of Presence (Pam Pitout)"/>
    <s v="South Africa"/>
    <s v="FNB"/>
    <s v="771006200 FNB POP Branch Delivery Pine Crest"/>
    <s v="Local Market Manager"/>
    <s v="&gt;20 Years"/>
    <s v="Client Relationship Management"/>
    <s v="3561372"/>
    <x v="86"/>
    <s v="Full Time Employee"/>
    <s v="African (South Africa)"/>
    <s v="Female"/>
    <s v="30 - 39"/>
    <s v="FNB Points of Presence (Susan Naicker)"/>
    <s v="South Africa"/>
    <s v="FNB"/>
    <s v="771045100 FNB POP Branch Delivery New Germany"/>
    <s v="Universal Advisor Lead"/>
    <s v="3 - 5 Years"/>
    <s v="Client Experience and Value Management"/>
    <s v="Create Mentorship Event for Thuthu Mnyandu with Avashni Singh"/>
    <d v="2024-01-31T00:00:00"/>
    <d v="2024-12-31T00:00:00"/>
    <m/>
  </r>
  <r>
    <s v="3418626"/>
    <x v="64"/>
    <s v="In training"/>
    <s v="Leadership Mentor"/>
    <s v="Full Time Employee"/>
    <s v="White (South Africa)"/>
    <s v="Male"/>
    <s v="30 - 39"/>
    <s v="FNB Points of Presence (Frans Esterhuyse)"/>
    <s v="South Africa"/>
    <s v="FNB"/>
    <s v="7710959900 FNB POP Risk In Branch Monitoring Team"/>
    <s v="Process and Risk Manager"/>
    <s v="16 - 20 Years"/>
    <s v="Operational Risk"/>
    <s v="2733994"/>
    <x v="87"/>
    <s v="Full Time Employee"/>
    <s v="White (South Africa)"/>
    <s v="Female"/>
    <s v="40 - 49"/>
    <s v="FNB Points of Presence (Lee Ainslie)"/>
    <s v="South Africa"/>
    <s v="FNB"/>
    <s v="771032600 FNB POP Branch Delivery Parys"/>
    <s v="Branch Delivery Sales and Service Team Leader"/>
    <s v="&gt;20 Years"/>
    <s v="Direct Sales"/>
    <s v="Create Mentorship Event for Anna Van Pletzen with Pieter Smit"/>
    <d v="2024-01-01T00:00:00"/>
    <d v="2024-03-31T00:00:00"/>
    <m/>
  </r>
  <r>
    <s v="3572323"/>
    <x v="65"/>
    <m/>
    <s v="Leadership Mentor"/>
    <m/>
    <s v="African (South Africa)"/>
    <s v="Female"/>
    <s v="30 - 39"/>
    <m/>
    <s v="South Africa"/>
    <m/>
    <m/>
    <m/>
    <s v="6 - 10 Years"/>
    <m/>
    <s v="5056268"/>
    <x v="88"/>
    <s v="OBR With Fixed Pay"/>
    <s v="African (South Africa)"/>
    <s v="Female"/>
    <s v="30 - 39"/>
    <s v="FNB Point of Presence (Dineo Mbalati)"/>
    <s v="South Africa"/>
    <s v="FNB"/>
    <s v="771025000 FNB POP Branch Delivery Festival Mall"/>
    <s v="Branch Advisor FAIS"/>
    <s v="6 - 10 Years"/>
    <s v="Client Services Support and Delivery"/>
    <s v="Create Mentorship Event for Ruth Raseemela with Maserame Makwakwa (Terminated)"/>
    <d v="2024-01-17T00:00:00"/>
    <m/>
    <m/>
  </r>
  <r>
    <s v="3555933"/>
    <x v="66"/>
    <m/>
    <s v="Leadership Mentor"/>
    <s v="Full Time Employee"/>
    <s v="African (South Africa)"/>
    <s v="Male"/>
    <s v="30 - 39"/>
    <s v="FNB Points of Presence (Ntombi Matshinye)"/>
    <s v="South Africa"/>
    <s v="FNB"/>
    <s v="7710248700 FNB POP Branch Delivery Cosmo Mall"/>
    <s v="Branch Controller"/>
    <s v="6 - 10 Years"/>
    <s v="Administration"/>
    <s v="3716422"/>
    <x v="89"/>
    <s v="OBR With Fixed Pay"/>
    <s v="African (South Africa)"/>
    <s v="Male"/>
    <s v="40 - 49"/>
    <s v="FNB Points of Presence (Paballo Kgolane)"/>
    <s v="South Africa"/>
    <s v="FNB"/>
    <s v="771063300 FNB POP Branch Delivery Jane Furse"/>
    <s v="Branch Advisor FAIS"/>
    <s v="11 -15 Years"/>
    <s v="Client Services Support and Delivery"/>
    <s v="Create Mentorship Event for Bongani Kgoedi with Tshidiso Noge"/>
    <d v="2024-01-22T00:00:00"/>
    <d v="2024-12-13T00:00:00"/>
    <m/>
  </r>
  <r>
    <s v="2416824"/>
    <x v="67"/>
    <m/>
    <s v="Career Mentor"/>
    <s v="Full Time Employee"/>
    <s v="African (South Africa)"/>
    <s v="Male"/>
    <s v="40 - 49"/>
    <s v="FNB Points of Presence (Dima Thaba)"/>
    <s v="South Africa"/>
    <s v="FNB"/>
    <s v="7710237800 FNB POP Regional Office Gauteng North"/>
    <s v="Area Manager"/>
    <s v="&gt;20 Years"/>
    <s v="Client Services Support and Delivery"/>
    <s v="3769984"/>
    <x v="90"/>
    <s v="Full Time Employee"/>
    <s v="African (South Africa)"/>
    <s v="Male"/>
    <s v="30 - 39"/>
    <s v="FNB Points of Presence (Musa Vukeya)"/>
    <s v="South Africa"/>
    <s v="FNB"/>
    <s v="7710405800 FNB POP Commercial Collaboration"/>
    <s v="Key Accounts Manager"/>
    <s v="11 -15 Years"/>
    <s v="Client Relationship Management"/>
    <s v="Create Mentorship Event for Siyabonga Mzimela with Charles Thulani Nkosi"/>
    <d v="2023-12-11T00:00:00"/>
    <d v="2024-07-01T00:00:00"/>
    <m/>
  </r>
  <r>
    <s v="3694119"/>
    <x v="68"/>
    <s v="Help develop and mentor in the operational of the business"/>
    <s v="Leadership Mentor"/>
    <s v="Full Time Employee"/>
    <s v="Indian (South Africa)"/>
    <s v="Male"/>
    <s v="30 - 39"/>
    <s v="FNB Points of Presence (Poovan Pillay)"/>
    <s v="South Africa"/>
    <s v="FNB"/>
    <s v="771064900 FNB POP Branch Delivery Phoenix Plaza"/>
    <s v="Local Market Manager"/>
    <s v="11 -15 Years"/>
    <s v="Client Relationship Management"/>
    <s v="2787237"/>
    <x v="91"/>
    <s v="Full Time Employee"/>
    <s v="Indian (South Africa)"/>
    <s v="Female"/>
    <s v="50 - 59"/>
    <s v="FNB Points of Presence (Deno Govender)"/>
    <s v="South Africa"/>
    <s v="FNB"/>
    <s v="771009100 FNB POP Branch Delivery Verulam"/>
    <s v="Branch Administrator"/>
    <s v="&gt;20 Years"/>
    <s v="Administration"/>
    <s v="Create Mentorship Event for Vanessa Naicker with Yure Haripersad"/>
    <d v="2023-08-01T00:00:00"/>
    <d v="2024-12-31T00:00:00"/>
    <m/>
  </r>
  <r>
    <s v="3465195"/>
    <x v="69"/>
    <s v="Move up to a band C. Local Market Operations Manager."/>
    <s v="Leadership Mentor"/>
    <s v="Full Time Employee"/>
    <s v="African (South Africa)"/>
    <s v="Male"/>
    <s v="30 - 39"/>
    <s v="FNB Points of Presence (Poovan Pillay)"/>
    <s v="South Africa"/>
    <s v="FNB"/>
    <s v="7710105300 FNB POP Branch Delivery Gateway"/>
    <s v="Local Market Manager"/>
    <s v="11 -15 Years"/>
    <s v="Client Relationship Management"/>
    <s v="3015122"/>
    <x v="92"/>
    <s v="Full Time Employee"/>
    <s v="Indian (South Africa)"/>
    <s v="Male"/>
    <s v="40 - 49"/>
    <s v="FNB Points of Presence (Thobani Kobela)"/>
    <s v="South Africa"/>
    <s v="FNB"/>
    <s v="7710104400 FNB POP Branch Delivery Bridge City"/>
    <s v="Branch Administrator"/>
    <s v="&gt;20 Years"/>
    <s v="Administration"/>
    <s v="Create Mentorship Event for Claude Govender with Thabiso Nyawose"/>
    <d v="2024-01-08T00:00:00"/>
    <d v="2024-06-30T00:00:00"/>
    <m/>
  </r>
  <r>
    <s v="2667509"/>
    <x v="70"/>
    <m/>
    <s v="Leadership Mentor"/>
    <s v="Full Time Employee"/>
    <s v="White (South Africa)"/>
    <s v="Female"/>
    <s v="40 - 49"/>
    <s v="FNB Points of Presence (Bernice O Reilly)"/>
    <s v="South Africa"/>
    <s v="FNB"/>
    <s v="7710669900 FNB POP Branch Finance"/>
    <s v="Financial Manager"/>
    <s v="11 -15 Years"/>
    <s v="Financial Management"/>
    <s v="3264920"/>
    <x v="93"/>
    <m/>
    <s v="African (South Africa)"/>
    <s v="Female"/>
    <s v="40 - 49"/>
    <m/>
    <s v="South Africa"/>
    <m/>
    <m/>
    <m/>
    <s v="16 - 20 Years"/>
    <m/>
    <s v="Create Mentorship Event for Regina Ntholeng (Terminated) with Dwan Steyn"/>
    <d v="2023-12-14T00:00:00"/>
    <d v="2024-06-30T00:00:00"/>
    <m/>
  </r>
  <r>
    <s v="4989171"/>
    <x v="71"/>
    <s v="A CAREEER GUIDANCE IN THE BANKING INDUSTRY"/>
    <s v="Career Mentor"/>
    <s v="Full Time Employee"/>
    <s v="African (Botswana)"/>
    <s v="Female"/>
    <s v="30 - 39"/>
    <s v="FNB Botswana Wealth (Tshepiso Scheffers)"/>
    <s v="Botswana"/>
    <s v="FNB"/>
    <s v="5010160500 FNB Botswana Consumer Banking"/>
    <s v="Customer Value Proposition Manager"/>
    <s v="6 - 10 Years"/>
    <s v="Product Development"/>
    <s v="5013046"/>
    <x v="94"/>
    <s v="Full Time Employee"/>
    <s v="African (Botswana)"/>
    <s v="Female"/>
    <s v="30 - 39"/>
    <s v="FNB Botswana Channels (Kgotso Morei)"/>
    <s v="Botswana"/>
    <s v="FNB"/>
    <s v="5010167100 FNB Botswana Main Branch"/>
    <s v="Migration Official"/>
    <s v="6 - 10 Years"/>
    <s v="Client Experience and Value Management"/>
    <s v="Create Mentorship Event for Kenanao Kombani with Borethe Mogwe"/>
    <d v="2024-04-01T00:00:00"/>
    <d v="2024-10-10T00:00:00"/>
    <m/>
  </r>
  <r>
    <s v="3572323"/>
    <x v="65"/>
    <s v="To grow personally and in career"/>
    <s v="Leadership Mentor"/>
    <m/>
    <s v="African (South Africa)"/>
    <s v="Female"/>
    <s v="30 - 39"/>
    <m/>
    <s v="South Africa"/>
    <m/>
    <m/>
    <m/>
    <s v="6 - 10 Years"/>
    <m/>
    <s v="5065623"/>
    <x v="95"/>
    <s v="OBR With Fixed Pay"/>
    <s v="African (South Africa)"/>
    <s v="Female"/>
    <s v="30 - 39"/>
    <s v="FNB Point of Presence (Dineo Mbalati)"/>
    <s v="South Africa"/>
    <s v="FNB"/>
    <s v="771025000 FNB POP Branch Delivery Festival Mall"/>
    <s v="Branch Advisor FAIS"/>
    <s v="6 - 10 Years"/>
    <s v="Client Services Support and Delivery"/>
    <s v="Create Mentorship Event for Asezile Figlan with Maserame Makwakwa (Terminated)"/>
    <d v="2023-12-20T00:00:00"/>
    <d v="2024-12-31T00:00:00"/>
    <m/>
  </r>
  <r>
    <s v="3577430"/>
    <x v="72"/>
    <m/>
    <s v="Career Mentor"/>
    <m/>
    <s v="White (South Africa)"/>
    <s v="Female"/>
    <s v="30 - 39"/>
    <m/>
    <s v="South Africa"/>
    <m/>
    <m/>
    <m/>
    <s v="11 -15 Years"/>
    <m/>
    <s v="4911296"/>
    <x v="96"/>
    <s v="Full Time Employee"/>
    <s v="White (South Africa)"/>
    <s v="Female"/>
    <s v="30 - 39"/>
    <s v="FNB Wealth and Investment Fiduciary Locan and Offshore (Aneesa Razack)"/>
    <s v="South Africa"/>
    <s v="FNB"/>
    <s v="85500004208 FNB Private Global Solutions"/>
    <s v="Product Head"/>
    <s v="6 - 10 Years"/>
    <s v="Product Management"/>
    <s v="Create Mentorship Event for Candice Lee Kondominas with Sarah Janks (Terminated)"/>
    <d v="2023-11-23T00:00:00"/>
    <d v="2024-12-31T00:00:00"/>
    <m/>
  </r>
  <r>
    <s v="3511847"/>
    <x v="73"/>
    <s v="CAREER GUIDE IN THE BANKING INDUSTRY"/>
    <s v="Career Mentor"/>
    <s v="Full Time Employee"/>
    <m/>
    <s v="Male"/>
    <s v="30 - 39"/>
    <s v="FNB Botswana Operations (Lesego Tamajobe)"/>
    <s v="Botswana"/>
    <s v="FNB"/>
    <s v="5010164100 FNB Botswana Call Centre"/>
    <s v="Service Manager"/>
    <s v="11 -15 Years"/>
    <s v="Client Experience and Value Management"/>
    <s v="5013046"/>
    <x v="94"/>
    <s v="Full Time Employee"/>
    <s v="African (Botswana)"/>
    <s v="Female"/>
    <s v="30 - 39"/>
    <s v="FNB Botswana Channels (Kgotso Morei)"/>
    <s v="Botswana"/>
    <s v="FNB"/>
    <s v="5010167100 FNB Botswana Main Branch"/>
    <s v="Migration Official"/>
    <s v="6 - 10 Years"/>
    <s v="Client Experience and Value Management"/>
    <s v="Create Mentorship Event for Kenanao Kombani with Amantle Mphoeng"/>
    <d v="2024-05-01T00:00:00"/>
    <d v="2025-12-05T00:00:00"/>
    <m/>
  </r>
  <r>
    <s v="3572323"/>
    <x v="65"/>
    <s v="For personal and career growth"/>
    <s v="Leadership Mentor"/>
    <m/>
    <s v="African (South Africa)"/>
    <s v="Female"/>
    <s v="30 - 39"/>
    <m/>
    <s v="South Africa"/>
    <m/>
    <m/>
    <m/>
    <s v="6 - 10 Years"/>
    <m/>
    <s v="4793064"/>
    <x v="97"/>
    <s v="OBR With Fixed Pay"/>
    <s v="African (South Africa)"/>
    <s v="Female"/>
    <s v="30 - 39"/>
    <s v="FNB Point of Presence (Kenotshi Dlamini)"/>
    <s v="South Africa"/>
    <s v="FNB"/>
    <s v="771013200 FNB POP Branch Delivery Sandton City"/>
    <s v="Branch Advisor FAIS"/>
    <s v="11 -15 Years"/>
    <s v="Client Services Support and Delivery"/>
    <s v="Create Mentorship Event for Matee Malete with Maserame Makwakwa (Terminated)"/>
    <d v="2024-01-02T00:00:00"/>
    <d v="2025-01-02T00:00:00"/>
    <m/>
  </r>
  <r>
    <s v="4615956"/>
    <x v="74"/>
    <m/>
    <s v="Leadership Mentor"/>
    <s v="Full Time Employee"/>
    <s v="Indian (South Africa)"/>
    <s v="Male"/>
    <s v="30 - 39"/>
    <s v="RMB Private Bank (Malcolm Horn)"/>
    <s v="South Africa"/>
    <s v="FNB"/>
    <s v="34100003205 RMBPB JHB Affluent"/>
    <s v="Sales and Service Manager"/>
    <s v="6 - 10 Years"/>
    <s v="Sales Management"/>
    <s v="5347440"/>
    <x v="98"/>
    <m/>
    <s v="African (South Africa)"/>
    <s v="Male"/>
    <s v="30 - 39"/>
    <m/>
    <s v="South Africa"/>
    <m/>
    <m/>
    <m/>
    <s v="2 Years"/>
    <m/>
    <s v="Create Mentorship Event for Tshepo Huma (Terminated) with Kreneshen Moodley"/>
    <d v="2024-01-04T00:00:00"/>
    <m/>
    <m/>
  </r>
  <r>
    <s v="4659872"/>
    <x v="75"/>
    <m/>
    <s v="Career Mentor"/>
    <s v="Full Time Employee"/>
    <s v="White (South Africa)"/>
    <s v="Male"/>
    <s v="30 - 39"/>
    <s v="FNB Retail Cash Investments Chief Executive Office (Himal Parbhoo)"/>
    <s v="South Africa"/>
    <s v="FNB"/>
    <s v="65100003691 FNB Cash Investments Pricing &amp; Analytics"/>
    <s v="Data Science Head"/>
    <s v="11 -15 Years"/>
    <s v="Analytics"/>
    <s v="5603757"/>
    <x v="99"/>
    <m/>
    <s v="White (South Africa)"/>
    <s v="Male"/>
    <s v="20 - 29"/>
    <m/>
    <s v="South Africa"/>
    <m/>
    <m/>
    <m/>
    <s v="1 Year"/>
    <m/>
    <s v="Create Mentorship Event for George Lambiris (Terminated) with Cornel Du Toit"/>
    <d v="2023-08-01T00:00:00"/>
    <d v="2024-08-31T00:00:00"/>
    <m/>
  </r>
  <r>
    <s v="4818865"/>
    <x v="76"/>
    <m/>
    <s v="Leadership Mentor"/>
    <s v="Full Time Employee"/>
    <s v="African (South Africa)"/>
    <s v="Female"/>
    <s v="30 - 39"/>
    <s v="FNB Points of Presence (Nikita Govender)"/>
    <s v="South Africa"/>
    <s v="FNB"/>
    <s v="7710405800 FNB POP Commercial Collaboration"/>
    <s v="Support Advisor FAIS"/>
    <s v="3 - 5 Years"/>
    <s v="Client Services Support and Delivery"/>
    <s v="2733978"/>
    <x v="100"/>
    <s v="Full Time Employee"/>
    <s v="White (South Africa)"/>
    <s v="Female"/>
    <s v="50 - 59"/>
    <s v="FNB Points of Presence (Flora Moreroa)"/>
    <s v="South Africa"/>
    <s v="FNB"/>
    <s v="771036000 FNB POP Branch Delivery Rustenburg"/>
    <s v="Universal Advisor Lead"/>
    <s v="&gt;20 Years"/>
    <s v="Client Experience and Value Management"/>
    <s v="Create Mentorship Event for Melanie Malan with Mmamodise Tiro"/>
    <d v="2024-01-10T00:00:00"/>
    <d v="2025-01-10T00:00:00"/>
    <m/>
  </r>
  <r>
    <s v="4727231"/>
    <x v="77"/>
    <s v="do well in Sales"/>
    <s v="Career Mentor"/>
    <m/>
    <s v="African (South Africa)"/>
    <s v="Male"/>
    <s v="40 - 49"/>
    <m/>
    <s v="South Africa"/>
    <m/>
    <m/>
    <m/>
    <s v="11 -15 Years"/>
    <m/>
    <s v="2839717"/>
    <x v="101"/>
    <s v="Full Time Employee"/>
    <s v="African (South Africa)"/>
    <s v="Female"/>
    <s v="40 - 49"/>
    <s v="FNB Points of Presence (Musa Vukeya)"/>
    <s v="South Africa"/>
    <s v="FNB"/>
    <s v="7710405800 FNB POP Commercial Collaboration"/>
    <s v="Key Accounts Manager"/>
    <s v="&gt;20 Years"/>
    <s v="Client Relationship Management"/>
    <s v="Create Mentorship Event for Kgomotso Matshoba with Tshepo Motsei (Terminated)"/>
    <d v="2023-12-19T00:00:00"/>
    <d v="2023-12-31T00:00:00"/>
    <m/>
  </r>
  <r>
    <s v="3192814"/>
    <x v="78"/>
    <s v="Actuarial Science Mentoring Programme"/>
    <s v="Career Mentor"/>
    <m/>
    <s v="White (South Africa)"/>
    <s v="Male"/>
    <s v="40 - 49"/>
    <m/>
    <s v="South Africa"/>
    <m/>
    <m/>
    <m/>
    <s v="16 - 20 Years"/>
    <m/>
    <s v="5603935"/>
    <x v="102"/>
    <s v="Full Time Employee"/>
    <s v="White (South Africa)"/>
    <s v="Male"/>
    <s v="20 - 29"/>
    <s v="FNB Loans (Joshua Maduna)"/>
    <s v="South Africa"/>
    <s v="FNB"/>
    <s v="79100009082 FNB Consumer Loans Support Credit"/>
    <s v="Data Scientist"/>
    <s v="3 - 5 Years"/>
    <s v="Analytics"/>
    <s v="Create Mentorship Event for Sean Christoph with Paul Erasmus (Terminated)"/>
    <d v="2023-08-01T00:00:00"/>
    <d v="2024-08-31T00:00:00"/>
    <m/>
  </r>
  <r>
    <s v="2152649"/>
    <x v="79"/>
    <s v="Better integration into a team/business unit_x000a__x000a_Bridging the gap for graduates and first-time joiners to the workplace_x000a__x000a_Broaden organisational knowledge_x000a__x000a_Career guidance_x000a__x000a_Deal with diversity and inclusion challenges_x000a__x000a_Develop leadership skills_x000a__x000a_Disruptive technologies_x000a__x000a_Innovation_x000a__x000a_Learn how to navigate the system_x000a__x000a_Manage a career transition_x000a__x000a_Relationship building and networking"/>
    <s v="Career Mentor"/>
    <s v="Full Time Employee"/>
    <s v="White (South Africa)"/>
    <s v="Male"/>
    <s v="50 - 59"/>
    <s v="FNB Private Segment (Philani Phakamani Potwana)"/>
    <s v="South Africa"/>
    <s v="FNB"/>
    <s v="41200007842 FNB Private Core Banking Exco"/>
    <s v="Chief Operating Officer"/>
    <s v="&gt;20 Years"/>
    <s v="Operations"/>
    <s v="4987063"/>
    <x v="103"/>
    <s v="Full Time Employee"/>
    <s v="African (South Africa)"/>
    <s v="Male"/>
    <s v="30 - 39"/>
    <s v="FNB Private Banking and Advisory (Morne Welgemoed)"/>
    <s v="South Africa"/>
    <s v="FNB"/>
    <s v="34100007232 PB&amp;A Service Suite Advisor Engagement"/>
    <s v="Private Service Advisor"/>
    <s v="3 - 5 Years"/>
    <s v="Client Relationship Management"/>
    <s v="Create Mentorship Event for Mpho Sephetho with Shane French_x000a__x000a_Edit Mentorship Event for Mpho Sephetho with Shane French"/>
    <d v="2024-01-10T00:00:00"/>
    <d v="2030-12-31T00:00:00"/>
    <m/>
  </r>
  <r>
    <s v="4630211"/>
    <x v="80"/>
    <m/>
    <s v="Technical Mentor"/>
    <s v="Full Time Employee"/>
    <s v="African (South Africa)"/>
    <s v="Male"/>
    <s v="40 - 49"/>
    <s v="FNB Commercial Core Juristic Platform (Dustin Blyth)"/>
    <s v="South Africa"/>
    <s v="FNB"/>
    <s v="34200009026 FNB Commercial CJP IT Development"/>
    <s v="Information Technology Head"/>
    <s v="6 - 10 Years"/>
    <s v="IT Development"/>
    <s v="4630351"/>
    <x v="104"/>
    <s v="Full Time Employee"/>
    <s v="African (South Africa)"/>
    <s v="Male"/>
    <s v="40 - 49"/>
    <s v="FNB Commercial Core Juristic Platform (Lamla Gege)"/>
    <s v="South Africa"/>
    <s v="FNB"/>
    <s v="34200009026 FNB Commercial CJP IT Development"/>
    <s v="Java Developer"/>
    <s v="11 -15 Years"/>
    <s v="IT Development"/>
    <s v="Close Mentorship Event for Thembani Mashao with Lamla Gege_x000a__x000a_Create Mentorship Event for Thembani Mashao with Lamla Gege"/>
    <d v="2022-02-02T00:00:00"/>
    <d v="2024-05-15T00:00:00"/>
    <s v="Mentee Withdrawal - Change in Mentoring Needs"/>
  </r>
  <r>
    <s v="4739116"/>
    <x v="81"/>
    <s v="- Provide career development guidance_x000a_- Prepare mentee for new leadership opportunities"/>
    <s v="Leadership Mentor"/>
    <s v="Full Time Employee"/>
    <s v="African (South Africa)"/>
    <s v="Female"/>
    <s v="30 - 39"/>
    <s v="FNB R&amp;C Chief Information Office (La-Cell Mouton)"/>
    <s v="South Africa"/>
    <s v="FirstRand Corporate Centre"/>
    <s v="20200002266 CDO Banking Finxact"/>
    <s v="Chief Information Officer"/>
    <s v="11 -15 Years"/>
    <s v="System Design and Administration"/>
    <s v="5600952"/>
    <x v="105"/>
    <s v="Full Time Employee"/>
    <s v="African (South Africa)"/>
    <s v="Female"/>
    <s v="20 - 29"/>
    <s v="FNB nav Home (Winnie Masina)"/>
    <s v="South Africa"/>
    <s v="FNB"/>
    <s v="39400003192 FNB nav Head Office"/>
    <s v="Product Manager"/>
    <s v="3 - 5 Years"/>
    <s v="Product Support, Development and Analysis"/>
    <s v="Create Mentorship Event for Nombuso Mkhize with Rethabile Tsekedi"/>
    <d v="2024-01-11T00:00:00"/>
    <m/>
    <m/>
  </r>
  <r>
    <s v="3384292"/>
    <x v="37"/>
    <m/>
    <s v="Career Mentor"/>
    <s v="Full Time Employee"/>
    <s v="Racially disadvantaged (Namibia)"/>
    <s v="Female"/>
    <s v="50 - 59"/>
    <s v="FNB Namibia Limited (Wiann Mans)"/>
    <s v="Namibia"/>
    <s v="FNB"/>
    <s v="302031B9D555 FNB Namibia Human Capital"/>
    <s v="Learning and Development Manager"/>
    <s v="11 -15 Years"/>
    <s v="Experience Architecting"/>
    <s v="5660491"/>
    <x v="106"/>
    <s v="Full Time Employee"/>
    <s v="Racially disadvantaged (Namibia)"/>
    <s v="Female"/>
    <s v="20 - 29"/>
    <s v="FNB Namibia Limited (Lazarus Nghidimbwa)"/>
    <s v="Namibia"/>
    <s v="FNB"/>
    <s v="302000001499 FNB Namibia Far North Area Office Eenhana"/>
    <s v="Service Host"/>
    <s v="1 Year"/>
    <s v="Client Experience and Value Management"/>
    <s v="Create Mentorship Event for Tuyeimo Penehafo Nghiholiwe with Annastasia Williams"/>
    <d v="2024-01-16T00:00:00"/>
    <d v="2030-12-01T00:00:00"/>
    <m/>
  </r>
  <r>
    <s v="3349098"/>
    <x v="82"/>
    <m/>
    <s v="Workplace  Buddy"/>
    <s v="Full Time Employee"/>
    <s v="African (South Africa)"/>
    <s v="Female"/>
    <s v="40 - 49"/>
    <s v="FNB Commercial Sales Cape (Monwabisi Poswa)"/>
    <s v="South Africa"/>
    <s v="FNB"/>
    <s v="34300009158 FNB Commercial Growth Eastern Cape Country"/>
    <s v="Business Manager"/>
    <s v="11 -15 Years"/>
    <s v="Business Development"/>
    <s v="3050262"/>
    <x v="107"/>
    <s v="Full Time Employee"/>
    <s v="African (South Africa)"/>
    <s v="Male"/>
    <s v="50 - 59"/>
    <s v="FNB Points of Presence (Lizo Dlamini)"/>
    <s v="South Africa"/>
    <s v="FNB"/>
    <s v="771039900 FNB POP Branch Delivery Mthatha"/>
    <s v="Customer Experience Advisor"/>
    <s v="&gt;20 Years"/>
    <s v="Client Experience and Value Management"/>
    <s v="Create Mentorship Event for Lazola Gubevu with Lusanda Sombinge"/>
    <d v="2024-01-17T00:00:00"/>
    <d v="2024-06-30T00:00:00"/>
    <m/>
  </r>
  <r>
    <s v="4535286"/>
    <x v="35"/>
    <s v="·        Career guidance_x000a_I am a systems Analyst with 6 years experience. I have an interest to transition in a BI Manager or Insight and Analystics Manager role. I would like guidance on what courses to take to best prepare and how to best do the transition._x000a_·        Develop leadership skills_x000a_I believe i am a leader and ready to step up to lead role, i need assistance on how to best develop and show case these skills._x000a_·        Relationship building and networking_x000a_I would like assistance on how do i broaden my network and grow in my career."/>
    <s v="Career Mentor"/>
    <s v="Full Time Employee"/>
    <s v="White (South Africa)"/>
    <s v="Female"/>
    <s v="50 - 59"/>
    <s v="FNB Commercial Analytics Insights Data (Patrick Motshweni)"/>
    <s v="South Africa"/>
    <s v="FNB"/>
    <s v="34300005518 FNB Commercial Data Office"/>
    <s v="Information Architect Head"/>
    <s v="11 -15 Years"/>
    <s v="Data Management, Maintenance and Security"/>
    <s v="5409624"/>
    <x v="108"/>
    <m/>
    <s v="African (South Africa)"/>
    <s v="Female"/>
    <s v="20 - 29"/>
    <m/>
    <s v="South Africa"/>
    <m/>
    <m/>
    <m/>
    <s v="&lt;1 Year"/>
    <m/>
    <s v="Create Mentorship Event for Nosivuno September (Terminated) with Athena Botha"/>
    <d v="2024-01-18T00:00:00"/>
    <d v="2024-12-18T00:00:00"/>
    <m/>
  </r>
  <r>
    <s v="3377326"/>
    <x v="38"/>
    <s v="Develop leadership skills._x000a__x000a_Learn how to navigate the system._x000a__x000a_Relationship building and networking."/>
    <s v="Leadership Mentor"/>
    <s v="Full Time Employee"/>
    <s v="Racially disadvantaged (Namibia)"/>
    <s v="Female"/>
    <s v="50 - 59"/>
    <s v="FNB Namibia Limited (Emmanuel Murwira)"/>
    <s v="Namibia"/>
    <s v="FNB"/>
    <s v="846000004213 Ashburton Investment Managers (Pty) Ltd"/>
    <s v="Compliance Head"/>
    <s v="6 - 10 Years"/>
    <s v="Compliance"/>
    <s v="5498112"/>
    <x v="109"/>
    <s v="Full Time Employee"/>
    <s v="Racially disadvantaged (Namibia)"/>
    <s v="Female"/>
    <s v="30 - 39"/>
    <s v="FNB Namibia Limited (Lucky Shindume)"/>
    <s v="Namibia"/>
    <s v="FNB"/>
    <s v="302000006866 FNB Namibia Compliance"/>
    <s v="Compliance Monitoring Specialist"/>
    <s v="3 - 5 Years"/>
    <s v="Compliance"/>
    <s v="Create Mentorship Event for Hitjiza Kamupingene with Yamillah Katjirua"/>
    <d v="2024-03-01T00:00:00"/>
    <m/>
    <m/>
  </r>
  <r>
    <s v="3818748"/>
    <x v="28"/>
    <m/>
    <s v="Leadership Mentor"/>
    <s v="Full Time Employee"/>
    <s v="African (South Africa)"/>
    <s v="Male"/>
    <s v="40 - 49"/>
    <s v="FNB Chief Finance Office iFinance (Parmasivan Pillay)"/>
    <s v="South Africa"/>
    <s v="FirstRand Corporate Centre"/>
    <s v="20200011041 FRCC Group Project Management Office"/>
    <s v="Capability Lead"/>
    <s v="11 -15 Years"/>
    <s v="Operations"/>
    <s v="7540361"/>
    <x v="110"/>
    <s v="Full Time Employee"/>
    <s v="African (South Africa)"/>
    <s v="Male"/>
    <s v="40 - 49"/>
    <s v="FNB Points of Presence (Disebo Motsapi)"/>
    <s v="South Africa"/>
    <s v="FNB"/>
    <s v="771012600 FNB POP Branch Delivery Randfontein"/>
    <s v="Customer Experience Advisor"/>
    <s v="3 - 5 Years"/>
    <s v="Client Experience and Value Management"/>
    <s v="Create Mentorship Event for Brian Sithole with Hlamalani Mashaba"/>
    <d v="2024-02-01T00:00:00"/>
    <m/>
    <m/>
  </r>
  <r>
    <s v="3504840"/>
    <x v="83"/>
    <m/>
    <s v="Leadership Mentor"/>
    <s v="Full Time Employee"/>
    <s v="African (South Africa)"/>
    <s v="Female"/>
    <s v="40 - 49"/>
    <s v="FNB Points of Presence (Awelani Mafune)"/>
    <s v="South Africa"/>
    <s v="FNB"/>
    <s v="7710110500 FNB POP Branch Delivery Highveld Mall"/>
    <s v="Branch Administrator"/>
    <s v="16 - 20 Years"/>
    <s v="Administration"/>
    <s v="5327172"/>
    <x v="111"/>
    <s v="OBR With Fixed Pay"/>
    <s v="African (South Africa)"/>
    <s v="Female"/>
    <s v="30 - 39"/>
    <s v="FNB Points of Presence (Naume Khalane)"/>
    <s v="South Africa"/>
    <s v="FNB"/>
    <s v="7710101100 FNB POP Branch Delivery KG Mall"/>
    <s v="Branch Advisor FAIS"/>
    <s v="6 - 10 Years"/>
    <s v="Client Services Support and Delivery"/>
    <s v="Create Mentorship Event for Lebo Mohlala with Thuto Chabane"/>
    <d v="2024-01-01T00:00:00"/>
    <d v="2024-12-31T00:00:00"/>
    <m/>
  </r>
  <r>
    <s v="3221776"/>
    <x v="63"/>
    <s v="Being a better OBR consultant"/>
    <s v="Career Mentor"/>
    <s v="Full Time Employee"/>
    <s v="African (South Africa)"/>
    <s v="Female"/>
    <s v="40 - 49"/>
    <s v="FNB Points of Presence (Kobus Steenkamp)"/>
    <s v="South Africa"/>
    <s v="FNB"/>
    <s v="771043400 FNB POP Branch Delivery Zastron"/>
    <s v="Associate"/>
    <s v="16 - 20 Years"/>
    <s v="Client Relationship Management"/>
    <s v="5551528"/>
    <x v="112"/>
    <s v="OBR With Fixed Pay"/>
    <s v="African (South Africa)"/>
    <s v="Male"/>
    <s v="30 - 39"/>
    <s v="FNB Points of Presence (Sandra Du Randt)"/>
    <s v="South Africa"/>
    <s v="FNB"/>
    <s v="771050700 FNB POP Branch Delivery College Square"/>
    <s v="Branch External Sales and Service Advisor OBR"/>
    <s v="3 - 5 Years"/>
    <s v="Direct Sales"/>
    <s v="Create Mentorship Event for Sekoala Lenkoane with Bomikazi Sekoala"/>
    <d v="2024-01-12T00:00:00"/>
    <d v="2024-12-31T00:00:00"/>
    <m/>
  </r>
  <r>
    <s v="3349098"/>
    <x v="82"/>
    <s v="for me to complete my assessments"/>
    <s v="Career Mentor"/>
    <s v="Full Time Employee"/>
    <s v="African (South Africa)"/>
    <s v="Female"/>
    <s v="40 - 49"/>
    <s v="FNB Commercial Sales Cape (Monwabisi Poswa)"/>
    <s v="South Africa"/>
    <s v="FNB"/>
    <s v="34300009158 FNB Commercial Growth Eastern Cape Country"/>
    <s v="Business Manager"/>
    <s v="11 -15 Years"/>
    <s v="Business Development"/>
    <s v="5490316"/>
    <x v="113"/>
    <s v="OBR With Fixed Pay"/>
    <s v="African (South Africa)"/>
    <s v="Female"/>
    <s v="30 - 39"/>
    <s v="FNB Points of Presence (Masixole Baduza)"/>
    <s v="South Africa"/>
    <s v="FNB"/>
    <s v="771039900 FNB POP Branch Delivery Mthatha"/>
    <s v="Branch Advisor FAIS"/>
    <s v="2 Years"/>
    <s v="Client Services Support and Delivery"/>
    <s v="Create Mentorship Event for Siziphiwe Tyebisa with Lusanda Sombinge"/>
    <d v="2024-01-15T00:00:00"/>
    <d v="2024-06-30T00:00:00"/>
    <m/>
  </r>
  <r>
    <s v="3349098"/>
    <x v="82"/>
    <s v="Understand the role"/>
    <s v="Leadership Mentor"/>
    <s v="Full Time Employee"/>
    <s v="African (South Africa)"/>
    <s v="Female"/>
    <s v="40 - 49"/>
    <s v="FNB Commercial Sales Cape (Monwabisi Poswa)"/>
    <s v="South Africa"/>
    <s v="FNB"/>
    <s v="34300009158 FNB Commercial Growth Eastern Cape Country"/>
    <s v="Business Manager"/>
    <s v="11 -15 Years"/>
    <s v="Business Development"/>
    <s v="3835375"/>
    <x v="114"/>
    <s v="Full Time Employee"/>
    <s v="African (South Africa)"/>
    <s v="Female"/>
    <s v="30 - 39"/>
    <s v="FNB Points of Presence (Kobus Steenkamp)"/>
    <s v="South Africa"/>
    <s v="FNB"/>
    <s v="771024500 FNB POP Branch Delivery Heilbron"/>
    <s v="Associate"/>
    <s v="11 -15 Years"/>
    <s v="Client Relationship Management"/>
    <s v="Create Mentorship Event for Yanda Kupiso with Lusanda Sombinge"/>
    <d v="2024-01-22T00:00:00"/>
    <d v="2024-06-30T00:00:00"/>
    <m/>
  </r>
  <r>
    <s v="4818865"/>
    <x v="76"/>
    <m/>
    <s v="Career Mentor"/>
    <s v="Full Time Employee"/>
    <s v="African (South Africa)"/>
    <s v="Female"/>
    <s v="30 - 39"/>
    <s v="FNB Points of Presence (Nikita Govender)"/>
    <s v="South Africa"/>
    <s v="FNB"/>
    <s v="7710405800 FNB POP Commercial Collaboration"/>
    <s v="Support Advisor FAIS"/>
    <s v="3 - 5 Years"/>
    <s v="Client Services Support and Delivery"/>
    <s v="3354202"/>
    <x v="115"/>
    <s v="OBR With Fixed Pay"/>
    <s v="African (South Africa)"/>
    <s v="Female"/>
    <s v="40 - 49"/>
    <s v="FNB Points of Presence (Sam Letshwene)"/>
    <s v="South Africa"/>
    <s v="FNB"/>
    <s v="771036000 FNB POP Branch Delivery Rustenburg"/>
    <s v="Branch Advisor FAIS"/>
    <s v="16 - 20 Years"/>
    <s v="Client Services Support and Delivery"/>
    <s v="Create Mentorship Event for Refilwe Makgala with Mmamodise Tiro"/>
    <d v="2024-01-10T00:00:00"/>
    <d v="2025-01-01T00:00:00"/>
    <m/>
  </r>
  <r>
    <s v="3349098"/>
    <x v="82"/>
    <s v="achieve my goals"/>
    <s v="Leadership Mentor"/>
    <s v="Full Time Employee"/>
    <s v="African (South Africa)"/>
    <s v="Female"/>
    <s v="40 - 49"/>
    <s v="FNB Commercial Sales Cape (Monwabisi Poswa)"/>
    <s v="South Africa"/>
    <s v="FNB"/>
    <s v="34300009158 FNB Commercial Growth Eastern Cape Country"/>
    <s v="Business Manager"/>
    <s v="11 -15 Years"/>
    <s v="Business Development"/>
    <s v="5635365"/>
    <x v="116"/>
    <s v="OBR With Fixed Pay"/>
    <s v="African (South Africa)"/>
    <s v="Female"/>
    <s v="30 - 39"/>
    <s v="FNB Points of Presence (Masixole Baduza)"/>
    <s v="South Africa"/>
    <s v="FNB"/>
    <s v="771039900 FNB POP Branch Delivery Mthatha"/>
    <s v="Branch Advisor FAIS"/>
    <s v="2 Years"/>
    <s v="Client Services Support and Delivery"/>
    <s v="Create Mentorship Event for Tumeka Mbombo with Lusanda Sombinge"/>
    <d v="2024-01-17T00:00:00"/>
    <d v="2024-06-30T00:00:00"/>
    <m/>
  </r>
  <r>
    <s v="4913930"/>
    <x v="84"/>
    <s v="Through this mentorship programme i would like to be assisted to elevate my career to a role in Data Science/Analysis. I would like to find out more about the role and how I can be a successful candidate whenever there is an opening."/>
    <s v="Career Mentor"/>
    <s v="Full Time Employee"/>
    <s v="African (South Africa)"/>
    <s v="Male"/>
    <s v="30 - 39"/>
    <s v="FNB Commercial TxP Analytics (Mark Van Der Westhuizen)"/>
    <s v="South Africa"/>
    <s v="FNB"/>
    <s v="39800005521 FNB Commercial TxP Analytics"/>
    <s v="Data Science Manager"/>
    <s v="6 - 10 Years"/>
    <s v="Analytics"/>
    <s v="5621135"/>
    <x v="117"/>
    <s v="OBR With Fixed Pay"/>
    <s v="African (South Africa)"/>
    <s v="Male"/>
    <s v="30 - 39"/>
    <s v="FirstRand Short Term Insurance (Andile Matomela)"/>
    <s v="South Africa"/>
    <s v="FNB"/>
    <s v="90700004633 ST Personal Comp Sales"/>
    <s v="Short Term Insurance Sales Consultant"/>
    <s v="3 - 5 Years"/>
    <s v="Direct Sales"/>
    <s v="Create Mentorship Event for Phil Nkosi with Bheki Cele"/>
    <d v="2024-02-01T00:00:00"/>
    <d v="2024-02-29T00:00:00"/>
    <m/>
  </r>
  <r>
    <s v="5182859"/>
    <x v="85"/>
    <s v="Mentorship Journey"/>
    <s v="Leadership Mentor"/>
    <s v="Full Time Employee"/>
    <s v="Indian (South Africa)"/>
    <s v="Female"/>
    <s v="40 - 49"/>
    <s v="Group Human Capital (Dudu Moloko)"/>
    <s v="South Africa"/>
    <s v="FirstRand Corporate Centre"/>
    <s v="20200007954 FRCC People Governance Learning Compliance"/>
    <s v="Group Lead Learning and Development"/>
    <s v="6 - 10 Years"/>
    <s v="Experience Architecting"/>
    <s v="5642582"/>
    <x v="118"/>
    <s v="Full Time Employee"/>
    <m/>
    <s v="Female"/>
    <s v="30 - 39"/>
    <s v="FNB Zambia Human Capital (Musyani Siwelwa)"/>
    <s v="Zambia"/>
    <s v="FNB"/>
    <s v="55300003076 FNB Zambia Human Capital"/>
    <s v="Learning Specialist"/>
    <s v="2 Years"/>
    <s v="Experience Architecting"/>
    <s v="Create Mentorship Event for Mary Simujayangombe with Sudeshni Gounden"/>
    <d v="2024-01-19T00:00:00"/>
    <d v="2024-12-31T00:00:00"/>
    <m/>
  </r>
  <r>
    <s v="3377326"/>
    <x v="38"/>
    <s v="I'm signing up for Shaun to be my mentor, coaching on industry and to better prepare for the future of banking, the compliance and laws associated with the future."/>
    <s v="Leadership Mentor"/>
    <s v="Full Time Employee"/>
    <s v="Racially disadvantaged (Namibia)"/>
    <s v="Female"/>
    <s v="50 - 59"/>
    <s v="FNB Namibia Limited (Emmanuel Murwira)"/>
    <s v="Namibia"/>
    <s v="FNB"/>
    <s v="846000004213 Ashburton Investment Managers (Pty) Ltd"/>
    <s v="Compliance Head"/>
    <s v="6 - 10 Years"/>
    <s v="Compliance"/>
    <s v="2905914"/>
    <x v="119"/>
    <m/>
    <s v="Racially advantaged (Namibia)"/>
    <s v="Male"/>
    <s v="40 - 49"/>
    <m/>
    <s v="Namibia"/>
    <m/>
    <m/>
    <m/>
    <s v="16 - 20 Years"/>
    <m/>
    <s v="Create Mentorship Event for Gibson Mostert (Terminated) with Yamillah Katjirua"/>
    <d v="2024-03-01T00:00:00"/>
    <d v="2024-05-31T00:00:00"/>
    <m/>
  </r>
  <r>
    <s v="3572323"/>
    <x v="65"/>
    <m/>
    <s v="Leadership Mentor"/>
    <m/>
    <s v="African (South Africa)"/>
    <s v="Female"/>
    <s v="30 - 39"/>
    <m/>
    <s v="South Africa"/>
    <m/>
    <m/>
    <m/>
    <s v="6 - 10 Years"/>
    <m/>
    <s v="3353036"/>
    <x v="120"/>
    <s v="Full Time Employee"/>
    <s v="African (South Africa)"/>
    <s v="Female"/>
    <s v="40 - 49"/>
    <s v="FNB Points of Presence (Ignatia Monyai)"/>
    <s v="South Africa"/>
    <s v="FNB"/>
    <s v="771025000 FNB POP Branch Delivery Festival Mall"/>
    <s v="Universal Advisor Lead"/>
    <s v="16 - 20 Years"/>
    <s v="Client Experience and Value Management"/>
    <s v="Create Mentorship Event for Lindeni Temba with Maserame Makwakwa (Terminated)"/>
    <d v="2024-02-01T00:00:00"/>
    <d v="2024-04-30T00:00:00"/>
    <m/>
  </r>
  <r>
    <s v="4655516"/>
    <x v="86"/>
    <s v="Provide guidance, motivation, emotional support and role modelling."/>
    <s v="Leadership Mentor"/>
    <s v="Full Time Employee"/>
    <s v="Indian (South Africa)"/>
    <s v="Male"/>
    <s v="30 - 39"/>
    <s v="FNB Wealth (Dickson Naidoo)"/>
    <s v="South Africa"/>
    <s v="FNB"/>
    <s v="34100007232 PB&amp;A Service Suite Advisor Engagement"/>
    <s v="Team Leader"/>
    <s v="11 -15 Years"/>
    <s v="Operations"/>
    <s v="3224546"/>
    <x v="121"/>
    <s v="Full Time Employee"/>
    <s v="African (South Africa)"/>
    <s v="Female"/>
    <s v="40 - 49"/>
    <s v="FNB Points of Presence (Lindi Mahlangu)"/>
    <s v="South Africa"/>
    <s v="FNB"/>
    <s v="7710247500 FNB POP Branch Delivery Eyethu Orange Farm Mall"/>
    <s v="Customer Experience Advisor"/>
    <s v="16 - 20 Years"/>
    <s v="Client Experience and Value Management"/>
    <s v="Create Mentorship Event for Yvonne Mofokeng with Abdul Raheem Karim"/>
    <d v="2024-04-30T00:00:00"/>
    <d v="2024-12-27T00:00:00"/>
    <m/>
  </r>
  <r>
    <s v="3974510"/>
    <x v="87"/>
    <m/>
    <s v="Leadership Mentor"/>
    <s v="Full Time Employee"/>
    <s v="African (South Africa)"/>
    <s v="Female"/>
    <s v="30 - 39"/>
    <s v="FNB Points of Presence (Neill C. Van Wyk)"/>
    <s v="South Africa"/>
    <s v="FNB"/>
    <s v="771018100 FNB POP Branch Delivery Brits"/>
    <s v="Local Market Manager"/>
    <s v="11 -15 Years"/>
    <s v="Client Relationship Management"/>
    <s v="5269059"/>
    <x v="122"/>
    <s v="OBR With Fixed Pay"/>
    <s v="African (South Africa)"/>
    <s v="Male"/>
    <s v="30 - 39"/>
    <s v="FNB Points of Presence (Chantel Pretorius)"/>
    <s v="South Africa"/>
    <s v="FNB"/>
    <s v="771032100 FNB POP Branch Delivery Orkney"/>
    <s v="Branch Advisor FAIS"/>
    <s v="3 - 5 Years"/>
    <s v="Client Services Support and Delivery"/>
    <s v="Create Mentorship Event for Benjamin Mguzulwa with Dimpho Thupayakgosi"/>
    <d v="2024-01-30T00:00:00"/>
    <d v="2024-09-27T00:00:00"/>
    <m/>
  </r>
  <r>
    <s v="3354423"/>
    <x v="59"/>
    <s v="I would like to be a business manager"/>
    <s v="Career Mentor"/>
    <s v="Full Time Employee"/>
    <s v="African (South Africa)"/>
    <s v="Female"/>
    <s v="30 - 39"/>
    <s v="FNB Personal Core Banking (Malesela Rankapole)"/>
    <s v="South Africa"/>
    <s v="FNB"/>
    <s v="48100003462 FNB Personal Core Banking Retail Sales"/>
    <s v="Growth Specialist"/>
    <s v="16 - 20 Years"/>
    <s v="Business Development"/>
    <s v="7581998"/>
    <x v="123"/>
    <s v="OBR With Fixed Pay"/>
    <s v="African (South Africa)"/>
    <s v="Male"/>
    <s v="40 - 49"/>
    <s v="FNB Points of Presence (Shoeshoe Matlhabe)"/>
    <s v="South Africa"/>
    <s v="FNB"/>
    <s v="771003700 FNB POP Branch Delivery Rosebank"/>
    <s v="Branch Advisor FAIS"/>
    <s v="6 - 10 Years"/>
    <s v="Client Services Support and Delivery"/>
    <s v="Create Mentorship Event for Yanga Mbadu with Dorah Mohlopi_x000a__x000a_Edit Mentorship Event for Yanga Mbadu with Dorah Mohlopi"/>
    <d v="2024-01-18T00:00:00"/>
    <d v="2024-12-06T00:00:00"/>
    <m/>
  </r>
  <r>
    <s v="5235103"/>
    <x v="88"/>
    <s v="Good day, I am looking for someone who will guide me in my career and be able grow. A person which I feel I can learn from and also be in a position possibly to impart some knowledge to them also. I wanna use this opportunity to also get out of my comfort zone and learn about other people and the things they do and how it all contributes to this one big goal the bank also has for itself."/>
    <s v="Career Mentor"/>
    <s v="Full Time Employee"/>
    <s v="African (South Africa)"/>
    <s v="Female"/>
    <s v="30 - 39"/>
    <s v="FNB Personal Segment Advisory and Suites (Mocheko Chaka)"/>
    <s v="South Africa"/>
    <s v="FNB"/>
    <s v="97200011017 FNB PSAS - Suite Exco"/>
    <s v="Business Support Head"/>
    <s v="6 - 10 Years"/>
    <s v="Operations"/>
    <s v="5290511"/>
    <x v="124"/>
    <s v="Full Time Employee"/>
    <s v="African (South Africa)"/>
    <s v="Female"/>
    <s v="30 - 39"/>
    <s v="FNB ConnectMe (Sivuyile Ngxabazi)"/>
    <s v="South Africa"/>
    <s v="FNB"/>
    <s v="84900001599 FNB ConnectMe Finance"/>
    <s v="Cost Accountant"/>
    <s v="3 - 5 Years"/>
    <s v="Accounting and Financial Intelligence"/>
    <s v="Create Mentorship Event for Mpho Baloyi with Nomgqibelo Msimango"/>
    <d v="2024-02-01T00:00:00"/>
    <d v="2024-11-30T00:00:00"/>
    <m/>
  </r>
  <r>
    <s v="5076234"/>
    <x v="89"/>
    <s v="To be a branch Controller"/>
    <s v="Leadership Mentor"/>
    <s v="Full Time Employee"/>
    <s v="African (South Africa)"/>
    <s v="Male"/>
    <s v="30 - 39"/>
    <s v="FNB Points of Presence (Kobus Steenkamp)"/>
    <s v="South Africa"/>
    <s v="FNB"/>
    <s v="771027600 FNB POP Branch Delivery Kroonstad"/>
    <s v="Associate"/>
    <s v="6 - 10 Years"/>
    <s v="Client Relationship Management"/>
    <s v="4946537"/>
    <x v="125"/>
    <m/>
    <s v="African (South Africa)"/>
    <s v="Female"/>
    <s v="30 - 39"/>
    <m/>
    <s v="South Africa"/>
    <m/>
    <m/>
    <m/>
    <s v="6 - 10 Years"/>
    <m/>
    <s v="Create Mentorship Event for Kamohelo Mokotjomela (Terminated) with Tsami Motaung"/>
    <d v="2023-08-18T00:00:00"/>
    <d v="2024-03-31T00:00:00"/>
    <m/>
  </r>
  <r>
    <s v="3354423"/>
    <x v="59"/>
    <s v="Career development support"/>
    <s v="Career Mentor"/>
    <s v="Full Time Employee"/>
    <s v="African (South Africa)"/>
    <s v="Female"/>
    <s v="30 - 39"/>
    <s v="FNB Personal Core Banking (Malesela Rankapole)"/>
    <s v="South Africa"/>
    <s v="FNB"/>
    <s v="48100003462 FNB Personal Core Banking Retail Sales"/>
    <s v="Growth Specialist"/>
    <s v="16 - 20 Years"/>
    <s v="Business Development"/>
    <s v="5588073"/>
    <x v="126"/>
    <s v="OBR With Fixed Pay"/>
    <s v="African (South Africa)"/>
    <s v="Male"/>
    <s v="30 - 39"/>
    <s v="FNB Points of Presence (Mpilonhle Segale)"/>
    <s v="South Africa"/>
    <s v="FNB"/>
    <s v="771066900 FNB POP Branch Delivery Key West"/>
    <s v="Branch Advisor FAIS"/>
    <s v="3 - 5 Years"/>
    <s v="Client Services Support and Delivery"/>
    <s v="Create Mentorship Event for Gabriel Mosiane with Dorah Mohlopi"/>
    <d v="2024-04-01T00:00:00"/>
    <d v="2024-07-01T00:00:00"/>
    <m/>
  </r>
  <r>
    <s v="5004608"/>
    <x v="29"/>
    <s v="To coach me into her responsibilities and duties of being a team leader."/>
    <s v="Leadership Mentor"/>
    <s v="Full Time Employee"/>
    <s v="African (Lesotho)"/>
    <s v="Female"/>
    <s v="30 - 39"/>
    <s v="FNB Lesotho (Daniel Mohau)"/>
    <s v="Lesotho"/>
    <s v="FNB"/>
    <s v="51800001852 FNB Lesotho OPC"/>
    <s v="Team Leader Back Office"/>
    <s v="6 - 10 Years"/>
    <s v="Operations"/>
    <s v="5339650"/>
    <x v="127"/>
    <s v="Full Time Employee"/>
    <m/>
    <s v="Female"/>
    <s v="30 - 39"/>
    <s v="FNB Lesotho (Maleseli Lorraine Chefa)"/>
    <s v="Lesotho"/>
    <s v="FNB"/>
    <s v="51800001852 FNB Lesotho OPC"/>
    <s v="Team Member Back Office"/>
    <s v="3 - 5 Years"/>
    <s v="Operations"/>
    <s v="Create Mentorship Event for Lindiwe Tshabalala with Maleseli Lorraine Chefa"/>
    <d v="2024-02-01T00:00:00"/>
    <d v="2024-05-31T00:00:00"/>
    <m/>
  </r>
  <r>
    <s v="2073889"/>
    <x v="90"/>
    <s v="Learn more about sales, service and operations"/>
    <s v="Leadership Mentor"/>
    <s v="Full Time Employee"/>
    <s v="White (South Africa)"/>
    <s v="Female"/>
    <s v="50 - 59"/>
    <s v="FNB Points of Presence (Chantell Holder)"/>
    <s v="South Africa"/>
    <s v="FNB"/>
    <s v="771096300 FNB POP Branch Delivery Bedford Gardens"/>
    <s v="Associate"/>
    <s v="16 - 20 Years"/>
    <s v="Client Relationship Management"/>
    <s v="7574576"/>
    <x v="128"/>
    <m/>
    <s v="African (South Africa)"/>
    <s v="Female"/>
    <s v="40 - 49"/>
    <m/>
    <s v="South Africa"/>
    <m/>
    <m/>
    <m/>
    <s v="11 -15 Years"/>
    <m/>
    <s v="Create Mentorship Event for Masesi Sibanda (Terminated) with Catharina Harmse"/>
    <d v="2024-01-25T00:00:00"/>
    <d v="2024-07-31T00:00:00"/>
    <m/>
  </r>
  <r>
    <s v="2667509"/>
    <x v="70"/>
    <m/>
    <s v="Leadership Mentor"/>
    <s v="Full Time Employee"/>
    <s v="White (South Africa)"/>
    <s v="Female"/>
    <s v="40 - 49"/>
    <s v="FNB Points of Presence (Bernice O Reilly)"/>
    <s v="South Africa"/>
    <s v="FNB"/>
    <s v="7710669900 FNB POP Branch Finance"/>
    <s v="Financial Manager"/>
    <s v="11 -15 Years"/>
    <s v="Financial Management"/>
    <s v="3293335"/>
    <x v="129"/>
    <s v="Full Time Employee"/>
    <s v="African (South Africa)"/>
    <s v="Male"/>
    <s v="40 - 49"/>
    <s v="FNB Points of Presence (Martha Maqetuka)"/>
    <s v="South Africa"/>
    <s v="FNB"/>
    <s v="771052700 FNB POP Branch Delivery Eastgate"/>
    <s v="Customer Experience Advisor"/>
    <s v="16 - 20 Years"/>
    <s v="Client Experience and Value Management"/>
    <s v="Create Mentorship Event for Manqoba Sindane with Dwan Steyn"/>
    <d v="2024-01-23T00:00:00"/>
    <m/>
    <m/>
  </r>
  <r>
    <s v="4865952"/>
    <x v="91"/>
    <s v="Roles in leadersy"/>
    <s v="Leadership Mentor"/>
    <s v="Full Time Employee"/>
    <s v="African (South Africa)"/>
    <s v="Male"/>
    <s v="40 - 49"/>
    <s v="FNB Commercial Sales Gauteng South and Central (Caiphus Nyuswa)"/>
    <s v="South Africa"/>
    <s v="FNB"/>
    <s v="34300006534 FNB Commercial Growth Gauteng South West South"/>
    <s v="Business Manager"/>
    <s v="6 - 10 Years"/>
    <s v="Business Development"/>
    <s v="4799089"/>
    <x v="130"/>
    <s v="Full Time Employee"/>
    <s v="African (South Africa)"/>
    <s v="Male"/>
    <s v="30 - 39"/>
    <s v="FNB Points of Presence (Lucky Ngubo)"/>
    <s v="South Africa"/>
    <s v="FNB"/>
    <s v="7710178400 FNB POP Branch Delivery Meyersdal Mall"/>
    <s v="Branch Controller"/>
    <s v="11 -15 Years"/>
    <s v="Administration"/>
    <s v="Create Mentorship Event for Vusumzi Mkize with Bruce Ncube"/>
    <d v="2024-02-12T00:00:00"/>
    <d v="2024-06-03T00:00:00"/>
    <m/>
  </r>
  <r>
    <s v="3633535"/>
    <x v="92"/>
    <s v="To enhance knowledge and skills to advance to LMM role in the local market."/>
    <s v="Career Mentor"/>
    <m/>
    <s v="Indian (South Africa)"/>
    <s v="Female"/>
    <s v="40 - 49"/>
    <m/>
    <s v="South Africa"/>
    <m/>
    <m/>
    <m/>
    <s v="11 -15 Years"/>
    <m/>
    <s v="3642232"/>
    <x v="131"/>
    <s v="Full Time Employee"/>
    <s v="Indian (South Africa)"/>
    <s v="Male"/>
    <s v="40 - 49"/>
    <s v="FNB Points of Presence (Caryn Pendlebury)"/>
    <s v="South Africa"/>
    <s v="FNB"/>
    <s v="771062400 FNB POP Branch Delivery V A Waterfront"/>
    <s v="Branch Controller"/>
    <s v="11 -15 Years"/>
    <s v="Administration"/>
    <s v="Create Mentorship Event for Trason Murugen with Ameisha Singh (Terminated)"/>
    <d v="2024-01-26T00:00:00"/>
    <d v="2025-02-28T00:00:00"/>
    <m/>
  </r>
  <r>
    <s v="5290961"/>
    <x v="93"/>
    <s v="Score informed by data tracking _x000a_Significant improvement required_x000a_Improvement require Meets expectations: Exceed Expectations_x000a_Exceptional"/>
    <s v="Leadership Mentor"/>
    <m/>
    <s v="African (South Africa)"/>
    <s v="Male"/>
    <s v="30 - 39"/>
    <m/>
    <s v="South Africa"/>
    <m/>
    <m/>
    <m/>
    <s v="3 - 5 Years"/>
    <m/>
    <s v="3170845"/>
    <x v="132"/>
    <s v="Full Time Employee"/>
    <s v="African (South Africa)"/>
    <s v="Female"/>
    <s v="40 - 49"/>
    <s v="FNB Points of Presence (Lungi Nsibanyoni)"/>
    <s v="South Africa"/>
    <s v="FNB"/>
    <s v="771014300 FNB POP Branch Delivery Clearwater Mall"/>
    <s v="Customer Experience Advisor"/>
    <s v="16 - 20 Years"/>
    <s v="Client Experience and Value Management"/>
    <s v="Create Mentorship Event for Mkateko Buti with Nkosinathi Nobela (Terminated)"/>
    <d v="2024-01-23T00:00:00"/>
    <d v="2024-01-23T00:00:00"/>
    <m/>
  </r>
  <r>
    <s v="5248698"/>
    <x v="94"/>
    <s v="The purpose of the mentorship is to gain knowledge and experience regarding the Business Coach role and to develop and the necessary skills, traits and requirements in order to move within his role."/>
    <s v="Career Mentor"/>
    <s v="Full Time Employee"/>
    <s v="Coloured (South Africa)"/>
    <s v="Female"/>
    <s v="40 - 49"/>
    <s v="DirectAxis (Shimaaz Ely)"/>
    <s v="South Africa"/>
    <s v="FNB"/>
    <s v="99700015102 DA Solutions Delivery"/>
    <s v="Implementation Manager"/>
    <s v="11 -15 Years"/>
    <s v="Operations"/>
    <s v="4903536"/>
    <x v="133"/>
    <s v="Full Time Employee"/>
    <s v="Coloured (South Africa)"/>
    <s v="Female"/>
    <s v="30 - 39"/>
    <s v="FNB Points of Presence (Maria Madisa)"/>
    <s v="South Africa"/>
    <s v="FNB"/>
    <s v="69000001647 FNB Retail Engineering and Analysis"/>
    <s v="Process Analyst"/>
    <s v="6 - 10 Years"/>
    <s v="Process and Business Analysis"/>
    <s v="Create Mentorship Event for Bre-yana Beckmann with Megan Petersen"/>
    <d v="2023-09-20T00:00:00"/>
    <d v="2024-09-20T00:00:00"/>
    <m/>
  </r>
  <r>
    <s v="3504840"/>
    <x v="83"/>
    <m/>
    <s v="Leadership Mentor"/>
    <s v="Full Time Employee"/>
    <s v="African (South Africa)"/>
    <s v="Female"/>
    <s v="40 - 49"/>
    <s v="FNB Points of Presence (Awelani Mafune)"/>
    <s v="South Africa"/>
    <s v="FNB"/>
    <s v="7710110500 FNB POP Branch Delivery Highveld Mall"/>
    <s v="Branch Administrator"/>
    <s v="16 - 20 Years"/>
    <s v="Administration"/>
    <s v="3355705"/>
    <x v="134"/>
    <s v="Full Time Employee"/>
    <s v="African (South Africa)"/>
    <s v="Male"/>
    <s v="40 - 49"/>
    <s v="FNB Points of Presence (Jimmy Mafa)"/>
    <s v="South Africa"/>
    <s v="FNB"/>
    <s v="771030300 FNB POP Branch Delivery Middelburg MP"/>
    <s v="Branch Administrator"/>
    <s v="16 - 20 Years"/>
    <s v="Administration"/>
    <s v="Create Mentorship Event for Sibusiso Ngcobo with Thuto Chabane"/>
    <d v="2024-01-29T00:00:00"/>
    <d v="2024-02-29T00:00:00"/>
    <m/>
  </r>
  <r>
    <s v="3572323"/>
    <x v="65"/>
    <m/>
    <s v="Career Mentor"/>
    <m/>
    <s v="African (South Africa)"/>
    <s v="Female"/>
    <s v="30 - 39"/>
    <m/>
    <s v="South Africa"/>
    <m/>
    <m/>
    <m/>
    <s v="6 - 10 Years"/>
    <m/>
    <s v="4864743"/>
    <x v="135"/>
    <s v="OBR With Fixed Pay"/>
    <s v="African (South Africa)"/>
    <s v="Male"/>
    <s v="40 - 49"/>
    <s v="FNB Points of Presence (Martin Lolwane)"/>
    <s v="South Africa"/>
    <s v="FNB"/>
    <s v="7710841400 FNB POP External Sales Local Market"/>
    <s v="External Sales and Service Advisor Lead OBR"/>
    <s v="6 - 10 Years"/>
    <s v="Direct Sales"/>
    <s v="Create Mentorship Event for Sihle Mhlongo with Maserame Makwakwa (Terminated)"/>
    <d v="2024-01-25T00:00:00"/>
    <d v="2024-12-31T00:00:00"/>
    <m/>
  </r>
  <r>
    <s v="3803643"/>
    <x v="95"/>
    <m/>
    <s v="Workplace  Buddy"/>
    <s v="Full Time Employee"/>
    <s v="African (South Africa)"/>
    <s v="Male"/>
    <s v="40 - 49"/>
    <s v="FNB Points of Presence (Bridgette Mogatla)"/>
    <s v="South Africa"/>
    <s v="FNB"/>
    <s v="771036100 FNB POP Branch Delivery Sabie"/>
    <s v="Branch Controller"/>
    <s v="6 - 10 Years"/>
    <s v="Administration"/>
    <s v="2334437"/>
    <x v="136"/>
    <m/>
    <s v="African (South Africa)"/>
    <s v="Female"/>
    <s v="50 - 59"/>
    <m/>
    <s v="South Africa"/>
    <m/>
    <m/>
    <m/>
    <s v="&gt;20 Years"/>
    <m/>
    <s v="Create Mentorship Event for Loretta Ramatsoma (Terminated) with Vusi Mabuza"/>
    <d v="2023-12-12T00:00:00"/>
    <d v="2024-06-30T00:00:00"/>
    <m/>
  </r>
  <r>
    <s v="2874792"/>
    <x v="96"/>
    <s v="Mentor to help me with trainings for Leadership workers"/>
    <s v="Leadership Mentor"/>
    <s v="Full Time Employee"/>
    <s v="African (South Africa)"/>
    <s v="Male"/>
    <s v="50 - 59"/>
    <s v="CDO Infrastructure and Security Services (Henry Rehne)"/>
    <s v="South Africa"/>
    <s v="FNB"/>
    <s v="20700008751 CDO Networks and Security Employee Network Access"/>
    <s v="Solutions Architect"/>
    <s v="&gt;20 Years"/>
    <s v="Architecture"/>
    <s v="2625288"/>
    <x v="137"/>
    <s v="Full Time Employee"/>
    <s v="African (South Africa)"/>
    <s v="Male"/>
    <s v="50 - 59"/>
    <s v="CDO Infrastructure and Security Services (Dumisani Mthembu)"/>
    <s v="South Africa"/>
    <s v="FNB"/>
    <s v="20700008789 CDO Infrastructure and Security Services Security Randburg"/>
    <s v="Shift Team Leader"/>
    <s v="&gt;20 Years"/>
    <s v="Facilities Management and Services"/>
    <s v="Create Mentorship Event for Thomas Mathebula with Sipho Khumalo"/>
    <d v="2024-02-01T00:00:00"/>
    <d v="2024-06-30T00:00:00"/>
    <m/>
  </r>
  <r>
    <s v="4818865"/>
    <x v="76"/>
    <s v="EXPERIENCE"/>
    <s v="Leadership Mentor"/>
    <s v="Full Time Employee"/>
    <s v="African (South Africa)"/>
    <s v="Female"/>
    <s v="30 - 39"/>
    <s v="FNB Points of Presence (Nikita Govender)"/>
    <s v="South Africa"/>
    <s v="FNB"/>
    <s v="7710405800 FNB POP Commercial Collaboration"/>
    <s v="Support Advisor FAIS"/>
    <s v="3 - 5 Years"/>
    <s v="Client Services Support and Delivery"/>
    <s v="3222772"/>
    <x v="138"/>
    <s v="Full Time Employee"/>
    <s v="African (South Africa)"/>
    <s v="Male"/>
    <s v="40 - 49"/>
    <s v="FNB Points of Presence (Phillip Galamadien)"/>
    <s v="South Africa"/>
    <s v="FNB"/>
    <s v="7710239100 FNB POP Regional Office Inland"/>
    <s v="AgencyPlus Relationship Manager"/>
    <s v="11 -15 Years"/>
    <s v="Client Relationship Management"/>
    <s v="Create Mentorship Event for Bokang Mabyane with Mmamodise Tiro"/>
    <d v="2024-02-02T00:00:00"/>
    <d v="2024-09-30T00:00:00"/>
    <m/>
  </r>
  <r>
    <s v="3055930"/>
    <x v="97"/>
    <s v="To guide me to become a responsible person to bring out the best in others. Thus being admits mistakes, show how to do things, gives advice and direction, earns respect, says we as we work as a team and ask and say thank you."/>
    <s v="Career Mentor"/>
    <m/>
    <s v="African (South Africa)"/>
    <s v="Female"/>
    <s v="40 - 49"/>
    <m/>
    <s v="South Africa"/>
    <m/>
    <m/>
    <m/>
    <s v="16 - 20 Years"/>
    <m/>
    <s v="2194856"/>
    <x v="139"/>
    <m/>
    <s v="White (South Africa)"/>
    <s v="Female"/>
    <s v="50 - 59"/>
    <m/>
    <s v="South Africa"/>
    <m/>
    <m/>
    <m/>
    <s v="11 -15 Years"/>
    <m/>
    <s v="Create Mentorship Event for Hannetjie Beukes (Terminated) with Nobahle Nxopho (Terminated)"/>
    <d v="2024-02-01T00:00:00"/>
    <m/>
    <m/>
  </r>
  <r>
    <s v="3465195"/>
    <x v="69"/>
    <s v="The aim is to get more insight, knowledge, skills and understanding on how to lead properly and plan."/>
    <s v="Career Mentor"/>
    <s v="Full Time Employee"/>
    <s v="African (South Africa)"/>
    <s v="Male"/>
    <s v="30 - 39"/>
    <s v="FNB Points of Presence (Poovan Pillay)"/>
    <s v="South Africa"/>
    <s v="FNB"/>
    <s v="7710105300 FNB POP Branch Delivery Gateway"/>
    <s v="Local Market Manager"/>
    <s v="11 -15 Years"/>
    <s v="Client Relationship Management"/>
    <s v="5256593"/>
    <x v="140"/>
    <s v="Full Time Employee"/>
    <s v="African (South Africa)"/>
    <s v="Male"/>
    <s v="30 - 39"/>
    <s v="FNB Points of Presence (Devan Chetty)"/>
    <s v="South Africa"/>
    <s v="FNB"/>
    <s v="7710371100 FNB POP Branch Delivery Mbazwana Shopping Centre"/>
    <s v="Branch Controller"/>
    <s v="6 - 10 Years"/>
    <s v="Administration"/>
    <s v="Create Mentorship Event for Thabo Mathenjwa with Thabiso Nyawose"/>
    <d v="2024-02-06T00:00:00"/>
    <d v="2025-06-01T00:00:00"/>
    <m/>
  </r>
  <r>
    <s v="2073889"/>
    <x v="90"/>
    <s v="to guide towards my dream goals and to supervise on how to get there quicker"/>
    <s v="Career Mentor"/>
    <s v="Full Time Employee"/>
    <s v="White (South Africa)"/>
    <s v="Female"/>
    <s v="50 - 59"/>
    <s v="FNB Points of Presence (Chantell Holder)"/>
    <s v="South Africa"/>
    <s v="FNB"/>
    <s v="771096300 FNB POP Branch Delivery Bedford Gardens"/>
    <s v="Associate"/>
    <s v="16 - 20 Years"/>
    <s v="Client Relationship Management"/>
    <s v="3475786"/>
    <x v="141"/>
    <s v="OBR With Fixed Pay"/>
    <s v="African (South Africa)"/>
    <s v="Female"/>
    <s v="40 - 49"/>
    <s v="FNB Points of Presence (Innocent Radebe)"/>
    <s v="South Africa"/>
    <s v="FNB"/>
    <s v="7710841400 FNB POP External Sales Local Market"/>
    <s v="External Sales and Service Advisor Lead OBR"/>
    <s v="6 - 10 Years"/>
    <s v="Direct Sales"/>
    <s v="Create Mentorship Event for Virginia Mohale with Catharina Harmse"/>
    <d v="2024-01-30T00:00:00"/>
    <d v="2025-01-30T00:00:00"/>
    <m/>
  </r>
  <r>
    <s v="2073889"/>
    <x v="90"/>
    <s v="leaner how to navigate the system ,manage my career and to build a long and lasting relationship"/>
    <s v="Leadership Mentor"/>
    <s v="Full Time Employee"/>
    <s v="White (South Africa)"/>
    <s v="Female"/>
    <s v="50 - 59"/>
    <s v="FNB Points of Presence (Chantell Holder)"/>
    <s v="South Africa"/>
    <s v="FNB"/>
    <s v="771096300 FNB POP Branch Delivery Bedford Gardens"/>
    <s v="Associate"/>
    <s v="16 - 20 Years"/>
    <s v="Client Relationship Management"/>
    <s v="3475786"/>
    <x v="141"/>
    <s v="OBR With Fixed Pay"/>
    <s v="African (South Africa)"/>
    <s v="Female"/>
    <s v="40 - 49"/>
    <s v="FNB Points of Presence (Innocent Radebe)"/>
    <s v="South Africa"/>
    <s v="FNB"/>
    <s v="7710841400 FNB POP External Sales Local Market"/>
    <s v="External Sales and Service Advisor Lead OBR"/>
    <s v="6 - 10 Years"/>
    <s v="Direct Sales"/>
    <s v="Create Mentorship Event for Virginia Mohale with Catharina Harmse"/>
    <d v="2024-01-30T00:00:00"/>
    <d v="2025-01-31T00:00:00"/>
    <m/>
  </r>
  <r>
    <s v="2073889"/>
    <x v="90"/>
    <s v="For Self development."/>
    <s v="Career Mentor"/>
    <s v="Full Time Employee"/>
    <s v="White (South Africa)"/>
    <s v="Female"/>
    <s v="50 - 59"/>
    <s v="FNB Points of Presence (Chantell Holder)"/>
    <s v="South Africa"/>
    <s v="FNB"/>
    <s v="771096300 FNB POP Branch Delivery Bedford Gardens"/>
    <s v="Associate"/>
    <s v="16 - 20 Years"/>
    <s v="Client Relationship Management"/>
    <s v="2825503"/>
    <x v="142"/>
    <s v="Full Time Employee"/>
    <s v="Coloured (South Africa)"/>
    <s v="Female"/>
    <s v="50 - 59"/>
    <s v="FNB Points of Presence (Riaz Gaibee)"/>
    <s v="South Africa"/>
    <s v="FNB"/>
    <s v="7710293500 FNB POP Branch Delivery New Market Mall"/>
    <s v="Branch Administrator"/>
    <s v="16 - 20 Years"/>
    <s v="Administration"/>
    <s v="Create Mentorship Event for Cleo Aarons with Catharina Harmse"/>
    <d v="2024-01-25T00:00:00"/>
    <d v="2024-05-25T00:00:00"/>
    <m/>
  </r>
  <r>
    <s v="2073889"/>
    <x v="90"/>
    <m/>
    <s v="Career Mentor"/>
    <s v="Full Time Employee"/>
    <s v="White (South Africa)"/>
    <s v="Female"/>
    <s v="50 - 59"/>
    <s v="FNB Points of Presence (Chantell Holder)"/>
    <s v="South Africa"/>
    <s v="FNB"/>
    <s v="771096300 FNB POP Branch Delivery Bedford Gardens"/>
    <s v="Associate"/>
    <s v="16 - 20 Years"/>
    <s v="Client Relationship Management"/>
    <s v="3219569"/>
    <x v="143"/>
    <s v="Full Time Employee"/>
    <s v="African (South Africa)"/>
    <s v="Male"/>
    <s v="40 - 49"/>
    <s v="FNB Retail Facilities (David Goosen)"/>
    <s v="South Africa"/>
    <s v="FNB"/>
    <s v="22300005071 FNB REMS"/>
    <s v="Concierge"/>
    <s v="16 - 20 Years"/>
    <s v="Catering and Hospitality"/>
    <s v="Create Mentorship Event for Mduduzi Nkosi with Catharina Harmse"/>
    <d v="2024-02-01T00:00:00"/>
    <d v="2024-08-31T00:00:00"/>
    <m/>
  </r>
  <r>
    <s v="3020312"/>
    <x v="98"/>
    <s v="developing leadership skills and networking"/>
    <s v="Leadership Mentor"/>
    <s v="Full Time Employee"/>
    <s v="African (South Africa)"/>
    <s v="Female"/>
    <s v="40 - 49"/>
    <s v="FNB Commercial Chief Information Office (Ismail Sibda)"/>
    <s v="South Africa"/>
    <s v="FNB"/>
    <s v="34200007536 FNB Commercial CJP Exco"/>
    <s v="Business Unit Chief Information Officer"/>
    <s v="16 - 20 Years"/>
    <s v="System Design and Administration"/>
    <s v="5019273"/>
    <x v="144"/>
    <s v="Full Time Employee"/>
    <s v="African (South Africa)"/>
    <s v="Female"/>
    <s v="30 - 39"/>
    <s v="FNB Chief Risk Office IT (Mashao Seisa)"/>
    <s v="South Africa"/>
    <s v="FNB"/>
    <s v="39400008197 FNB Chief Risk Office IT"/>
    <s v="Data Analyst"/>
    <s v="6 - 10 Years"/>
    <s v="Data Management, Maintenance and Security"/>
    <s v="Create Mentorship Event for Kuhle Kewana with Malebo Phahlamohlaka"/>
    <d v="2022-04-11T00:00:00"/>
    <m/>
    <m/>
  </r>
  <r>
    <s v="4607627"/>
    <x v="99"/>
    <m/>
    <s v="Leadership Mentor"/>
    <s v="Full Time Employee"/>
    <s v="Indian (South Africa)"/>
    <s v="Female"/>
    <s v="40 - 49"/>
    <s v="FNB Retail Legal Risk and Compliance (Wynand Smit)"/>
    <s v="South Africa"/>
    <s v="FNB"/>
    <s v="85500008236 FNB Retail Legal Risk and Compliance"/>
    <s v="Legal Head"/>
    <s v="&gt;20 Years"/>
    <s v="Legal"/>
    <s v="4960351"/>
    <x v="145"/>
    <s v="Full Time Employee"/>
    <s v="Indian (South Africa)"/>
    <s v="Female"/>
    <s v="40 - 49"/>
    <s v="FirstRand Legal (Virgil McLellan)"/>
    <s v="South Africa"/>
    <s v="FNB"/>
    <s v="39400001347 FirstRand Legal Litigation"/>
    <s v="Segment Litigation Head"/>
    <s v="6 - 10 Years"/>
    <s v="Legal"/>
    <s v="Create Mentorship Event for Yasmin Kadwa with Malini Mudaly"/>
    <d v="2021-09-01T00:00:00"/>
    <d v="2024-12-31T00:00:00"/>
    <m/>
  </r>
  <r>
    <s v="5389585"/>
    <x v="100"/>
    <m/>
    <s v="Career Mentor"/>
    <s v="Full Time Employee"/>
    <s v="African (South Africa)"/>
    <s v="Female"/>
    <s v="30 - 39"/>
    <s v="FNB Commercial Core Juristic Platform (Khulani Mvelase)"/>
    <s v="South Africa"/>
    <s v="FNB"/>
    <s v="34200005978 FNB Commercial CJP CRM"/>
    <s v="Technical Tester"/>
    <s v="3 - 5 Years"/>
    <s v="IT Testing"/>
    <s v="3945839"/>
    <x v="146"/>
    <s v="Full Time Employee"/>
    <s v="African (South Africa)"/>
    <s v="Female"/>
    <s v="40 - 49"/>
    <s v="FNB Points of Presence (Emily Mbele)"/>
    <s v="South Africa"/>
    <s v="FNB"/>
    <s v="7710446100 FNB POP Branch Delivery Sky City Mall"/>
    <s v="Universal Advisor Lead"/>
    <s v="11 -15 Years"/>
    <s v="Client Experience and Value Management"/>
    <s v="Create Mentorship Event for Thandi Mashele with Amukelani Maetsa"/>
    <d v="2024-02-02T00:00:00"/>
    <d v="2024-07-31T00:00:00"/>
    <m/>
  </r>
  <r>
    <s v="4960351"/>
    <x v="101"/>
    <s v="Looking for a mentor to guide me on how to better equip &amp; develop myself into becoming a legal advisor."/>
    <s v="Career Mentor"/>
    <s v="Full Time Employee"/>
    <s v="Indian (South Africa)"/>
    <s v="Female"/>
    <s v="40 - 49"/>
    <s v="FirstRand Legal (Virgil McLellan)"/>
    <s v="South Africa"/>
    <s v="FNB"/>
    <s v="39400001347 FirstRand Legal Litigation"/>
    <s v="Segment Litigation Head"/>
    <s v="6 - 10 Years"/>
    <s v="Legal"/>
    <s v="5301149"/>
    <x v="147"/>
    <m/>
    <s v="Indian (South Africa)"/>
    <s v="Female"/>
    <s v="30 - 39"/>
    <m/>
    <s v="South Africa"/>
    <m/>
    <m/>
    <m/>
    <s v="3 - 5 Years"/>
    <m/>
    <s v="Close Mentorship Event for Lira Reddi (Terminated) with Yasmin Kadwa_x000a__x000a_Create Mentorship Event for Lira Reddi (Terminated) with Yasmin Kadwa"/>
    <d v="2024-03-01T00:00:00"/>
    <d v="2024-08-01T00:00:00"/>
    <s v="Mentee Withdrawal - Change in Mentoring Needs"/>
  </r>
  <r>
    <s v="5150175"/>
    <x v="102"/>
    <s v="To become a better Data Architect"/>
    <s v="Career Mentor"/>
    <s v="Full Time Employee"/>
    <s v="White (South Africa)"/>
    <s v="Male"/>
    <s v="40 - 49"/>
    <s v="FRG Data and Analytics Office (Lian Van Oudheusden)"/>
    <s v="South Africa"/>
    <s v="FNB"/>
    <s v="39400010972 FNB Chief Risk Office Credit Risk and Reporting"/>
    <s v="Information Architecture Head"/>
    <s v="16 - 20 Years"/>
    <s v="Architecture"/>
    <s v="4880439"/>
    <x v="148"/>
    <s v="Full Time Employee"/>
    <s v="White (South Africa)"/>
    <s v="Male"/>
    <s v="30 - 39"/>
    <s v="CDO Kernel iDnA (Yoricke Esterhuyse)"/>
    <s v="South Africa"/>
    <s v="FNB"/>
    <s v="39400007609 FNB CDAO Information Management"/>
    <s v="Data Architect"/>
    <s v="6 - 10 Years"/>
    <s v="Architecture"/>
    <s v="Create Mentorship Event for Bertie Vorster with Andre Olivier"/>
    <d v="2024-01-01T00:00:00"/>
    <m/>
    <m/>
  </r>
  <r>
    <s v="2576627"/>
    <x v="103"/>
    <s v="To grow as a Leader by guiding the Team to success, by managing daily activities and being deeply invested."/>
    <s v="Leadership Mentor"/>
    <s v="Full Time Employee"/>
    <s v="White (South Africa)"/>
    <s v="Female"/>
    <s v="50 - 59"/>
    <s v="FNB Affluent (Nozuko Gloria Makhunga)"/>
    <s v="South Africa"/>
    <s v="FNB"/>
    <s v="34100005227 PB&amp;A Tshwane Affluent NE"/>
    <s v="Sales and Service Manager"/>
    <s v="&gt;20 Years"/>
    <s v="Sales Management"/>
    <s v="3486710"/>
    <x v="149"/>
    <s v="Full Time Employee"/>
    <s v="African (South Africa)"/>
    <s v="Male"/>
    <s v="40 - 49"/>
    <s v="FNB Points of Presence (Neil Trewin)"/>
    <s v="South Africa"/>
    <s v="FNB"/>
    <s v="7710105200 FNB POP Branch Delivery Wonderpark"/>
    <s v="Associate"/>
    <s v="16 - 20 Years"/>
    <s v="Client Relationship Management"/>
    <s v="Create Mentorship Event for Katlego Matlou with Nelien Dippenaar"/>
    <d v="2024-03-01T00:00:00"/>
    <d v="2024-12-31T00:00:00"/>
    <m/>
  </r>
  <r>
    <s v="3504840"/>
    <x v="83"/>
    <s v="Career change."/>
    <s v="Leadership Mentor"/>
    <s v="Full Time Employee"/>
    <s v="African (South Africa)"/>
    <s v="Female"/>
    <s v="40 - 49"/>
    <s v="FNB Points of Presence (Awelani Mafune)"/>
    <s v="South Africa"/>
    <s v="FNB"/>
    <s v="7710110500 FNB POP Branch Delivery Highveld Mall"/>
    <s v="Branch Administrator"/>
    <s v="16 - 20 Years"/>
    <s v="Administration"/>
    <s v="4692055"/>
    <x v="150"/>
    <s v="Full Time Employee"/>
    <s v="African (South Africa)"/>
    <s v="Female"/>
    <s v="40 - 49"/>
    <s v="FNB Points of Presence (Awelani Mafune)"/>
    <s v="South Africa"/>
    <s v="FNB"/>
    <s v="7710110500 FNB POP Branch Delivery Highveld Mall"/>
    <s v="Customer Experience Advisor"/>
    <s v="11 -15 Years"/>
    <s v="Client Experience and Value Management"/>
    <s v="Create Mentorship Event for Gugu Sibeko with Thuto Chabane"/>
    <d v="2024-02-06T00:00:00"/>
    <d v="2024-04-08T00:00:00"/>
    <m/>
  </r>
  <r>
    <s v="2423243"/>
    <x v="48"/>
    <m/>
    <s v="Workplace  Buddy"/>
    <s v="Full Time Employee"/>
    <s v="African (South Africa)"/>
    <s v="Female"/>
    <s v="50 - 59"/>
    <s v="FNB Points of Presence (Reuben Fernandez)"/>
    <s v="South Africa"/>
    <s v="FNB"/>
    <s v="7710237600 FNB POP Regional Office Mpumalanga"/>
    <s v="Regional Operations Manager"/>
    <s v="&gt;20 Years"/>
    <s v="Operations"/>
    <s v="5236568"/>
    <x v="151"/>
    <s v="Full Time Employee"/>
    <s v="African (South Africa)"/>
    <s v="Female"/>
    <s v="40 - 49"/>
    <s v="FNB Points of Presence (Celia Motswiane)"/>
    <s v="South Africa"/>
    <s v="FNB"/>
    <s v="7710104200 FNB POP Branch Delivery Crossroads Plaza"/>
    <s v="Local Market Operations Manager"/>
    <s v="16 - 20 Years"/>
    <s v="Administration"/>
    <s v="Create Mentorship Event for Sindisiwe Mthembu with Bongi Tshabangu"/>
    <d v="2024-01-31T00:00:00"/>
    <d v="2024-06-30T00:00:00"/>
    <m/>
  </r>
  <r>
    <s v="4805062"/>
    <x v="45"/>
    <s v="Better integration into a team/business unit_x000a__x000a_Bridging the gap for graduates and first-time joiners to the workplace_x000a__x000a_Broaden organisational knowledge_x000a__x000a_Career guidance"/>
    <s v="Career Mentor"/>
    <s v="Full Time Employee"/>
    <s v="Indian (South Africa)"/>
    <s v="Male"/>
    <s v="30 - 39"/>
    <s v="Group Human Capital (Dudu Moloko)"/>
    <s v="South Africa"/>
    <s v="FirstRand Corporate Centre"/>
    <s v="20200007954 FRCC People Governance Learning Compliance"/>
    <s v="Leadership Development Specialist"/>
    <s v="11 -15 Years"/>
    <s v="Experience Architecting"/>
    <s v="5669022"/>
    <x v="152"/>
    <m/>
    <s v="African (South Africa)"/>
    <s v="Female"/>
    <s v="20 - 29"/>
    <m/>
    <s v="South Africa"/>
    <m/>
    <m/>
    <m/>
    <s v="1 Year"/>
    <m/>
    <s v="Close Mentorship Event for Amanda Lebohang Gift Mngomezulu (Terminated) with Zaheer Ismail_x000a__x000a_Create Mentorship Event for Amanda Lebohang Gift Mngomezulu (Terminated) with Zaheer Ismail"/>
    <d v="2023-11-17T00:00:00"/>
    <d v="2024-11-30T00:00:00"/>
    <s v="Mentee Resigned"/>
  </r>
  <r>
    <s v="3362604"/>
    <x v="104"/>
    <s v="To grow in my current role with aim to do great in the role i aspired to embark on."/>
    <s v="Leadership Mentor"/>
    <s v="Full Time Employee"/>
    <s v="African (South Africa)"/>
    <s v="Male"/>
    <s v="40 - 49"/>
    <s v="FNB Personal Core Banking (Mohamed Osman)"/>
    <s v="South Africa"/>
    <s v="FNB"/>
    <s v="48100003462 FNB Personal Core Banking Retail Sales"/>
    <s v="Growth Specialist"/>
    <s v="16 - 20 Years"/>
    <s v="Business Development"/>
    <s v="3349098"/>
    <x v="153"/>
    <s v="Full Time Employee"/>
    <s v="African (South Africa)"/>
    <s v="Female"/>
    <s v="40 - 49"/>
    <s v="FNB Commercial Sales Cape (Monwabisi Poswa)"/>
    <s v="South Africa"/>
    <s v="FNB"/>
    <s v="34300009158 FNB Commercial Growth Eastern Cape Country"/>
    <s v="Business Manager"/>
    <s v="11 -15 Years"/>
    <s v="Business Development"/>
    <s v="Create Mentorship Event for Lusanda Sombinge with Xolani Madini"/>
    <d v="2024-01-17T00:00:00"/>
    <d v="2024-06-30T00:00:00"/>
    <m/>
  </r>
  <r>
    <s v="3425010"/>
    <x v="105"/>
    <s v="would like to move into management space as a next step of my career,learn all the necessary skills,duties and responsibilities for the role,equip and prepare myself for the role and acquire as much as i can in terms of the role for me to be able to get into the role."/>
    <s v="Leadership Mentor"/>
    <s v="Full Time Employee"/>
    <s v="African (South Africa)"/>
    <s v="Female"/>
    <s v="40 - 49"/>
    <s v="FNB Points of Presence (Nandipa Mpahlwa)"/>
    <s v="South Africa"/>
    <s v="FNB"/>
    <s v="771005100 FNB POP Branch Delivery Main Street"/>
    <s v="Branch Controller"/>
    <s v="16 - 20 Years"/>
    <s v="Administration"/>
    <s v="4876288"/>
    <x v="154"/>
    <s v="OBR With Fixed Pay"/>
    <s v="African (South Africa)"/>
    <s v="Male"/>
    <s v="30 - 39"/>
    <s v="FNB Points of Presence (Mmapule Sangweni)"/>
    <s v="South Africa"/>
    <s v="FNB"/>
    <s v="7710111400 FNB POP Branch Delivery Maponya Mall"/>
    <s v="Branch Advisor FAIS"/>
    <s v="6 - 10 Years"/>
    <s v="Client Services Support and Delivery"/>
    <s v="Create Mentorship Event for Nicholas Mathope with Mathapelo Mohale"/>
    <d v="2024-01-19T00:00:00"/>
    <d v="2024-12-31T00:00:00"/>
    <m/>
  </r>
  <r>
    <s v="0121266"/>
    <x v="106"/>
    <m/>
    <s v="Career Mentor"/>
    <s v="Full Time Employee"/>
    <s v="White (South Africa)"/>
    <s v="Male"/>
    <s v="50 - 59"/>
    <s v="FNB Commercial Chief Executive Office ABF (Khantse Radebe)"/>
    <s v="South Africa"/>
    <s v="WesBank"/>
    <s v="30100007137 WB ABF Inland Shared"/>
    <s v="Head of Sales Business Unit"/>
    <s v="&gt;20 Years"/>
    <s v="Sales Management"/>
    <s v="2765152"/>
    <x v="155"/>
    <s v="Full Time Employee"/>
    <s v="Indian (South Africa)"/>
    <s v="Female"/>
    <s v="50 - 59"/>
    <s v="FNB Commercial Sales Inland (Pelonolo Mafata)"/>
    <s v="South Africa"/>
    <s v="FNB"/>
    <s v="34300009157 FNB Commercial Growth Mpumalanga Gold"/>
    <s v="Area Manager"/>
    <s v="&gt;20 Years"/>
    <s v="Client Services Support and Delivery"/>
    <s v="Close Mentorship Event for Reshmee Pillay with Johan Steyn_x000a__x000a_Create Mentorship Event for Reshmee Pillay with Johan Steyn"/>
    <d v="2024-03-01T00:00:00"/>
    <d v="2024-12-31T00:00:00"/>
    <s v="Mentee Withdrawal - Change in Mentoring Needs"/>
  </r>
  <r>
    <s v="4711289"/>
    <x v="107"/>
    <s v="mentorship"/>
    <s v="Leadership Mentor"/>
    <s v="Full Time Employee"/>
    <s v="African (South Africa)"/>
    <s v="Female"/>
    <s v="30 - 39"/>
    <s v="FNB Points of Presence (Mpho Rapatsa)"/>
    <s v="South Africa"/>
    <s v="FNB"/>
    <s v="771029200 FNB POP Branch Delivery Malelane"/>
    <s v="Local Market Operations Manager"/>
    <s v="11 -15 Years"/>
    <s v="Administration"/>
    <s v="5272203"/>
    <x v="156"/>
    <s v="Full Time Employee"/>
    <s v="African (South Africa)"/>
    <s v="Female"/>
    <s v="30 - 39"/>
    <s v="FNB Points of Presence (Thabitha Phokoane)"/>
    <s v="South Africa"/>
    <s v="FNB"/>
    <s v="771092800 FNB POP Branch Delivery Kriel"/>
    <s v="Universal Advisor"/>
    <s v="3 - 5 Years"/>
    <s v="Client Experience and Value Management"/>
    <s v="Create Mentorship Event for Tsakani Thobela with Gcebile Nkosi"/>
    <d v="2024-02-13T00:00:00"/>
    <d v="2024-12-31T00:00:00"/>
    <m/>
  </r>
  <r>
    <s v="3792145"/>
    <x v="108"/>
    <s v="Assisting with providing guidance, skills, Knowlege, experience and exposure in managing infrastructure and security projects."/>
    <s v="Career Mentor"/>
    <s v="Full Time Employee"/>
    <s v="African (South Africa)"/>
    <s v="Female"/>
    <s v="40 - 49"/>
    <s v="FNB COO Head Office (Nkoka Sekotlong)"/>
    <s v="South Africa"/>
    <s v="FNB"/>
    <s v="69000006171 FNB Retail Enterprise Project Management Office"/>
    <s v="Programme Manager"/>
    <s v="6 - 10 Years"/>
    <s v="Programme and Project Management"/>
    <s v="3879607"/>
    <x v="157"/>
    <s v="Full Time Employee"/>
    <s v="Coloured (South Africa)"/>
    <s v="Female"/>
    <s v="30 - 39"/>
    <s v="CDO Infrastructure and Security Services (Teresa Da Silva)"/>
    <s v="South Africa"/>
    <s v="FNB"/>
    <s v="20700007751 CDO Infrastructure and Security Services Administration"/>
    <s v="IT Customer Relationship Manager"/>
    <s v="11 -15 Years"/>
    <s v="Client Relationship Management"/>
    <s v="Create Mentorship Event for Laiken Jacobs with Mpumie Twala"/>
    <d v="2024-01-01T00:00:00"/>
    <d v="2024-12-31T00:00:00"/>
    <m/>
  </r>
  <r>
    <s v="3792145"/>
    <x v="108"/>
    <s v="Assisting with providing guidance, skills, Knowlege, experience and exposure in managing infrastructure and security projects."/>
    <s v="Career Mentor"/>
    <s v="Full Time Employee"/>
    <s v="African (South Africa)"/>
    <s v="Female"/>
    <s v="40 - 49"/>
    <s v="FNB COO Head Office (Nkoka Sekotlong)"/>
    <s v="South Africa"/>
    <s v="FNB"/>
    <s v="69000006171 FNB Retail Enterprise Project Management Office"/>
    <s v="Programme Manager"/>
    <s v="6 - 10 Years"/>
    <s v="Programme and Project Management"/>
    <s v="5058538"/>
    <x v="158"/>
    <m/>
    <s v="Coloured (South Africa)"/>
    <s v="Female"/>
    <s v="30 - 39"/>
    <m/>
    <s v="South Africa"/>
    <m/>
    <m/>
    <m/>
    <s v="6 - 10 Years"/>
    <m/>
    <s v="Create Mentorship Event for Megan Lapan (Terminated) with Mpumie Twala"/>
    <d v="2023-06-01T00:00:00"/>
    <d v="2024-12-31T00:00:00"/>
    <m/>
  </r>
  <r>
    <s v="4771281"/>
    <x v="46"/>
    <s v="Good day Mitchell Gubeka,I am currently exploring potential mentorship opportunity and I think that there’s a lot that I could learn from you. I am particularly interested in Information Technology, and I believe that your knowledge would be very helpful for my journey.  I am seeking new development opportunities a mentor to provide guidance and support in areas such as skill development, career advancement, and personal growth. Give direction to get confidence into making changes and help to keep me on track. A mentor who will share knowledge, experience, and insights, and provide feedback and advice on my plan and performance.Sincerely,Fikile Tshabalala"/>
    <s v="Career Mentor"/>
    <s v="Full Time Employee"/>
    <s v="African (South Africa)"/>
    <s v="Female"/>
    <s v="40 - 49"/>
    <s v="FNB Personal Core Banking (Jolandi Jansen Van Vuuren)"/>
    <s v="South Africa"/>
    <s v="FNB"/>
    <s v="28100006605 RCB Risk Management Gauteng"/>
    <s v="Credit Portfolio Management Head"/>
    <s v="11 -15 Years"/>
    <s v="Credit Risk"/>
    <s v="3846148"/>
    <x v="159"/>
    <s v="Full Time Employee"/>
    <s v="African (South Africa)"/>
    <s v="Female"/>
    <s v="30 - 39"/>
    <s v="FNB Chief Risk Office Client Desirability Risk Management (Rachael Diale)"/>
    <s v="South Africa"/>
    <s v="FNB"/>
    <s v="39400003191 FNB Chief Risk Office Screening Services Governance and Risk"/>
    <s v="Client Desirability Analyst"/>
    <s v="11 -15 Years"/>
    <s v="Fraud Risk"/>
    <s v="Create Mentorship Event for Fikile Tshabalala with Mitchell Ncube"/>
    <d v="2024-02-06T00:00:00"/>
    <d v="2025-03-01T00:00:00"/>
    <m/>
  </r>
  <r>
    <s v="2874792"/>
    <x v="96"/>
    <s v="To know the back round of the security of I&amp;SS better."/>
    <s v="Career Mentor"/>
    <s v="Full Time Employee"/>
    <s v="African (South Africa)"/>
    <s v="Male"/>
    <s v="50 - 59"/>
    <s v="CDO Infrastructure and Security Services (Henry Rehne)"/>
    <s v="South Africa"/>
    <s v="FNB"/>
    <s v="20700008751 CDO Networks and Security Employee Network Access"/>
    <s v="Solutions Architect"/>
    <s v="&gt;20 Years"/>
    <s v="Architecture"/>
    <s v="5491363"/>
    <x v="160"/>
    <s v="Full Time Employee"/>
    <s v="African (South Africa)"/>
    <s v="Male"/>
    <s v="40 - 49"/>
    <s v="CDO Infrastructure and Security Services (Dave Van Der Schyff)"/>
    <s v="South Africa"/>
    <s v="FNB"/>
    <s v="20700008789 CDO Infrastructure and Security Services Security Randburg"/>
    <s v="Security Guard"/>
    <s v="3 - 5 Years"/>
    <s v="Security (Protection Services)"/>
    <s v="Create Mentorship Event for Kusara Sithole with Sipho Khumalo"/>
    <d v="2025-01-17T00:00:00"/>
    <d v="2027-01-17T00:00:00"/>
    <m/>
  </r>
  <r>
    <s v="3462013"/>
    <x v="109"/>
    <s v="The main purpose is to assist in my professional and personal development by offering direction, assistance, and information sharing. particularly in the workplace, and to also provide the chance for interpersonal interaction with the aim of education, acquiring new abilities, and developing compassionate relations between colleagues. By offering direction and developing growth, I could achieve my full potential and open doors to increased production, innovative thinking, and considerable revenue for the bank."/>
    <s v="Career Mentor"/>
    <s v="Full Time Employee"/>
    <s v="African (South Africa)"/>
    <s v="Female"/>
    <s v="40 - 49"/>
    <s v="FNB Points of Presence (Andries Van Niekerk)"/>
    <s v="South Africa"/>
    <s v="FNB"/>
    <s v="771032200 FNB POP Branch Delivery Ottosdal"/>
    <s v="Branch Administrator"/>
    <s v="16 - 20 Years"/>
    <s v="Administration"/>
    <s v="5127440"/>
    <x v="161"/>
    <s v="Full Time Employee"/>
    <s v="African (South Africa)"/>
    <s v="Female"/>
    <s v="30 - 39"/>
    <s v="FNB Points of Presence (Kamogelo Moipolai)"/>
    <s v="South Africa"/>
    <s v="FNB"/>
    <s v="771028200 FNB POP Branch Delivery Leeudoringstad"/>
    <s v="Universal Advisor Lead"/>
    <s v="6 - 10 Years"/>
    <s v="Client Experience and Value Management"/>
    <s v="Create Mentorship Event for Mamello Mokibe with Livhu Phanyane"/>
    <d v="2023-01-03T00:00:00"/>
    <m/>
    <m/>
  </r>
  <r>
    <s v="3462013"/>
    <x v="109"/>
    <m/>
    <s v="Workplace  Buddy"/>
    <s v="Full Time Employee"/>
    <s v="African (South Africa)"/>
    <s v="Female"/>
    <s v="40 - 49"/>
    <s v="FNB Points of Presence (Andries Van Niekerk)"/>
    <s v="South Africa"/>
    <s v="FNB"/>
    <s v="771032200 FNB POP Branch Delivery Ottosdal"/>
    <s v="Branch Administrator"/>
    <s v="16 - 20 Years"/>
    <s v="Administration"/>
    <s v="5127440"/>
    <x v="161"/>
    <s v="Full Time Employee"/>
    <s v="African (South Africa)"/>
    <s v="Female"/>
    <s v="30 - 39"/>
    <s v="FNB Points of Presence (Kamogelo Moipolai)"/>
    <s v="South Africa"/>
    <s v="FNB"/>
    <s v="771028200 FNB POP Branch Delivery Leeudoringstad"/>
    <s v="Universal Advisor Lead"/>
    <s v="6 - 10 Years"/>
    <s v="Client Experience and Value Management"/>
    <s v="Create Mentorship Event for Mamello Mokibe with Livhu Phanyane"/>
    <d v="2023-01-02T00:00:00"/>
    <m/>
    <m/>
  </r>
  <r>
    <s v="3462013"/>
    <x v="109"/>
    <m/>
    <s v="Career Mentor"/>
    <s v="Full Time Employee"/>
    <s v="African (South Africa)"/>
    <s v="Female"/>
    <s v="40 - 49"/>
    <s v="FNB Points of Presence (Andries Van Niekerk)"/>
    <s v="South Africa"/>
    <s v="FNB"/>
    <s v="771032200 FNB POP Branch Delivery Ottosdal"/>
    <s v="Branch Administrator"/>
    <s v="16 - 20 Years"/>
    <s v="Administration"/>
    <s v="5499550"/>
    <x v="162"/>
    <s v="Full Time Employee"/>
    <s v="African (South Africa)"/>
    <s v="Male"/>
    <s v="30 - 39"/>
    <s v="FNB Personal (Livhu Phanyane)"/>
    <s v="South Africa"/>
    <s v="FNB"/>
    <s v="771032200 FNB POP Branch Delivery Ottosdal"/>
    <s v="Universal Advisor"/>
    <s v="3 - 5 Years"/>
    <s v="Client Experience and Value Management"/>
    <s v="Create Mentorship Event for Botlhale Maselo with Livhu Phanyane"/>
    <d v="2024-02-15T00:00:00"/>
    <d v="2025-02-15T00:00:00"/>
    <m/>
  </r>
  <r>
    <s v="2855682"/>
    <x v="110"/>
    <s v="Good day Debbie ,i am looking for some one who can guide and coach me in my career developments .and i strongly believe you if have capacity to assist me"/>
    <s v="Career Mentor"/>
    <s v="Full Time Employee"/>
    <s v="White (South Africa)"/>
    <s v="Female"/>
    <s v="50 - 59"/>
    <s v="FNB Commercial Sales Gauteng North (Zak Sivalingum)"/>
    <s v="South Africa"/>
    <s v="FNB"/>
    <s v="34200003323 FNB Commercial Sales Shared Services"/>
    <s v="Chief Operating Officer"/>
    <s v="&gt;20 Years"/>
    <s v="Operations"/>
    <s v="3646467"/>
    <x v="163"/>
    <s v="Full Time Employee"/>
    <s v="African (South Africa)"/>
    <s v="Male"/>
    <s v="30 - 39"/>
    <s v="FNB Commercial Public Sector (Sammy Khosa)"/>
    <s v="South Africa"/>
    <s v="FNB"/>
    <s v="84100002703 FNB Commercial Public Sector Gauteng South"/>
    <s v="Public Sector Account Executive Analyst"/>
    <s v="11 -15 Years"/>
    <s v="Client Services Support and Delivery"/>
    <s v="Create Mentorship Event for Mthokozisi Ndlovu with Debbie De Beer"/>
    <d v="2023-12-20T00:00:00"/>
    <m/>
    <m/>
  </r>
  <r>
    <s v="3174042"/>
    <x v="111"/>
    <s v="Growth"/>
    <s v="Career Mentor"/>
    <s v="Full Time Employee"/>
    <s v="African (South Africa)"/>
    <s v="Female"/>
    <s v="40 - 49"/>
    <s v="FNB Points of Presence (Baldwin Mashaba)"/>
    <s v="South Africa"/>
    <s v="FNB"/>
    <s v="771099400 FNB POP Branch Delivery Waterfall Mall"/>
    <s v="Local Market Sales and Service Manager"/>
    <s v="16 - 20 Years"/>
    <s v="Sales Management"/>
    <s v="4809289"/>
    <x v="164"/>
    <s v="Full Time Employee"/>
    <s v="African (South Africa)"/>
    <s v="Female"/>
    <s v="30 - 39"/>
    <s v="FNB Points of Presence (Lebo Matee)"/>
    <s v="South Africa"/>
    <s v="FNB"/>
    <s v="771044600 FNB POP Branch Delivery Gauteng Westgate"/>
    <s v="Branch Delivery Sales and Service Team Leader"/>
    <s v="11 -15 Years"/>
    <s v="Direct Sales"/>
    <s v="Create Mentorship Event for Mpho Setuke with Tsholofelo Rakumakoe"/>
    <d v="2024-02-01T00:00:00"/>
    <d v="2024-12-06T00:00:00"/>
    <m/>
  </r>
  <r>
    <s v="3174042"/>
    <x v="111"/>
    <m/>
    <s v="Leadership Mentor"/>
    <s v="Full Time Employee"/>
    <s v="African (South Africa)"/>
    <s v="Female"/>
    <s v="40 - 49"/>
    <s v="FNB Points of Presence (Baldwin Mashaba)"/>
    <s v="South Africa"/>
    <s v="FNB"/>
    <s v="771099400 FNB POP Branch Delivery Waterfall Mall"/>
    <s v="Local Market Sales and Service Manager"/>
    <s v="16 - 20 Years"/>
    <s v="Sales Management"/>
    <s v="2953447"/>
    <x v="165"/>
    <s v="Full Time Employee"/>
    <s v="Coloured (South Africa)"/>
    <s v="Female"/>
    <s v="40 - 49"/>
    <s v="FNB Points of Presence (Abram Booysen)"/>
    <s v="South Africa"/>
    <s v="FNB"/>
    <s v="771097400 FNB POP Branch Delivery Bathopele"/>
    <s v="Local Market Operations Manager"/>
    <s v="6 - 10 Years"/>
    <s v="Administration"/>
    <s v="Create Mentorship Event for Rhona Veldskoen with Tsholofelo Rakumakoe"/>
    <d v="2024-02-29T00:00:00"/>
    <d v="2024-10-31T00:00:00"/>
    <m/>
  </r>
  <r>
    <s v="3174042"/>
    <x v="111"/>
    <m/>
    <s v="Leadership Mentor"/>
    <s v="Full Time Employee"/>
    <s v="African (South Africa)"/>
    <s v="Female"/>
    <s v="40 - 49"/>
    <s v="FNB Points of Presence (Baldwin Mashaba)"/>
    <s v="South Africa"/>
    <s v="FNB"/>
    <s v="771099400 FNB POP Branch Delivery Waterfall Mall"/>
    <s v="Local Market Sales and Service Manager"/>
    <s v="16 - 20 Years"/>
    <s v="Sales Management"/>
    <s v="3579980"/>
    <x v="166"/>
    <s v="OBR With Fixed Pay"/>
    <s v="African (South Africa)"/>
    <s v="Female"/>
    <s v="30 - 39"/>
    <s v="FNB Points of Presence (Dimpho Thupayakgosi (Inherited))"/>
    <s v="South Africa"/>
    <s v="FNB"/>
    <s v="7710218600 FNB POP Branch Delivery Letlhabile Mall"/>
    <s v="Branch Advisor FAIS"/>
    <s v="6 - 10 Years"/>
    <s v="Client Services Support and Delivery"/>
    <s v="Create Mentorship Event for Rebecca Sekgweleo with Tsholofelo Rakumakoe"/>
    <d v="2024-02-06T00:00:00"/>
    <d v="2024-02-29T00:00:00"/>
    <m/>
  </r>
  <r>
    <s v="4875346"/>
    <x v="112"/>
    <s v="For the transition from being an Insurance Broker to a Software Test Analyst"/>
    <s v="Career Mentor"/>
    <s v="Full Time Employee"/>
    <s v="African (South Africa)"/>
    <s v="Male"/>
    <s v="30 - 39"/>
    <s v="First Risk and Advisory Services (Cynthia Mashego)"/>
    <s v="South Africa"/>
    <s v="FNB"/>
    <s v="16900010758 First Risk and Advisory Services IT"/>
    <s v="Test Analyst Team Leader"/>
    <s v="2 Years"/>
    <s v="Business/Systems Analysis"/>
    <s v="4999029"/>
    <x v="167"/>
    <s v="Full Time Employee"/>
    <s v="African (South Africa)"/>
    <s v="Female"/>
    <s v="30 - 39"/>
    <s v="First Risk and Advisory Services (Benjamin Mogwasa)"/>
    <s v="South Africa"/>
    <s v="FNB"/>
    <s v="16900010778 First Risk and Advisory Services Bedfordview Branch"/>
    <s v="Claims Broker"/>
    <s v="6 - 10 Years"/>
    <s v="Operations"/>
    <s v="Close Mentorship Event for Thandokazi Ncakeni with Mulalo Kutame_x000a__x000a_Create Mentorship Event for Thandokazi Ncakeni with Mulalo Kutame"/>
    <d v="2024-02-16T00:00:00"/>
    <d v="2024-12-31T00:00:00"/>
    <s v="Mentee Withdrawal - Availability"/>
  </r>
  <r>
    <s v="2416824"/>
    <x v="67"/>
    <s v="Mentor"/>
    <s v="Leadership Mentor"/>
    <s v="Full Time Employee"/>
    <s v="African (South Africa)"/>
    <s v="Male"/>
    <s v="40 - 49"/>
    <s v="FNB Points of Presence (Dima Thaba)"/>
    <s v="South Africa"/>
    <s v="FNB"/>
    <s v="7710237800 FNB POP Regional Office Gauteng North"/>
    <s v="Area Manager"/>
    <s v="&gt;20 Years"/>
    <s v="Client Services Support and Delivery"/>
    <s v="3808203"/>
    <x v="168"/>
    <s v="Full Time Employee"/>
    <s v="African (South Africa)"/>
    <s v="Female"/>
    <s v="40 - 49"/>
    <s v="FNB Points of Presence (Dima Thaba)"/>
    <s v="South Africa"/>
    <s v="FNB"/>
    <s v="7710237800 FNB POP Regional Office Gauteng North"/>
    <s v="Regional Customer Experience Manager"/>
    <s v="11 -15 Years"/>
    <s v="Client Experience and Value Management"/>
    <s v="Create Mentorship Event for Tebogo Dikobe with Charles Thulani Nkosi"/>
    <d v="2024-02-16T00:00:00"/>
    <d v="2024-04-16T00:00:00"/>
    <m/>
  </r>
  <r>
    <s v="3584763"/>
    <x v="113"/>
    <s v="Manage a career transition_x000a__x000a_Relationship building and networking"/>
    <s v="Leadership Mentor"/>
    <s v="Full Time Employee"/>
    <s v="African (South Africa)"/>
    <s v="Male"/>
    <s v="40 - 49"/>
    <s v="FNB HSL (Chris Labuschagne)"/>
    <s v="South Africa"/>
    <s v="FNB"/>
    <s v="38500009325 HSL. Exco"/>
    <s v="Product Head"/>
    <s v="6 - 10 Years"/>
    <s v="Product Management"/>
    <s v="3952606"/>
    <x v="169"/>
    <s v="Full Time Employee"/>
    <s v="African (South Africa)"/>
    <s v="Male"/>
    <s v="40 - 49"/>
    <s v="FNB HSL (Nthabiseng Tsotetsi)"/>
    <s v="South Africa"/>
    <s v="FNB"/>
    <s v="21200006817 HSL Nav"/>
    <s v="Customer Service Solutions Specialist"/>
    <s v="11 -15 Years"/>
    <s v="Client Relationship Management"/>
    <s v="Create Mentorship Event for Douglas Lesiba with Mfundo Mabaso"/>
    <d v="2024-02-06T00:00:00"/>
    <d v="2024-03-05T00:00:00"/>
    <m/>
  </r>
  <r>
    <s v="5180082"/>
    <x v="114"/>
    <s v="Transition Nirvana into her next career path from a Specialists to a manager."/>
    <s v="Career Mentor"/>
    <s v="Full Time Employee"/>
    <s v="Indian (South Africa)"/>
    <s v="Female"/>
    <s v="60 - 64"/>
    <s v="FNB Human Capital R&amp;C (Donald Khumalo)"/>
    <s v="South Africa"/>
    <s v="FNB"/>
    <s v="47100001985 FNB HR Executive"/>
    <s v="Human Capital Head"/>
    <s v="16 - 20 Years"/>
    <s v="Business Human Capital"/>
    <s v="4819373"/>
    <x v="170"/>
    <s v="Full Time Employee"/>
    <s v="Indian (South Africa)"/>
    <s v="Female"/>
    <s v="40 - 49"/>
    <s v="FNB Personal Human Capital (Shalini John)"/>
    <s v="South Africa"/>
    <s v="FNB"/>
    <s v="83100009547 FNB Connect EXCO"/>
    <s v="Human Capital Manager"/>
    <s v="11 -15 Years"/>
    <s v="Business Human Capital"/>
    <s v="Create Mentorship Event for Nirvana Ramboth with Rashida Rawat"/>
    <d v="2022-06-01T00:00:00"/>
    <d v="2023-04-01T00:00:00"/>
    <m/>
  </r>
  <r>
    <s v="4904958"/>
    <x v="115"/>
    <s v="for someone to help me become a Private Banker"/>
    <s v="Career Mentor"/>
    <s v="Full Time Employee"/>
    <s v="Indian (South Africa)"/>
    <s v="Male"/>
    <s v="40 - 49"/>
    <s v="RMBSA TTS Technology (Mias Du Plessis)"/>
    <s v="South Africa"/>
    <s v="RMB"/>
    <s v="77800000RQI RMB Treasury"/>
    <s v="IT Solutions Architect"/>
    <s v="6 - 10 Years"/>
    <s v="Architecture"/>
    <s v="3429709"/>
    <x v="171"/>
    <m/>
    <s v="African (South Africa)"/>
    <s v="Female"/>
    <s v="40 - 49"/>
    <m/>
    <s v="South Africa"/>
    <m/>
    <m/>
    <m/>
    <s v="3 - 5 Years"/>
    <m/>
    <s v="Create Mentorship Event for Refilwe Nkau (Terminated) with Thiroshan Naidoo"/>
    <d v="2024-03-01T00:00:00"/>
    <d v="2025-01-01T00:00:00"/>
    <m/>
  </r>
  <r>
    <s v="3353850"/>
    <x v="116"/>
    <s v="ASSIST WITH GUIDENCE TO ACHIVE DESIRED GOAL"/>
    <s v="Leadership Mentor"/>
    <s v="Full Time Employee"/>
    <s v="Indian (South Africa)"/>
    <s v="Male"/>
    <s v="50 - 59"/>
    <s v="FNB Points of Presence (Phila Ntshingila)"/>
    <s v="South Africa"/>
    <s v="FNB"/>
    <s v="7710236600 FNB POP Regional Office Kwazulu Natal"/>
    <s v="Area Manager"/>
    <s v="16 - 20 Years"/>
    <s v="Client Services Support and Delivery"/>
    <s v="2953013"/>
    <x v="172"/>
    <s v="Full Time Employee"/>
    <s v="Indian (South Africa)"/>
    <s v="Male"/>
    <s v="40 - 49"/>
    <s v="FNB Points of Presence (Poovan Pillay)"/>
    <s v="South Africa"/>
    <s v="FNB"/>
    <s v="771024900 FNB POP Branch Delivery Hluhluwe"/>
    <s v="Associate"/>
    <s v="16 - 20 Years"/>
    <s v="Client Relationship Management"/>
    <s v="Create Mentorship Event for Devan Chetty with Poovan Pillay"/>
    <d v="2024-01-01T00:00:00"/>
    <d v="2024-12-31T00:00:00"/>
    <m/>
  </r>
  <r>
    <s v="2778041"/>
    <x v="117"/>
    <s v="To learn more about the property space."/>
    <s v="Career Mentor"/>
    <s v="Full Time Employee"/>
    <s v="Indian (South Africa)"/>
    <s v="Male"/>
    <s v="50 - 59"/>
    <s v="FNB Commercial Lend Pillar Head Office (Nainesh Desai)"/>
    <s v="South Africa"/>
    <s v="FNB"/>
    <s v="34200004627 FNB Commercial Lend Head Office"/>
    <s v="Business Solutions Specialist"/>
    <s v="&gt;20 Years"/>
    <s v="Operations"/>
    <s v="5480353"/>
    <x v="173"/>
    <s v="Full Time Employee"/>
    <s v="African (South Africa)"/>
    <s v="Male"/>
    <s v="30 - 39"/>
    <s v="FNB Points of Presence (Stephan Boshoff (Inherited))"/>
    <s v="South Africa"/>
    <s v="FNB"/>
    <s v="38100009862 FNB POP SSD Regional Admin and Finance"/>
    <s v="Financial Accountant"/>
    <s v="3 - 5 Years"/>
    <s v="Systems Accounting and Financial Operations"/>
    <s v="Create Mentorship Event for Jabulani Nene with Mervyn Moodley"/>
    <d v="2024-03-01T00:00:00"/>
    <m/>
    <m/>
  </r>
  <r>
    <s v="5062667"/>
    <x v="118"/>
    <m/>
    <s v="Career Mentor"/>
    <s v="Full Time Employee"/>
    <s v="African (South Africa)"/>
    <s v="Female"/>
    <s v="30 - 39"/>
    <s v="CDO Kernel iNterfaceX Fraud Risk Management (Craig Grieve)"/>
    <s v="South Africa"/>
    <s v="FNB"/>
    <s v="21800006165 CDO Kernel iNterfaceX Audit and Risk"/>
    <s v="IT Risk Head"/>
    <s v="6 - 10 Years"/>
    <s v="IT Governance, Risk and Compliance"/>
    <s v="4892704"/>
    <x v="174"/>
    <s v="Full Time Employee"/>
    <s v="African (South Africa)"/>
    <s v="Female"/>
    <s v="30 - 39"/>
    <s v="FNB Wealth (Tshepo Baloyi)"/>
    <s v="South Africa"/>
    <s v="FNB"/>
    <s v="34100008805 PB&amp;A Legal Risk and Compliance"/>
    <s v="Risk Manager"/>
    <s v="6 - 10 Years"/>
    <s v="Operational Risk"/>
    <s v="Create Mentorship Event for Beaulah Sekgobela with Smangele Cunningham"/>
    <d v="2024-03-01T00:00:00"/>
    <d v="2025-02-28T00:00:00"/>
    <m/>
  </r>
  <r>
    <s v="4695275"/>
    <x v="119"/>
    <s v="The purpose of this mentorship is to:_x000a_Guide and further develop leadership skills_x000a_Presentation skills when presenting to senior management (Written &amp; Verbal)_x000a_Further craft strategic thinking_x000a_Guide and give insight on CX principles and apply CX thinking in the eBucks context"/>
    <s v="Leadership Mentor"/>
    <s v="Full Time Employee"/>
    <s v="White (South Africa)"/>
    <s v="Female"/>
    <s v="40 - 49"/>
    <s v="FNB Credit Card (Jason Viljoen)"/>
    <s v="South Africa"/>
    <s v="FNB"/>
    <s v="20300002954 FNB Card Enabler Digital Payments"/>
    <s v="Solutions Lead"/>
    <s v="11 -15 Years"/>
    <s v="Operations"/>
    <s v="4906918"/>
    <x v="175"/>
    <s v="Full Time Employee"/>
    <s v="African (South Africa)"/>
    <s v="Female"/>
    <s v="40 - 49"/>
    <s v="FNB Commercial National Sales and Service (Perpetua Bodibe)"/>
    <s v="South Africa"/>
    <s v="FNB"/>
    <s v="34300009133 FNB Commercial Customer Experience"/>
    <s v="Client Experience Manager"/>
    <s v="6 - 10 Years"/>
    <s v="Client Experience and Value Management"/>
    <s v="Create Mentorship Event for Nomthandazo Peyise with Jackie Diack"/>
    <d v="2024-03-01T00:00:00"/>
    <d v="2024-11-30T00:00:00"/>
    <m/>
  </r>
  <r>
    <s v="5089875"/>
    <x v="120"/>
    <s v="Learning from Experience, Guidance and Support, Networking Opportunities, Skill Development and Personal Growth."/>
    <s v="Career Mentor"/>
    <s v="Full Time Employee"/>
    <s v="White (South Africa)"/>
    <s v="Female"/>
    <s v="40 - 49"/>
    <s v="FNB HSL. (Leanne Brooks)"/>
    <s v="South Africa"/>
    <s v="FNB"/>
    <s v="69000002201 FNB Retail COO Business Analysis"/>
    <s v="Business Analyst"/>
    <s v="6 - 10 Years"/>
    <s v="Process and Business Analysis"/>
    <s v="4824202"/>
    <x v="176"/>
    <s v="Full Time Employee"/>
    <s v="African (South Africa)"/>
    <s v="Male"/>
    <s v="30 - 39"/>
    <s v="FNB Retail COO (Sumeshan Pillay)"/>
    <s v="South Africa"/>
    <s v="FNB"/>
    <s v="69000002537 FNB Retail COO Fraud"/>
    <s v="Call Centre Agent"/>
    <s v="6 - 10 Years"/>
    <s v="Client Services Support and Delivery"/>
    <s v="Create Mentorship Event for Njabulo Mabaso with Jean Welsh"/>
    <d v="2024-01-18T00:00:00"/>
    <d v="2025-01-18T00:00:00"/>
    <m/>
  </r>
  <r>
    <s v="4695658"/>
    <x v="121"/>
    <s v="My purpose is to acquire more knowledge and experience about leadership and dealing with customers."/>
    <s v="Leadership Mentor"/>
    <s v="Full Time Employee"/>
    <s v="African (South Africa)"/>
    <s v="Female"/>
    <s v="30 - 39"/>
    <s v="FNB Commercial Sales Inland (Boitumelo Makokwe)"/>
    <s v="South Africa"/>
    <s v="FNB"/>
    <s v="34300009155 FNB Commercial Growth Limpopo Gold"/>
    <s v="Business Advisor"/>
    <s v="11 -15 Years"/>
    <s v="Client Experience and Value Management"/>
    <s v="5611768"/>
    <x v="177"/>
    <s v="Full Time Employee"/>
    <s v="African (South Africa)"/>
    <s v="Female"/>
    <s v="20 - 29"/>
    <s v="FNB Points of Presence (Dikeledi Mohlala)"/>
    <s v="South Africa"/>
    <s v="FNB"/>
    <s v="7710293500 FNB POP Branch Delivery New Market Mall"/>
    <s v="Universal Advisor"/>
    <s v="1 Year"/>
    <s v="Client Experience and Value Management"/>
    <s v="Create Mentorship Event for Confidence Rakimane with Khomotso Molokwane"/>
    <d v="2024-05-15T00:00:00"/>
    <d v="2024-12-31T00:00:00"/>
    <m/>
  </r>
  <r>
    <s v="4818865"/>
    <x v="76"/>
    <s v="To grow in banking and to increase on performance"/>
    <s v="Leadership Mentor"/>
    <s v="Full Time Employee"/>
    <s v="African (South Africa)"/>
    <s v="Female"/>
    <s v="30 - 39"/>
    <s v="FNB Points of Presence (Nikita Govender)"/>
    <s v="South Africa"/>
    <s v="FNB"/>
    <s v="7710405800 FNB POP Commercial Collaboration"/>
    <s v="Support Advisor FAIS"/>
    <s v="3 - 5 Years"/>
    <s v="Client Services Support and Delivery"/>
    <s v="3223094"/>
    <x v="178"/>
    <s v="OBR With Fixed Pay"/>
    <s v="African (South Africa)"/>
    <s v="Female"/>
    <s v="40 - 49"/>
    <s v="FNB Points of Presence (Moshate Sefanyetso)"/>
    <s v="South Africa"/>
    <s v="FNB"/>
    <s v="771036000 FNB POP Branch Delivery Rustenburg"/>
    <s v="Branch Advisor FAIS"/>
    <s v="16 - 20 Years"/>
    <s v="Client Services Support and Delivery"/>
    <s v="Create Mentorship Event for Celia Moireleng with Mmamodise Tiro"/>
    <d v="2024-02-15T00:00:00"/>
    <d v="2025-03-15T00:00:00"/>
    <m/>
  </r>
  <r>
    <s v="5166268"/>
    <x v="122"/>
    <s v="Life and career advancements."/>
    <s v="Technical Mentor"/>
    <s v="Full Time Employee"/>
    <s v="African (South Africa)"/>
    <s v="Male"/>
    <s v="30 - 39"/>
    <s v="FNB Commercial Chief Executive Office FML (Andisiwe Nikelo)"/>
    <s v="South Africa"/>
    <s v="WesBank"/>
    <s v="30100007317 WB FML Head Office"/>
    <s v="Chief Data and Analytics Officer"/>
    <s v="6 - 10 Years"/>
    <s v="Analytics"/>
    <s v="5367425"/>
    <x v="179"/>
    <s v="Full Time Employee"/>
    <s v="African (South Africa)"/>
    <s v="Male"/>
    <s v="30 - 39"/>
    <s v="FNB HSL (Siphosethu Myataza)"/>
    <s v="South Africa"/>
    <s v="FNB"/>
    <s v="21200001749 Home Finance Business Intelligence"/>
    <s v="Records Manager"/>
    <s v="3 - 5 Years"/>
    <s v="Data Governance and Information Management"/>
    <s v="Create Mentorship Event for Malibongwe Mthimkhulu with Anele Mkhize"/>
    <d v="2022-01-01T00:00:00"/>
    <d v="2030-12-31T00:00:00"/>
    <m/>
  </r>
  <r>
    <s v="3209105"/>
    <x v="123"/>
    <s v="Career guidance and growth opportunities"/>
    <s v="Career Mentor"/>
    <s v="Full Time Employee"/>
    <s v="Indian (South Africa)"/>
    <s v="Female"/>
    <s v="40 - 49"/>
    <s v="FNB Chief Risk Office (Emma Mer)"/>
    <s v="South Africa"/>
    <s v="FNB"/>
    <s v="39400001871 FNB Chief Risk Office Executive"/>
    <s v="Chief Operating Officer"/>
    <s v="16 - 20 Years"/>
    <s v="Operations"/>
    <s v="3422208"/>
    <x v="180"/>
    <s v="Full Time Employee"/>
    <s v="White (South Africa)"/>
    <s v="Female"/>
    <s v="40 - 49"/>
    <s v="nav Client Experience (Clair Brenner)"/>
    <s v="South Africa"/>
    <s v="FNB"/>
    <s v="39400004124 FNB nav CX"/>
    <s v="Solutions Specialist"/>
    <s v="16 - 20 Years"/>
    <s v="Operations"/>
    <s v="Create Mentorship Event for Melanie Bosch with Renusha Moodley"/>
    <d v="2024-02-02T00:00:00"/>
    <d v="2024-11-29T00:00:00"/>
    <m/>
  </r>
  <r>
    <s v="3496104"/>
    <x v="124"/>
    <s v="i have requested Ma Ngoepe to teach and guide me in using other work functions and systems"/>
    <s v="Career Mentor"/>
    <s v="Full Time Employee"/>
    <s v="African (South Africa)"/>
    <s v="Female"/>
    <s v="40 - 49"/>
    <s v="FNB Core Banking Platform (Nicolene Green)"/>
    <s v="South Africa"/>
    <s v="FNB"/>
    <s v="59600010101 FNB Personal and Private IT WB Service Management"/>
    <s v="Technical Release Specialist"/>
    <s v="6 - 10 Years"/>
    <s v="IT Infrastructure, Support and Maintenance"/>
    <s v="3496597"/>
    <x v="181"/>
    <s v="Full Time Employee"/>
    <s v="African (South Africa)"/>
    <s v="Male"/>
    <s v="30 - 39"/>
    <s v="FNB Core Banking Platform (Patrick Masina)"/>
    <s v="South Africa"/>
    <s v="FNB"/>
    <s v="59600010097 FNB Personal and Private IT WB Motor IT - Acquisitions"/>
    <s v="Test Analyst"/>
    <s v="11 -15 Years"/>
    <s v="IT Testing"/>
    <s v="Create Mentorship Event for Solomzi Zini with Roselyn Ngoepe"/>
    <d v="2024-02-01T00:00:00"/>
    <d v="2024-06-30T00:00:00"/>
    <m/>
  </r>
  <r>
    <s v="5118875"/>
    <x v="125"/>
    <s v="Project Management on the job training to improve skills in project planning, management and delivery._x000a_PDP objectives._x000a_Complete at least 1500 hours of project management in preparation for the CAPM certification._x000a_Contribute in the management and delivery of 3/4 projects._x000a_Manage stakeholder expectations and engagement for successful project results._x000a_Create and execute project and change management plans."/>
    <s v="Career Mentor"/>
    <s v="Full Time Employee"/>
    <s v="Racially disadvantaged (Namibia)"/>
    <s v="Male"/>
    <s v="30 - 39"/>
    <s v="FNB Group Technology and Operations COO (Rodney Forbes)"/>
    <s v="Namibia"/>
    <s v="FNB"/>
    <s v="302000005067 FNB Namibia Project Management Office"/>
    <s v="Project Management Office Head"/>
    <s v="6 - 10 Years"/>
    <s v="Programme and Project Management"/>
    <s v="4926625"/>
    <x v="182"/>
    <s v="Full Time Employee"/>
    <s v="Racially disadvantaged (Namibia)"/>
    <s v="Female"/>
    <s v="30 - 39"/>
    <s v="FNB Namibia Limited (Rassie Tjirimuje)"/>
    <s v="Namibia"/>
    <s v="FNB"/>
    <s v="302000001683 FNB Namibia Group Risk"/>
    <s v="Risk Officer"/>
    <s v="6 - 10 Years"/>
    <s v="Operational Risk"/>
    <s v="Create Mentorship Event for Lettie Nahole with Engelberth Djami"/>
    <d v="2023-10-01T00:00:00"/>
    <m/>
    <m/>
  </r>
  <r>
    <s v="4965175"/>
    <x v="126"/>
    <s v="wholistic development of behavioral, technical and leadership attributes."/>
    <s v="Leadership Mentor"/>
    <s v="Full Time Employee"/>
    <s v="Racially disadvantaged (Namibia)"/>
    <s v="Male"/>
    <s v="40 - 49"/>
    <s v="FNB Group Technology and Operations COO (Rodney Forbes)"/>
    <s v="Namibia"/>
    <s v="FNB"/>
    <s v="302000006368 FNB Namibia Digital Transformation and Data Office"/>
    <s v="Chief Data and Analytics Officer"/>
    <s v="6 - 10 Years"/>
    <s v="Analytics"/>
    <s v="5441110"/>
    <x v="183"/>
    <s v="Full Time Employee"/>
    <s v="Racially disadvantaged (Namibia)"/>
    <s v="Male"/>
    <s v="30 - 39"/>
    <s v="FNB Namibia Limited (Sergio De Sousa)"/>
    <s v="Namibia"/>
    <s v="FNB"/>
    <s v="302000006368 FNB Namibia Digital Transformation and Data Office"/>
    <s v="Process Engineering Lead"/>
    <s v="3 - 5 Years"/>
    <s v="Process and Business Analysis"/>
    <s v="Create Mentorship Event for Garth Gille with Sergio De Sousa"/>
    <d v="2024-02-20T00:00:00"/>
    <m/>
    <m/>
  </r>
  <r>
    <s v="2609932"/>
    <x v="127"/>
    <m/>
    <s v="Leadership Mentor"/>
    <s v="Full Time Employee"/>
    <s v="Indian (South Africa)"/>
    <s v="Male"/>
    <s v="50 - 59"/>
    <s v="CDO Banking IDS (Mohamed Karim)"/>
    <s v="South Africa"/>
    <s v="FNB"/>
    <s v="79000007752 CDO Banking IDS"/>
    <s v="Application Development Manager"/>
    <s v="&gt;20 Years"/>
    <s v="IT Development"/>
    <s v="5288649"/>
    <x v="184"/>
    <s v="Full Time Employee"/>
    <s v="White (South Africa)"/>
    <s v="Female"/>
    <s v="30 - 39"/>
    <s v="CDO Banking (Vincent Govender)"/>
    <s v="South Africa"/>
    <s v="FNB"/>
    <s v="79000007752 CDO Banking IDS"/>
    <s v="Business Analyst Lead"/>
    <s v="3 - 5 Years"/>
    <s v="Process and Business Analysis"/>
    <s v="Create Mentorship Event for Charissa Langman with Vincent Govender"/>
    <d v="2024-03-01T00:00:00"/>
    <d v="2024-12-13T00:00:00"/>
    <m/>
  </r>
  <r>
    <s v="3174042"/>
    <x v="111"/>
    <s v="Growth and development"/>
    <s v="Leadership Mentor"/>
    <s v="Full Time Employee"/>
    <s v="African (South Africa)"/>
    <s v="Female"/>
    <s v="40 - 49"/>
    <s v="FNB Points of Presence (Baldwin Mashaba)"/>
    <s v="South Africa"/>
    <s v="FNB"/>
    <s v="771099400 FNB POP Branch Delivery Waterfall Mall"/>
    <s v="Local Market Sales and Service Manager"/>
    <s v="16 - 20 Years"/>
    <s v="Sales Management"/>
    <s v="2856492"/>
    <x v="185"/>
    <s v="Full Time Employee"/>
    <s v="African (South Africa)"/>
    <s v="Female"/>
    <s v="40 - 49"/>
    <s v="FNB Points of Presence (Baldwin Mashaba)"/>
    <s v="South Africa"/>
    <s v="FNB"/>
    <s v="771069300 FNB POP Branch Delivery Biblio Plaza"/>
    <s v="Associate"/>
    <s v="&gt;20 Years"/>
    <s v="Client Relationship Management"/>
    <s v="Create Mentorship Event for Bella Khumalo with Tsholofelo Rakumakoe"/>
    <d v="2024-02-02T00:00:00"/>
    <d v="2024-12-07T00:00:00"/>
    <m/>
  </r>
  <r>
    <s v="4805062"/>
    <x v="45"/>
    <m/>
    <s v="Leadership Mentor"/>
    <s v="Full Time Employee"/>
    <s v="Indian (South Africa)"/>
    <s v="Male"/>
    <s v="30 - 39"/>
    <s v="Group Human Capital (Dudu Moloko)"/>
    <s v="South Africa"/>
    <s v="FirstRand Corporate Centre"/>
    <s v="20200007954 FRCC People Governance Learning Compliance"/>
    <s v="Leadership Development Specialist"/>
    <s v="11 -15 Years"/>
    <s v="Experience Architecting"/>
    <s v="5496608"/>
    <x v="186"/>
    <s v="Full Time Employee"/>
    <s v="African (South Africa)"/>
    <s v="Female"/>
    <s v="30 - 39"/>
    <s v="FR Life Assurance (Adriaan Van Der Merwe)"/>
    <s v="South Africa"/>
    <s v="FNB"/>
    <s v="61500010304 FR Insure and Invest Distribution"/>
    <s v="Business Development Manager"/>
    <s v="3 - 5 Years"/>
    <s v="Business Development"/>
    <s v="Create Mentorship Event for Lerato Moepi with Zaheer Ismail"/>
    <d v="2024-03-01T00:00:00"/>
    <d v="2025-12-31T00:00:00"/>
    <m/>
  </r>
  <r>
    <s v="3168158"/>
    <x v="128"/>
    <m/>
    <s v="Leadership Mentor"/>
    <s v="Full Time Employee"/>
    <s v="Indian (South Africa)"/>
    <s v="Male"/>
    <s v="30 - 39"/>
    <s v="CDO Banking (Anban Moodley)"/>
    <s v="South Africa"/>
    <s v="FNB"/>
    <s v="79000005432 CDO Banking Application Infrastructure"/>
    <s v="Technical Specialist"/>
    <s v="16 - 20 Years"/>
    <s v="Architecture"/>
    <s v="5455634"/>
    <x v="187"/>
    <s v="Full Time Employee"/>
    <s v="White (South Africa)"/>
    <s v="Male"/>
    <s v="40 - 49"/>
    <s v="FNB nav. Chief Executive Office R&amp;C (Pravesh Dayah)"/>
    <s v="South Africa"/>
    <s v="FNB"/>
    <s v="59600003267 FNB Personal and Private IT CRSA Development"/>
    <s v="Systems Analyst"/>
    <s v="3 - 5 Years"/>
    <s v="Business/Systems Analysis"/>
    <s v="Create Mentorship Event for Liam Mathieson with Ebrahim Omar"/>
    <d v="2022-03-01T00:00:00"/>
    <d v="2024-03-05T00:00:00"/>
    <m/>
  </r>
  <r>
    <s v="5561922"/>
    <x v="129"/>
    <s v="Learning UX design"/>
    <s v="Career Mentor"/>
    <s v="Full Time Employee"/>
    <s v="African (South Africa)"/>
    <s v="Male"/>
    <s v="30 - 39"/>
    <s v="FNB Commercial Merchant Services (Ashley Jacobs)"/>
    <s v="South Africa"/>
    <s v="FNB"/>
    <s v="22800008224 FNB Commercial Merchant Services Projects"/>
    <s v="User Experience Designer"/>
    <s v="3 - 5 Years"/>
    <s v="System Design and Administration"/>
    <s v="5665531"/>
    <x v="188"/>
    <s v="Full Time Employee"/>
    <s v="African (South Africa)"/>
    <s v="Male"/>
    <s v="20 - 29"/>
    <s v="FNB Points of Presence (Sphamandla Shezi)"/>
    <s v="South Africa"/>
    <s v="FNB"/>
    <s v="69000006171 FNB Retail Enterprise Project Management Office"/>
    <s v="Project Coordinator"/>
    <s v="1 Year"/>
    <s v="Programme and Project Management"/>
    <s v="Create Mentorship Event for Rotondwa Ramaru with Tebatso Raganya"/>
    <d v="2023-09-06T00:00:00"/>
    <d v="2024-06-30T00:00:00"/>
    <m/>
  </r>
  <r>
    <s v="3511847"/>
    <x v="73"/>
    <s v="Provide Career guidance."/>
    <s v="Career Mentor"/>
    <s v="Full Time Employee"/>
    <m/>
    <s v="Male"/>
    <s v="30 - 39"/>
    <s v="FNB Botswana Operations (Lesego Tamajobe)"/>
    <s v="Botswana"/>
    <s v="FNB"/>
    <s v="5010164100 FNB Botswana Call Centre"/>
    <s v="Service Manager"/>
    <s v="11 -15 Years"/>
    <s v="Client Experience and Value Management"/>
    <s v="5179564"/>
    <x v="5"/>
    <s v="Full Time Employee"/>
    <m/>
    <s v="Female"/>
    <s v="30 - 39"/>
    <s v="FNB Botswana Channels (Lebelelang Mabeo)"/>
    <s v="Botswana"/>
    <s v="FNB"/>
    <s v="5010164100 FNB Botswana Call Centre"/>
    <s v="Sales Consultant"/>
    <s v="6 - 10 Years"/>
    <s v="Direct Sales"/>
    <s v="Create Mentorship Event for Kefilwe Samson with Amantle Mphoeng"/>
    <d v="2023-11-10T00:00:00"/>
    <m/>
    <m/>
  </r>
  <r>
    <s v="5201918"/>
    <x v="130"/>
    <s v="Seeking career guidance in risk management as well as assistance in personal development (skill building). Assistance with networking and relationship building (job shadowing opportunities). Advice on next steps and career progression tips (CV enhancements). Leadership skill building. Exposure to risk management in practice (broaden organizational knowledge)."/>
    <s v="Career Mentor"/>
    <s v="Full Time Employee"/>
    <s v="Indian (South Africa)"/>
    <s v="Female"/>
    <s v="40 - 49"/>
    <s v="FNB Commercial Chief Risk Office (Nazeem Goolam Hoosen)"/>
    <s v="South Africa"/>
    <s v="FNB"/>
    <s v="34400008612 FNB Commercial Chief Risk Office Operational Risk"/>
    <s v="Risk Manager"/>
    <s v="6 - 10 Years"/>
    <s v="Operational Risk"/>
    <s v="4761936"/>
    <x v="189"/>
    <s v="Full Time Employee"/>
    <s v="Indian (South Africa)"/>
    <s v="Female"/>
    <s v="30 - 39"/>
    <s v="FNB Retail Sales (Ulrike Du Toit)"/>
    <s v="South Africa"/>
    <s v="FNB"/>
    <s v="97200010705 FNB Internet Capability"/>
    <s v="Operations Support Manager"/>
    <s v="6 - 10 Years"/>
    <s v="Operations"/>
    <s v="Create Mentorship Event for Shenaaz Musthapha with Fatima Kasoojee"/>
    <d v="2024-04-01T00:00:00"/>
    <m/>
    <m/>
  </r>
  <r>
    <s v="5116716"/>
    <x v="131"/>
    <s v="Provide career guidance:_x000a__x000a_Better integration into a team/business unit_x000a__x000a_Bridging the gap for graduates and first-time joiners to the workplace_x000a__x000a_Relationship building and networking._x000a__x000a_Broaden organizational knowledge."/>
    <s v="Career Mentor"/>
    <s v="Full Time Employee"/>
    <s v="White (South Africa)"/>
    <s v="Male"/>
    <s v="30 - 39"/>
    <s v="FNB Personal Core Banking (Stephen Barnes)"/>
    <s v="South Africa"/>
    <s v="FNB"/>
    <s v="48100005372 FNB Personal Core Banking Consumer Value Management"/>
    <s v="Data Science Manager"/>
    <s v="6 - 10 Years"/>
    <s v="Analytics"/>
    <s v="8870857"/>
    <x v="190"/>
    <s v="Full Time Employee"/>
    <s v="Indian (South Africa)"/>
    <s v="Female"/>
    <s v="20 - 29"/>
    <s v="FNB Personal Core Banking (Brent Dreyer)"/>
    <s v="South Africa"/>
    <s v="FNB"/>
    <s v="48100005372 FNB Personal Core Banking Consumer Value Management"/>
    <s v="Data Scientist"/>
    <s v="2 Years"/>
    <s v="Analytics"/>
    <s v="Create Mentorship Event for Lavashni Naidoo with Paul Van Tonder"/>
    <d v="2024-03-21T00:00:00"/>
    <d v="2024-11-30T00:00:00"/>
    <m/>
  </r>
  <r>
    <s v="4920740"/>
    <x v="132"/>
    <s v="Career guidance , leadership skills , Assessing credit application and Risk mitigating factor"/>
    <s v="Career Mentor"/>
    <s v="Full Time Employee"/>
    <s v="White (South Africa)"/>
    <s v="Female"/>
    <s v="40 - 49"/>
    <s v="FNB Commercial Sales Inland (Johan Kotze)"/>
    <s v="South Africa"/>
    <s v="FNB"/>
    <s v="34200009213 FNB Commercial Sales Free State Platinum"/>
    <s v="Relationship Analyst"/>
    <s v="6 - 10 Years"/>
    <s v="Client Relationship Management"/>
    <s v="5037360"/>
    <x v="191"/>
    <s v="Full Time Employee"/>
    <s v="African (South Africa)"/>
    <s v="Male"/>
    <s v="30 - 39"/>
    <s v="FNB Commercial Credit (Makwena Semono)"/>
    <s v="South Africa"/>
    <s v="FNB"/>
    <s v="34200000751 FNB Commercial Credit Inland Limpopo"/>
    <s v="Business Judgemental Credit Manager"/>
    <s v="6 - 10 Years"/>
    <s v="Credit Risk"/>
    <s v="Close Mentorship Event for Innosim Mothombeni with Lenize Lottering_x000a__x000a_Create Mentorship Event for Innosim Mothombeni with Lenize Lottering"/>
    <d v="2024-01-03T00:00:00"/>
    <d v="2024-03-20T00:00:00"/>
    <s v="Mentee Withdrawal - Change in Mentoring Needs"/>
  </r>
  <r>
    <s v="3593053"/>
    <x v="133"/>
    <s v="To be mentored for my medium goal which is Local Market Sales and Service Manager"/>
    <s v="Leadership Mentor"/>
    <s v="Full Time Employee"/>
    <s v="African (South Africa)"/>
    <s v="Male"/>
    <s v="30 - 39"/>
    <s v="FNB Points of Presence (Michael Bell)"/>
    <s v="South Africa"/>
    <s v="FNB"/>
    <s v="771067100 FNB POP Branch Delivery Vincent Park"/>
    <s v="Local Market Sales and Service Manager"/>
    <s v="16 - 20 Years"/>
    <s v="Sales Management"/>
    <s v="2786133"/>
    <x v="192"/>
    <s v="Full Time Employee"/>
    <s v="Coloured (South Africa)"/>
    <s v="Female"/>
    <s v="50 - 59"/>
    <s v="FNB Points of Presence (Michael Bell)"/>
    <s v="South Africa"/>
    <s v="FNB"/>
    <s v="7710521100 FNB POP Branch Delivery Amalinda"/>
    <s v="Branch Controller"/>
    <s v="&gt;20 Years"/>
    <s v="Administration"/>
    <s v="Create Mentorship Event for Sharlene Louw with Thandi Maciko"/>
    <d v="2024-01-15T00:00:00"/>
    <d v="2024-06-30T00:00:00"/>
    <m/>
  </r>
  <r>
    <s v="5053625"/>
    <x v="134"/>
    <s v="steer my career direction towards becoming a business support specialist."/>
    <s v="Career Mentor"/>
    <s v="Full Time Employee"/>
    <s v="African (South Africa)"/>
    <s v="Female"/>
    <s v="30 - 39"/>
    <s v="CDO Infrastructure and Security Services (Riaaz Ben)"/>
    <s v="South Africa"/>
    <s v="FNB"/>
    <s v="20700005247 CDO Identity and Access Governance"/>
    <s v="Test Analyst"/>
    <s v="6 - 10 Years"/>
    <s v="IT Testing"/>
    <s v="5015243"/>
    <x v="193"/>
    <s v="Full Time Employee"/>
    <s v="African (South Africa)"/>
    <s v="Female"/>
    <s v="30 - 39"/>
    <s v="FNB Private Banking and Advisory (Avishkar Singh)"/>
    <s v="South Africa"/>
    <s v="FNB"/>
    <s v="34100007232 PB&amp;A Service Suite Advisor Engagement"/>
    <s v="Channel Island Support Advisor"/>
    <s v="6 - 10 Years"/>
    <s v="Client Services Support and Delivery"/>
    <s v="Create Mentorship Event for Zandisiwe Hadebe with Khombisile Dumakude"/>
    <d v="2024-03-19T00:00:00"/>
    <m/>
    <m/>
  </r>
  <r>
    <s v="5464900"/>
    <x v="135"/>
    <s v="To explorer more about Active Directory and how the operates daily, also preparing us for future openings on that BU."/>
    <s v="Career Mentor"/>
    <s v="Full Time Employee"/>
    <s v="African (South Africa)"/>
    <s v="Male"/>
    <s v="30 - 39"/>
    <s v="CDO Infrastructure and Security Services (Maphelo Mpofu)"/>
    <s v="South Africa"/>
    <s v="FNB"/>
    <s v="20700008786 CDO Infrastructure and Security Services Active Directory"/>
    <s v="IT Security Specialist"/>
    <s v="3 - 5 Years"/>
    <s v="IT Security"/>
    <s v="4656695"/>
    <x v="194"/>
    <s v="Full Time Employee"/>
    <s v="African (South Africa)"/>
    <s v="Male"/>
    <s v="40 - 49"/>
    <s v="CDO Infrastructure and Security Services (Johan Miennie)"/>
    <s v="South Africa"/>
    <s v="FNB"/>
    <s v="20700006377 CDO Networks and Security Services Desktop and Mobile Technology"/>
    <s v="Desktop Support Technician"/>
    <s v="6 - 10 Years"/>
    <s v="IT Support"/>
    <s v="Create Mentorship Event for Mphela Sethotse with Stephen Mbhele_x000a__x000a_Edit Mentorship Event for Mphela Sethotse with Stephen Mbhele"/>
    <d v="2024-02-05T00:00:00"/>
    <d v="2024-06-30T00:00:00"/>
    <m/>
  </r>
  <r>
    <s v="3143244"/>
    <x v="136"/>
    <s v="The purpose of me taking part in this mentorship programe is to gain guidance and learnings from Gabby. I would like Gabby to assist me with  gaining insights and help me overcome challenges and set achievable goals within my career development."/>
    <s v="Career Mentor"/>
    <s v="Full Time Employee"/>
    <s v="Indian (South Africa)"/>
    <s v="Female"/>
    <s v="40 - 49"/>
    <s v="FNB International SA (Fazlan Khan)"/>
    <s v="South Africa"/>
    <s v="FNB"/>
    <s v="83200003325 FNB International SA Alternative Channels"/>
    <s v="Product Specialist"/>
    <s v="16 - 20 Years"/>
    <s v="Product Support, Development and Analysis"/>
    <s v="5154480"/>
    <x v="195"/>
    <m/>
    <s v="African (South Africa)"/>
    <s v="Female"/>
    <s v="20 - 29"/>
    <m/>
    <s v="South Africa"/>
    <m/>
    <m/>
    <m/>
    <s v="6 - 10 Years"/>
    <m/>
    <s v="Close Mentorship Event for Delight Moyo (Terminated) with Gabby Moodley_x000a__x000a_Create Mentorship Event for Delight Moyo (Terminated) with Gabby Moodley"/>
    <d v="2023-08-30T00:00:00"/>
    <d v="2024-08-30T00:00:00"/>
    <s v="Mentee Resigned"/>
  </r>
  <r>
    <s v="4936930"/>
    <x v="137"/>
    <m/>
    <s v="Career Mentor"/>
    <m/>
    <m/>
    <s v="Male"/>
    <s v="40 - 49"/>
    <m/>
    <s v="Zambia"/>
    <m/>
    <m/>
    <m/>
    <s v="6 - 10 Years"/>
    <m/>
    <s v="4683404"/>
    <x v="196"/>
    <s v="Full Time Employee"/>
    <m/>
    <s v="Female"/>
    <s v="30 - 39"/>
    <s v="FNB Zambia Operations (Mukelabai Lamaswala)"/>
    <s v="Zambia"/>
    <s v="FNB"/>
    <s v="55300003089 FNB Zambia Risk"/>
    <s v="Security Coordinator"/>
    <s v="11 -15 Years"/>
    <s v="Security (Protection Services)"/>
    <s v="Create Mentorship Event for Kalele Mpembamoto with Chota Mwila (Terminated)"/>
    <d v="2023-12-30T00:00:00"/>
    <d v="2024-06-30T00:00:00"/>
    <m/>
  </r>
  <r>
    <s v="4526651"/>
    <x v="138"/>
    <s v="To support and development my skills and knowledge as part of my career development."/>
    <s v="Career Mentor"/>
    <s v="Full Time Employee"/>
    <s v="White (South Africa)"/>
    <s v="Female"/>
    <s v="40 - 49"/>
    <s v="RMBSA Financial Resources Management (FRM) (Rob Mcintyre)"/>
    <s v="South Africa"/>
    <s v="RMB"/>
    <s v="77800000PCO RMBSA Non-Financial Risk Management Team"/>
    <s v="Non-Financial Risk Management Head"/>
    <s v="16 - 20 Years"/>
    <s v="Operational Risk"/>
    <s v="3023214"/>
    <x v="197"/>
    <s v="Full Time Employee"/>
    <s v="White (South Africa)"/>
    <s v="Female"/>
    <s v="40 - 49"/>
    <s v="RMBSA TTS Fraud (Janie Crous (Inherited))"/>
    <s v="South Africa"/>
    <s v="RMB"/>
    <s v="77800000CRI RMBSA TTS Fraud"/>
    <s v="Fraud Investigator"/>
    <s v="&gt;20 Years"/>
    <s v="Fraud Risk"/>
    <s v="Create Mentorship Event for Monia Ward with Angela Meilhon"/>
    <d v="2023-09-11T00:00:00"/>
    <d v="2025-04-01T00:00:00"/>
    <m/>
  </r>
  <r>
    <s v="5150175"/>
    <x v="102"/>
    <s v="The purpose of this mentorship is to acquire solid fundamental technical skillset for information architecture. Transition from thinking like a developer to an architecture. I'm currently a Data Engineer who is getting on-the-job training as an information architecture."/>
    <s v="Technical Mentor"/>
    <s v="Full Time Employee"/>
    <s v="White (South Africa)"/>
    <s v="Male"/>
    <s v="40 - 49"/>
    <s v="FRG Data and Analytics Office (Lian Van Oudheusden)"/>
    <s v="South Africa"/>
    <s v="FNB"/>
    <s v="39400010972 FNB Chief Risk Office Credit Risk and Reporting"/>
    <s v="Information Architecture Head"/>
    <s v="16 - 20 Years"/>
    <s v="Architecture"/>
    <s v="5102456"/>
    <x v="198"/>
    <s v="Full Time Employee"/>
    <s v="African (South Africa)"/>
    <s v="Male"/>
    <s v="40 - 49"/>
    <s v="FNB Commercial Analytics Insights Data (Axolile Daniel)"/>
    <s v="South Africa"/>
    <s v="FNB"/>
    <s v="34300005518 FNB Commercial Data Office"/>
    <s v="Data Engineer"/>
    <s v="6 - 10 Years"/>
    <s v="Data Management, Maintenance and Security"/>
    <s v="Create Mentorship Event for Mongi Nyembe with Andre Olivier"/>
    <d v="2024-01-26T00:00:00"/>
    <d v="2024-06-30T00:00:00"/>
    <m/>
  </r>
  <r>
    <s v="3097935"/>
    <x v="139"/>
    <s v="-To be provided with guidance, advice feedback and support_x000a_-To be encouraged and empowered in personal development in Communication, Leadership, Time Management and Organizational Skills._x000a_-To being helped to identify and achieve career goals and to identify correct gaps in generic skills and knowledge_x000a_-To have a better understanding of the HR Space"/>
    <s v="Career Mentor"/>
    <s v="Full Time Employee"/>
    <s v="White (South Africa)"/>
    <s v="Female"/>
    <s v="40 - 49"/>
    <s v="FNB Wealth (Lisle Ellapen)"/>
    <s v="South Africa"/>
    <s v="FNB"/>
    <s v="34100003291 PB&amp;A Advice Academy"/>
    <s v="Learning Specialist"/>
    <s v="16 - 20 Years"/>
    <s v="Experience Architecting"/>
    <s v="4907779"/>
    <x v="199"/>
    <m/>
    <s v="African (South Africa)"/>
    <s v="Female"/>
    <s v="30 - 39"/>
    <m/>
    <s v="South Africa"/>
    <m/>
    <m/>
    <m/>
    <s v="6 - 10 Years"/>
    <m/>
    <s v="Create Mentorship Event for Dineo Taolo (Terminated) with Monique Swart"/>
    <d v="2023-11-30T00:00:00"/>
    <d v="2024-11-30T00:00:00"/>
    <m/>
  </r>
  <r>
    <s v="2765152"/>
    <x v="140"/>
    <s v="gaining experience, support and knowledge transfer"/>
    <s v="Leadership Mentor"/>
    <s v="Full Time Employee"/>
    <s v="Indian (South Africa)"/>
    <s v="Female"/>
    <s v="50 - 59"/>
    <s v="FNB Commercial Sales Inland (Pelonolo Mafata)"/>
    <s v="South Africa"/>
    <s v="FNB"/>
    <s v="34300009157 FNB Commercial Growth Mpumalanga Gold"/>
    <s v="Area Manager"/>
    <s v="&gt;20 Years"/>
    <s v="Client Services Support and Delivery"/>
    <s v="3836975"/>
    <x v="200"/>
    <s v="Full Time Employee"/>
    <s v="Indian (South Africa)"/>
    <s v="Male"/>
    <s v="30 - 39"/>
    <s v="FNB Commercial Sales Inland (Reshmee Pillay)"/>
    <s v="South Africa"/>
    <s v="FNB"/>
    <s v="34300009157 FNB Commercial Growth Mpumalanga Gold"/>
    <s v="Business Manager"/>
    <s v="11 -15 Years"/>
    <s v="Business Development"/>
    <s v="Create Mentorship Event for Ebrahim Carrim with Reshmee Pillay"/>
    <d v="2024-04-01T00:00:00"/>
    <m/>
    <m/>
  </r>
  <r>
    <s v="3118045"/>
    <x v="141"/>
    <m/>
    <s v="Career Mentor"/>
    <s v="Full Time Employee"/>
    <s v="White (South Africa)"/>
    <s v="Male"/>
    <s v="50 - 59"/>
    <s v="FNB R&amp;C Chief Information Office (La-Cell Mouton)"/>
    <s v="South Africa"/>
    <s v="FNB"/>
    <s v="79000005998 CDO Banking Central"/>
    <s v="Chief Information Officer"/>
    <s v="16 - 20 Years"/>
    <s v="System Design and Administration"/>
    <s v="2912929"/>
    <x v="201"/>
    <s v="Full Time Employee"/>
    <s v="Indian (South Africa)"/>
    <s v="Male"/>
    <s v="40 - 49"/>
    <s v="FNB Commercial Chief Information Office (Ismail Sibda)"/>
    <s v="South Africa"/>
    <s v="FNB"/>
    <s v="34200007536 FNB Commercial CJP Exco"/>
    <s v="Business Unit Chief Information Officer"/>
    <s v="&gt;20 Years"/>
    <s v="System Design and Administration"/>
    <s v="Create Mentorship Event for Vimal Lala with Brendon Smith"/>
    <d v="2024-05-13T00:00:00"/>
    <d v="2024-09-30T00:00:00"/>
    <m/>
  </r>
  <r>
    <s v="3455211"/>
    <x v="142"/>
    <s v="I am eager to develop my skills, and after careful consideration, I am convinced that having a mentor like you would significantly benefit my journey._x000a_Your track record of success and your reputation for being an exceptional communicator makes you the ideal candidate to help me navigate challenges, refine my strengths, and overcome any obstacles I may encounter along the way._x000a_I understand that your time is valuable, and I would be deeply grateful for any support or guidance you could provide, whether it be through occasional meetings, constructive feedback on my work, or recommended resources for further learning._x000a_Your guidance would mean a great deal to me, and I am committed to making the most of this opportunity to grow both personally and professionally."/>
    <s v="Career Mentor"/>
    <m/>
    <s v="White (South Africa)"/>
    <s v="Female"/>
    <s v="50 - 59"/>
    <m/>
    <s v="South Africa"/>
    <m/>
    <m/>
    <m/>
    <s v="11 -15 Years"/>
    <m/>
    <s v="3576981"/>
    <x v="202"/>
    <s v="Full Time Employee"/>
    <s v="White (South Africa)"/>
    <s v="Female"/>
    <s v="40 - 49"/>
    <s v="HC and FNB EnTech Delivery (Natasha Du Toit)"/>
    <s v="South Africa"/>
    <s v="FNB"/>
    <s v="86000001986 FNB HC Operations Technology"/>
    <s v="Functional Configuration Consultant"/>
    <s v="11 -15 Years"/>
    <s v="Business/Systems Analysis"/>
    <s v="Create Mentorship Event for Natasha Van Staden with Julia Phillips (Terminated)"/>
    <d v="2024-04-12T00:00:00"/>
    <d v="2024-06-30T00:00:00"/>
    <m/>
  </r>
  <r>
    <s v="3209105"/>
    <x v="123"/>
    <s v="Career mentoring in new position in new areas"/>
    <s v="Career Mentor"/>
    <s v="Full Time Employee"/>
    <s v="Indian (South Africa)"/>
    <s v="Female"/>
    <s v="40 - 49"/>
    <s v="FNB Chief Risk Office (Emma Mer)"/>
    <s v="South Africa"/>
    <s v="FNB"/>
    <s v="39400001871 FNB Chief Risk Office Executive"/>
    <s v="Chief Operating Officer"/>
    <s v="16 - 20 Years"/>
    <s v="Operations"/>
    <s v="4910850"/>
    <x v="203"/>
    <s v="Full Time Employee"/>
    <s v="White (South Africa)"/>
    <s v="Female"/>
    <s v="50 - 59"/>
    <s v="FNB nav. Chief Executive Office R&amp;C (Pravesh Dayah)"/>
    <s v="South Africa"/>
    <s v="FNB"/>
    <s v="39400003528 FNB SmartWorx Enablement"/>
    <s v="Programme Manager"/>
    <s v="6 - 10 Years"/>
    <s v="Programme and Project Management"/>
    <s v="Create Mentorship Event for Carla Ferreira with Renusha Moodley"/>
    <d v="2024-04-16T00:00:00"/>
    <d v="2024-12-31T00:00:00"/>
    <m/>
  </r>
  <r>
    <s v="5188180"/>
    <x v="143"/>
    <s v="Better integration into a team/business unit_x000a__x000a_Bridging the gap for graduates and first-time joiners to the workplace_x000a__x000a_Broaden organisational knowledge_x000a__x000a_Career guidance_x000a__x000a_Deal with diversity and inclusion challenges_x000a__x000a_Develop leadership skills_x000a__x000a_Disruptive technologies_x000a__x000a_Innovation_x000a__x000a_Learn how to navigate the system_x000a__x000a_Manage a career transition_x000a__x000a_Relationship building and networking"/>
    <s v="Career Mentor"/>
    <s v="Full Time Employee"/>
    <s v="African (South Africa)"/>
    <s v="Male"/>
    <s v="30 - 39"/>
    <s v="FNB Economics (Mamello Matikinca)"/>
    <s v="South Africa"/>
    <s v="FNB"/>
    <s v="39400003093 FNB Economics"/>
    <s v="Economist"/>
    <s v="6 - 10 Years"/>
    <s v="Economic Analysis/Fundamental Research"/>
    <s v="4987063"/>
    <x v="103"/>
    <s v="Full Time Employee"/>
    <s v="African (South Africa)"/>
    <s v="Male"/>
    <s v="30 - 39"/>
    <s v="FNB Private Banking and Advisory (Morne Welgemoed)"/>
    <s v="South Africa"/>
    <s v="FNB"/>
    <s v="34100007232 PB&amp;A Service Suite Advisor Engagement"/>
    <s v="Private Service Advisor"/>
    <s v="3 - 5 Years"/>
    <s v="Client Relationship Management"/>
    <s v="Create Mentorship Event for Mpho Sephetho with Siphamandla Mkhwanazi"/>
    <d v="2024-03-09T00:00:00"/>
    <d v="2031-01-31T00:00:00"/>
    <m/>
  </r>
  <r>
    <s v="5109140"/>
    <x v="144"/>
    <s v="My name is Kingsley Mwiinga and i currently work for FNB Zambia particularly under Mazabuka Branch in Sales Department, i have great respect for the work you have done in FNB , to be honest my prayer is to meet you one day and get to hear your career story and ask few questions about your career path you inspire me very much._x000a_Could i ask for 30 minutes of your time over coffee or lunch to meet ? am fully aware that you are no longer in the Country but i believe something can be worked on._x000a_I understand you are very busy and if 30 minutes is not possible perhaps a 15 minutes phone conversation is more manageable._x000a_please Sir let me know if you would accept me to be your seed for the next generation._x000a_Thank you for your time and look forward to speak soon."/>
    <s v="Career Mentor"/>
    <s v="Expatriate - In"/>
    <s v="African (South Africa)"/>
    <s v="Male"/>
    <s v="50 - 59"/>
    <s v="FNB Chief Executive Office (Harry Kellan)"/>
    <s v="South Africa"/>
    <s v="FNB"/>
    <s v="83300001939 FNB Executives"/>
    <s v="Chief Executive Officer"/>
    <s v="6 - 10 Years"/>
    <s v="Operations"/>
    <s v="8870207"/>
    <x v="204"/>
    <s v="Full Time Employee"/>
    <s v="N/A (Zambia)"/>
    <s v="Male"/>
    <s v="30 - 39"/>
    <s v="FNB Zambia Retail Segment (Kingstone Mooya)"/>
    <s v="Zambia"/>
    <s v="FNB"/>
    <s v="55300006409 FNB Zambia Mazabuka Branch"/>
    <s v="Multi Skilled Consultant"/>
    <s v="2 Years"/>
    <s v="Client Experience and Value Management"/>
    <s v="Create Mentorship Event for Kingsley Mwiinga with Bydon Longwe"/>
    <d v="2024-04-01T00:00:00"/>
    <m/>
    <m/>
  </r>
  <r>
    <s v="5062667"/>
    <x v="118"/>
    <s v="To obtain an in-depth understanding of how guidance and support are provided to the business and technology community to ensure appropriate development and implementation of an IT risk management programme in accordance with governance and IT risk requirements."/>
    <s v="Career Mentor"/>
    <s v="Full Time Employee"/>
    <s v="African (South Africa)"/>
    <s v="Female"/>
    <s v="30 - 39"/>
    <s v="CDO Kernel iNterfaceX Fraud Risk Management (Craig Grieve)"/>
    <s v="South Africa"/>
    <s v="FNB"/>
    <s v="21800006165 CDO Kernel iNterfaceX Audit and Risk"/>
    <s v="IT Risk Head"/>
    <s v="6 - 10 Years"/>
    <s v="IT Governance, Risk and Compliance"/>
    <s v="4855256"/>
    <x v="205"/>
    <s v="Full Time Employee"/>
    <s v="African (South Africa)"/>
    <s v="Female"/>
    <s v="30 - 39"/>
    <s v="FNB Commercial Forex Advisory Desk (Donavan Artman)"/>
    <s v="South Africa"/>
    <s v="FNB"/>
    <s v="81800006614 FNB Commercial Forex Ops QA"/>
    <s v="Quality Assurer"/>
    <s v="6 - 10 Years"/>
    <s v="Quality Assurance"/>
    <s v="Create Mentorship Event for Sthembiso Machize with Smangele Cunningham"/>
    <d v="2024-02-21T00:00:00"/>
    <d v="2024-11-29T00:00:00"/>
    <m/>
  </r>
  <r>
    <s v="2765152"/>
    <x v="140"/>
    <s v="Advice and guidance to help me to grow as an individual, increase knowledge and constructive criticism."/>
    <s v="Leadership Mentor"/>
    <s v="Full Time Employee"/>
    <s v="Indian (South Africa)"/>
    <s v="Female"/>
    <s v="50 - 59"/>
    <s v="FNB Commercial Sales Inland (Pelonolo Mafata)"/>
    <s v="South Africa"/>
    <s v="FNB"/>
    <s v="34300009157 FNB Commercial Growth Mpumalanga Gold"/>
    <s v="Area Manager"/>
    <s v="&gt;20 Years"/>
    <s v="Client Services Support and Delivery"/>
    <s v="3521184"/>
    <x v="206"/>
    <s v="Full Time Employee"/>
    <s v="African (South Africa)"/>
    <s v="Female"/>
    <s v="30 - 39"/>
    <s v="FNB Commercial Sales Inland (Reshmee Pillay)"/>
    <s v="South Africa"/>
    <s v="FNB"/>
    <s v="34300009157 FNB Commercial Growth Mpumalanga Gold"/>
    <s v="Business Manager"/>
    <s v="16 - 20 Years"/>
    <s v="Business Development"/>
    <s v="Create Mentorship Event for Vuyiswa Dladla with Reshmee Pillay"/>
    <d v="2024-04-22T00:00:00"/>
    <d v="2025-04-22T00:00:00"/>
    <m/>
  </r>
  <r>
    <s v="5464900"/>
    <x v="135"/>
    <m/>
    <s v="Technical Mentor"/>
    <s v="Full Time Employee"/>
    <s v="African (South Africa)"/>
    <s v="Male"/>
    <s v="30 - 39"/>
    <s v="CDO Infrastructure and Security Services (Maphelo Mpofu)"/>
    <s v="South Africa"/>
    <s v="FNB"/>
    <s v="20700008786 CDO Infrastructure and Security Services Active Directory"/>
    <s v="IT Security Specialist"/>
    <s v="3 - 5 Years"/>
    <s v="IT Security"/>
    <s v="7220758"/>
    <x v="207"/>
    <s v="Full Time Employee"/>
    <s v="White (South Africa)"/>
    <s v="Male"/>
    <s v="40 - 49"/>
    <s v="CDO Infrastructure and Security Services (Dean Woodford)"/>
    <s v="South Africa"/>
    <s v="FNB"/>
    <s v="20700005622 CDO Networks and Security Services Systems Management"/>
    <s v="Network Specialist"/>
    <s v="11 -15 Years"/>
    <s v="Architecture"/>
    <s v="Create Mentorship Event for Jaan Roodt with Stephen Mbhele_x000a__x000a_Edit Mentorship Event for Jaan Roodt with Stephen Mbhele"/>
    <d v="2024-04-01T00:00:00"/>
    <d v="2024-06-30T00:00:00"/>
    <m/>
  </r>
  <r>
    <s v="5464900"/>
    <x v="135"/>
    <s v="IAM/PAM metorship in the Security Cyber Space within the FNB Bank."/>
    <s v="Technical Mentor"/>
    <s v="Full Time Employee"/>
    <s v="African (South Africa)"/>
    <s v="Male"/>
    <s v="30 - 39"/>
    <s v="CDO Infrastructure and Security Services (Maphelo Mpofu)"/>
    <s v="South Africa"/>
    <s v="FNB"/>
    <s v="20700008786 CDO Infrastructure and Security Services Active Directory"/>
    <s v="IT Security Specialist"/>
    <s v="3 - 5 Years"/>
    <s v="IT Security"/>
    <s v="3612856"/>
    <x v="208"/>
    <s v="Full Time Employee"/>
    <s v="African (South Africa)"/>
    <s v="Male"/>
    <s v="40 - 49"/>
    <s v="CDO Infrastructure and Security Services (Byron Scott)"/>
    <s v="South Africa"/>
    <s v="FNB"/>
    <s v="20700005622 CDO Networks and Security Services Systems Management"/>
    <s v="IT Security Specialist"/>
    <s v="11 -15 Years"/>
    <s v="IT Security"/>
    <s v="Create Mentorship Event for Kabelo Mabena with Stephen Mbhele"/>
    <d v="2024-04-10T00:00:00"/>
    <m/>
    <m/>
  </r>
  <r>
    <s v="5464900"/>
    <x v="135"/>
    <s v="To gain in-depth knowledge of Active Directory and it's components."/>
    <s v="Career Mentor"/>
    <s v="Full Time Employee"/>
    <s v="African (South Africa)"/>
    <s v="Male"/>
    <s v="30 - 39"/>
    <s v="CDO Infrastructure and Security Services (Maphelo Mpofu)"/>
    <s v="South Africa"/>
    <s v="FNB"/>
    <s v="20700008786 CDO Infrastructure and Security Services Active Directory"/>
    <s v="IT Security Specialist"/>
    <s v="3 - 5 Years"/>
    <s v="IT Security"/>
    <s v="5328748"/>
    <x v="209"/>
    <s v="Full Time Employee"/>
    <s v="African (South Africa)"/>
    <s v="Male"/>
    <s v="30 - 39"/>
    <s v="CDO Infrastructure and Security Services (Priester Grobler)"/>
    <s v="South Africa"/>
    <s v="FNB"/>
    <s v="20700004905 CDO Infrastructure and Security Services Active Directory OPS"/>
    <s v="Information Security Administrator"/>
    <s v="3 - 5 Years"/>
    <s v="IT Security"/>
    <s v="Create Mentorship Event for Konke Nonjinge with Stephen Mbhele_x000a__x000a_Edit Mentorship Event for Konke Nonjinge with Stephen Mbhele_x000a__x000a_Edit Mentorship Event for Konke Nonjinge with Stephen Mbhele"/>
    <d v="2024-03-13T00:00:00"/>
    <d v="2024-06-30T00:00:00"/>
    <m/>
  </r>
  <r>
    <s v="5464900"/>
    <x v="135"/>
    <s v="Get an Insite in Active directory and learning for Carrer growth purposes."/>
    <s v="Technical Mentor"/>
    <s v="Full Time Employee"/>
    <s v="African (South Africa)"/>
    <s v="Male"/>
    <s v="30 - 39"/>
    <s v="CDO Infrastructure and Security Services (Maphelo Mpofu)"/>
    <s v="South Africa"/>
    <s v="FNB"/>
    <s v="20700008786 CDO Infrastructure and Security Services Active Directory"/>
    <s v="IT Security Specialist"/>
    <s v="3 - 5 Years"/>
    <s v="IT Security"/>
    <s v="5279631"/>
    <x v="210"/>
    <s v="Full Time Employee"/>
    <s v="African (South Africa)"/>
    <s v="Female"/>
    <s v="40 - 49"/>
    <s v="CDO Infrastructure and Security Services (Nikeel Bantho)"/>
    <s v="South Africa"/>
    <s v="FNB"/>
    <s v="20700006377 CDO Networks and Security Services Desktop and Mobile Technology"/>
    <s v="Desktop Support Technician"/>
    <s v="6 - 10 Years"/>
    <s v="IT Support"/>
    <s v="Create Mentorship Event for Nwabisa Mnwana with Stephen Mbhele_x000a__x000a_Edit Mentorship Event for Nwabisa Mnwana with Stephen Mbhele"/>
    <d v="2004-02-05T00:00:00"/>
    <d v="2004-06-30T00:00:00"/>
    <m/>
  </r>
  <r>
    <s v="4877594"/>
    <x v="145"/>
    <s v="My goal is to become a Private Wealth Advisor and would like to have a mentor to guide me and help make the right moves to move into Private Clients."/>
    <s v="Career Mentor"/>
    <s v="Full Time Employee"/>
    <s v="African (South Africa)"/>
    <s v="Male"/>
    <s v="30 - 39"/>
    <s v="FNB Private Banking and Advisory (Elaine Knoetsec)"/>
    <s v="South Africa"/>
    <s v="FNB"/>
    <s v="34100003292 PB&amp;A Inland Central"/>
    <s v="Head of Sales Enablement"/>
    <s v="6 - 10 Years"/>
    <s v="Sales Management"/>
    <s v="5430127"/>
    <x v="211"/>
    <m/>
    <s v="African (Botswana)"/>
    <s v="Female"/>
    <s v="20 - 29"/>
    <m/>
    <s v="Botswana"/>
    <m/>
    <m/>
    <m/>
    <s v="2 Years"/>
    <m/>
    <s v="Create Mentorship Event for Bonolo Palesa Lekgotla (Terminated) with Allen Chapingidza"/>
    <d v="2024-05-01T00:00:00"/>
    <d v="2025-04-30T00:00:00"/>
    <m/>
  </r>
  <r>
    <s v="3093247"/>
    <x v="146"/>
    <m/>
    <s v="Career Mentor"/>
    <s v="Full Time Employee"/>
    <s v="White (South Africa)"/>
    <s v="Female"/>
    <s v="40 - 49"/>
    <s v="FNB Commercial Human Capital (Lelo Boyana)"/>
    <s v="South Africa"/>
    <s v="FNB"/>
    <s v="34400009735 FNB Commercial Human Resources"/>
    <s v="Human Capital Manager"/>
    <s v="16 - 20 Years"/>
    <s v="Business Human Capital"/>
    <s v="3095452"/>
    <x v="212"/>
    <s v="Full Time Employee"/>
    <s v="African (South Africa)"/>
    <s v="Female"/>
    <s v="40 - 49"/>
    <s v="FNB Commercial Human Capital (Lelo Boyana)"/>
    <s v="South Africa"/>
    <s v="FNB"/>
    <s v="34400009735 FNB Commercial Human Resources"/>
    <s v="Human Capital Business Partner"/>
    <s v="16 - 20 Years"/>
    <s v="Business Human Capital"/>
    <s v="Create Mentorship Event for Marcia Matshela with Chantelle Meyer"/>
    <d v="2024-06-03T00:00:00"/>
    <d v="2025-03-29T00:00:00"/>
    <m/>
  </r>
  <r>
    <s v="3252396"/>
    <x v="39"/>
    <s v="Mentorship for leadership and career guidance."/>
    <s v="Leadership Mentor"/>
    <s v="Full Time Employee"/>
    <s v="Indian (South Africa)"/>
    <s v="Male"/>
    <s v="30 - 39"/>
    <s v="FNB Chief Risk Office Executive (Brandon Olivier)"/>
    <s v="South Africa"/>
    <s v="FNB"/>
    <s v="39400004555 FNB Chief Risk Office Screening Services COO"/>
    <s v="Operations Head"/>
    <s v="11 -15 Years"/>
    <s v="Operations"/>
    <s v="5626323"/>
    <x v="213"/>
    <s v="Full Time Employee"/>
    <s v="Coloured (South Africa)"/>
    <s v="Female"/>
    <s v="40 - 49"/>
    <s v="FNB Private Banking and Advisory (Lisa Peffer)"/>
    <s v="South Africa"/>
    <s v="FNB"/>
    <s v="34100004935 PB&amp;A Ops Hubs WMA"/>
    <s v="Wealth Management Analyst"/>
    <s v="2 Years"/>
    <s v="Investor Services"/>
    <s v="Create Mentorship Event for Nikki Desmore with Diran Gajoo"/>
    <d v="2023-09-01T00:00:00"/>
    <m/>
    <m/>
  </r>
  <r>
    <s v="3495523"/>
    <x v="147"/>
    <s v="Broaden organisational knowledge_x000a__x000a_Career guidance_x000a__x000a_Develop leadership skills_x000a__x000a_Manage a career transition_x000a__x000a_Relationship building and networking_x000a__x000a_Innovation"/>
    <s v="Career Mentor"/>
    <m/>
    <s v="White (South Africa)"/>
    <s v="Female"/>
    <s v="60 - 64"/>
    <m/>
    <s v="South Africa"/>
    <m/>
    <m/>
    <m/>
    <s v="16 - 20 Years"/>
    <m/>
    <s v="4674308"/>
    <x v="214"/>
    <s v="Full Time Employee"/>
    <s v="White (South Africa)"/>
    <s v="Female"/>
    <s v="40 - 49"/>
    <s v="FNB REMS Management Property (Vanessa Brooks)"/>
    <s v="South Africa"/>
    <s v="FNB"/>
    <s v="22300001562 REMS Bankcity Catering"/>
    <s v="Client Experience Manager"/>
    <s v="11 -15 Years"/>
    <s v="Client Experience and Value Management"/>
    <s v="Create Mentorship Event for Jacqueline Becker with Theresa Nieuwoudt (Terminated)"/>
    <d v="2024-06-01T00:00:00"/>
    <d v="2024-12-01T00:00:00"/>
    <m/>
  </r>
  <r>
    <s v="4932684"/>
    <x v="148"/>
    <s v="Career guidance_x000a__x000a_Manage a career transition_x000a__x000a_Relationship building and networking_x000a__x000a__x000a_I am highly interested in transitioning to a role within the risk department.   Through the mentoring relationship, I hope to gain valuable insights and guidance on navigating the world of risk management, improving my critical thinking skills, and honing my decision-making abilities in high-pressure situations. I am specifically interested in receiving guidance on risk assessment techniques, regulatory compliance, and developing effective risk management frameworks. I believe that with the mentorship of an experienced professional in the field, I can enhance my skills and knowledge in risk management to achieve success in this challenging and rewarding industry."/>
    <s v="Career Mentor"/>
    <s v="Full Time Employee"/>
    <s v="Indian (South Africa)"/>
    <s v="Male"/>
    <s v="40 - 49"/>
    <s v="RMBSA Global Markets (Reza Cassim)"/>
    <s v="South Africa"/>
    <s v="RMB"/>
    <s v="77800000EXE RMBSA Global Markets Executives"/>
    <s v="Chief Risk Officer Institutional and GM"/>
    <s v="6 - 10 Years"/>
    <s v="Operational Risk"/>
    <s v="5511097"/>
    <x v="215"/>
    <s v="Full Time Employee"/>
    <s v="African (South Africa)"/>
    <s v="Female"/>
    <s v="20 - 29"/>
    <s v="FNB Commercial Sales Cape (X Gadlela)"/>
    <s v="South Africa"/>
    <s v="FNB"/>
    <s v="34200008675 FNB Commercial Sales Eastern Cape 10 to 60M"/>
    <s v="Relationship Analyst"/>
    <s v="3 - 5 Years"/>
    <s v="Client Relationship Management"/>
    <s v="Create Mentorship Event for Vuyiseka Myeki with Ashlin Poonan"/>
    <d v="2024-05-07T00:00:00"/>
    <m/>
    <m/>
  </r>
  <r>
    <s v="4735331"/>
    <x v="149"/>
    <m/>
    <s v="Career Mentor"/>
    <s v="Full Time Employee"/>
    <s v="White (South Africa)"/>
    <s v="Male"/>
    <s v="30 - 39"/>
    <s v="Group Human Capital Strategic Wellbeing (Zama Lamla (Inherited))"/>
    <s v="South Africa"/>
    <s v="FirstRand Corporate Centre"/>
    <s v="20200009025 FRCC Reward - RMB"/>
    <s v="Employee Wellbeing Consultant"/>
    <s v="6 - 10 Years"/>
    <s v="Experience Architecting"/>
    <s v="2938480"/>
    <x v="216"/>
    <s v="Full Time Employee"/>
    <s v="White (South Africa)"/>
    <s v="Female"/>
    <s v="50 - 59"/>
    <s v="FNB Brand Experience (Nkosana Matyeshana)"/>
    <s v="South Africa"/>
    <s v="FNB"/>
    <s v="22400005484 FNB Marketing Experience"/>
    <s v="Senior Events Specialist"/>
    <s v="&gt;20 Years"/>
    <s v="Sponsorships and Events"/>
    <s v="Create Mentorship Event for Karen Wilson with Steven Routledge"/>
    <d v="2024-05-02T00:00:00"/>
    <m/>
    <m/>
  </r>
  <r>
    <s v="2315335"/>
    <x v="150"/>
    <m/>
    <s v="Career Mentor"/>
    <s v="Full Time Employee"/>
    <s v="White (South Africa)"/>
    <s v="Female"/>
    <s v="50 - 59"/>
    <s v="FNB Human Capital R&amp;C (Donald Khumalo)"/>
    <s v="South Africa"/>
    <s v="FNB"/>
    <s v="47100001985 FNB HR Executive"/>
    <s v="Transformation Segment Lead"/>
    <s v="&gt;20 Years"/>
    <s v="Experience Architecting"/>
    <s v="2869799"/>
    <x v="217"/>
    <s v="Full Time Employee"/>
    <s v="Coloured (South Africa)"/>
    <s v="Female"/>
    <s v="50 - 59"/>
    <s v="RMBSA TTS Trade Operations Processing (Sizwe Dhlamini)"/>
    <s v="South Africa"/>
    <s v="RMB"/>
    <s v="77800000OJT RMBSA TTS Operations Trade Operations Johannesburg"/>
    <s v="Trade Specialist"/>
    <s v="11 -15 Years"/>
    <s v="Operations"/>
    <s v="Create Mentorship Event for Sharon Abdie with Liesel Hollis"/>
    <d v="2024-05-20T00:00:00"/>
    <d v="2024-05-24T00:00:00"/>
    <m/>
  </r>
  <r>
    <s v="4932277"/>
    <x v="151"/>
    <s v="Broaden organisational knowledge_x000a__x000a_Innovation_x000a__x000a_Relationship building and networking_x000a__x000a_Disruptive technologies"/>
    <s v="Career Mentor"/>
    <s v="Full Time Employee"/>
    <s v="Indian (South Africa)"/>
    <s v="Female"/>
    <s v="40 - 49"/>
    <s v="RMBSA LRC Compliance (Karmani Naidoo)"/>
    <s v="South Africa"/>
    <s v="RMB"/>
    <s v="77800000RRM RMBSA Compliance Management Team"/>
    <s v="Compliance Practice Lead"/>
    <s v="6 - 10 Years"/>
    <s v="Compliance"/>
    <s v="5669553"/>
    <x v="218"/>
    <s v="Full Time Employee"/>
    <s v="White (South Africa)"/>
    <s v="Male"/>
    <s v="30 - 39"/>
    <s v="RMBSA IBD LRC Compliance (Nicolene Govender)"/>
    <s v="South Africa"/>
    <s v="RMB"/>
    <s v="77800000IBR RMBSA IBD LRC Compliance"/>
    <s v="Compliance Manager"/>
    <s v="2 Years"/>
    <s v="Compliance"/>
    <s v="Create Mentorship Event for Kyle Nicolaides with Thiroshni Chetty"/>
    <d v="2024-05-02T00:00:00"/>
    <d v="2024-12-31T00:00:00"/>
    <m/>
  </r>
  <r>
    <s v="4838629"/>
    <x v="152"/>
    <s v="I am an aspiring business intelligence developer/ Data Analyst with minimal experience however I am very passionate about working with data, developing reports to provide business insight, improve operations and help businesses to make better decision through it. I enjoy data interpretation using it solve complex business-related problems to provide sustainable business solution and promote innovation using data. I really wan to move to data space and I need guidance."/>
    <s v="Career Mentor"/>
    <m/>
    <s v="African (South Africa)"/>
    <s v="Male"/>
    <s v="30 - 39"/>
    <m/>
    <s v="South Africa"/>
    <m/>
    <m/>
    <m/>
    <s v="6 - 10 Years"/>
    <m/>
    <s v="5077141"/>
    <x v="219"/>
    <s v="Full Time Employee"/>
    <s v="African (South Africa)"/>
    <s v="Female"/>
    <s v="30 - 39"/>
    <s v="FNB Commercial Analytics Insights Data (Lise-miree Gossmann)"/>
    <s v="South Africa"/>
    <s v="FNB"/>
    <s v="34300008855 FNB Commercial Data Science and Engineering"/>
    <s v="Data Engineer"/>
    <s v="6 - 10 Years"/>
    <s v="Data Management, Maintenance and Security"/>
    <s v="Create Mentorship Event for Malka Manipha with Moloko Madibana (Terminated)"/>
    <d v="2024-05-01T00:00:00"/>
    <m/>
    <m/>
  </r>
  <r>
    <s v="4670183"/>
    <x v="153"/>
    <s v="Looking for someone who can provide career guidance and help me prepare me for possible new career opportunities, help me develop professional behaviors and characteristics, help me navigate the workplace"/>
    <s v="Career Mentor"/>
    <s v="Full Time Employee"/>
    <s v="Coloured (South Africa)"/>
    <s v="Female"/>
    <s v="40 - 49"/>
    <s v="RMBSA Financial Resources Management (FRM) (Rob Mcintyre)"/>
    <s v="South Africa"/>
    <s v="RMB"/>
    <s v="77800000HOZ RMBSA Executive Support Team"/>
    <s v="Executive Assistant"/>
    <s v="11 -15 Years"/>
    <s v="Administration"/>
    <s v="5576741"/>
    <x v="220"/>
    <s v="Full Time Employee"/>
    <s v="Coloured (South Africa)"/>
    <s v="Female"/>
    <s v="20 - 29"/>
    <s v="RMBSA LRC Compliance Pratice Leaders (Wynand Spruyt)"/>
    <s v="South Africa"/>
    <s v="RMB"/>
    <s v="77800000RRM RMBSA Compliance Management Team"/>
    <s v="Compliance Specialist"/>
    <s v="3 - 5 Years"/>
    <s v="Compliance"/>
    <s v="Create Mentorship Event for Ashleigh Alves with Bronwyn Miller"/>
    <d v="2024-05-14T00:00:00"/>
    <d v="2024-12-20T00:00:00"/>
    <m/>
  </r>
  <r>
    <s v="5323460"/>
    <x v="154"/>
    <s v="I would like to believe that with the qualification and working experience I have in the banking sector, being granted the opportunity would allow me to harness the power of data-driven insights to optimize investment strategies and drive informed decision-making. I am eager to learn how to leverage  advanced analytics techniques to uncover patterns, identify trends, and mitigate risks in investments. By working closely with a mentor, I aim to develop a deep understanding of data analytics methodologies specific to the industry, ultimately contributing to more efficient and profitable investment outcomes."/>
    <s v="Career Mentor"/>
    <s v="Full Time Employee"/>
    <s v="African (South Africa)"/>
    <s v="Male"/>
    <s v="30 - 39"/>
    <s v="FNB Cash Investments (Cornel Du Toit)"/>
    <s v="South Africa"/>
    <s v="FNB"/>
    <s v="65100003691 FNB Cash Investments Pricing &amp; Analytics"/>
    <s v="Data Science Manager"/>
    <s v="6 - 10 Years"/>
    <s v="Analytics"/>
    <s v="5531187"/>
    <x v="221"/>
    <s v="Full Time Employee"/>
    <s v="African (South Africa)"/>
    <s v="Female"/>
    <s v="20 - 29"/>
    <s v="FNB Business CXC (Lerato Senne)"/>
    <s v="South Africa"/>
    <s v="FNB"/>
    <s v="34300008508 FNB Business CXC Card Authorisations"/>
    <s v="Client Service Specialist"/>
    <s v="2 Years"/>
    <s v="Client Experience and Value Management"/>
    <s v="Create Mentorship Event for Asithandile Zikhathile with Itumeleng Kgoare"/>
    <d v="2024-06-03T00:00:00"/>
    <m/>
    <m/>
  </r>
  <r>
    <s v="5464900"/>
    <x v="135"/>
    <s v="Share Knowledge, and improves technical skills"/>
    <s v="Technical Mentor"/>
    <s v="Full Time Employee"/>
    <s v="African (South Africa)"/>
    <s v="Male"/>
    <s v="30 - 39"/>
    <s v="CDO Infrastructure and Security Services (Maphelo Mpofu)"/>
    <s v="South Africa"/>
    <s v="FNB"/>
    <s v="20700008786 CDO Infrastructure and Security Services Active Directory"/>
    <s v="IT Security Specialist"/>
    <s v="3 - 5 Years"/>
    <s v="IT Security"/>
    <s v="5329809"/>
    <x v="222"/>
    <s v="Full Time Employee"/>
    <s v="African (South Africa)"/>
    <s v="Male"/>
    <s v="30 - 39"/>
    <s v="CDO Infrastructure and Security Services (Priester Grobler)"/>
    <s v="South Africa"/>
    <s v="FNB"/>
    <s v="20700004905 CDO Infrastructure and Security Services Active Directory OPS"/>
    <s v="Information Security Administrator"/>
    <s v="3 - 5 Years"/>
    <s v="IT Security"/>
    <s v="Create Mentorship Event for Tusani Nkomo with Stephen Mbhele"/>
    <d v="2024-03-01T00:00:00"/>
    <m/>
    <m/>
  </r>
  <r>
    <s v="5464900"/>
    <x v="135"/>
    <s v="IAM / PAM Mentorship - showing us various items on the Active Directory / Server / GPO topics"/>
    <s v="Leadership Mentor"/>
    <s v="Full Time Employee"/>
    <s v="African (South Africa)"/>
    <s v="Male"/>
    <s v="30 - 39"/>
    <s v="CDO Infrastructure and Security Services (Maphelo Mpofu)"/>
    <s v="South Africa"/>
    <s v="FNB"/>
    <s v="20700008786 CDO Infrastructure and Security Services Active Directory"/>
    <s v="IT Security Specialist"/>
    <s v="3 - 5 Years"/>
    <s v="IT Security"/>
    <s v="3305015"/>
    <x v="223"/>
    <s v="Full Time Employee"/>
    <s v="Indian (South Africa)"/>
    <s v="Male"/>
    <s v="40 - 49"/>
    <s v="FNB Core Banking Platform (Krishen Rangappa (Inherited))"/>
    <s v="South Africa"/>
    <s v="FNB"/>
    <s v="59600010094 FNB Personal and Private IT WB IT Infrastructure"/>
    <s v="Infrastructure Architect"/>
    <s v="11 -15 Years"/>
    <s v="Architecture"/>
    <s v="Create Mentorship Event for Rushey Parbhoo with Stephen Mbhele"/>
    <d v="2024-03-18T00:00:00"/>
    <d v="2024-07-29T00:00:00"/>
    <m/>
  </r>
  <r>
    <s v="5464900"/>
    <x v="135"/>
    <m/>
    <s v="Technical Mentor"/>
    <s v="Full Time Employee"/>
    <s v="African (South Africa)"/>
    <s v="Male"/>
    <s v="30 - 39"/>
    <s v="CDO Infrastructure and Security Services (Maphelo Mpofu)"/>
    <s v="South Africa"/>
    <s v="FNB"/>
    <s v="20700008786 CDO Infrastructure and Security Services Active Directory"/>
    <s v="IT Security Specialist"/>
    <s v="3 - 5 Years"/>
    <s v="IT Security"/>
    <s v="5532930"/>
    <x v="224"/>
    <s v="Full Time Employee"/>
    <s v="Coloured (South Africa)"/>
    <s v="Male"/>
    <s v="20 - 29"/>
    <s v="CDO Banking (Anette Du Plessis (Inherited))"/>
    <s v="South Africa"/>
    <s v="FNB"/>
    <s v="59600003267 FNB Personal and Private IT CRSA Development"/>
    <s v="Test Analyst"/>
    <s v="3 - 5 Years"/>
    <s v="Business/Systems Analysis"/>
    <s v="Create Mentorship Event for Muhaimin Farred with Stephen Mbhele"/>
    <d v="2024-02-28T00:00:00"/>
    <m/>
    <m/>
  </r>
  <r>
    <s v="3792145"/>
    <x v="108"/>
    <s v="My name is Noluyolo Myeki. I have recently enrolled in the ISC2 1million Certified in Cyber programme and am currently studying towards the certification. I am currently not working in the IT environment but have vehemently immersed myself in the world of IT and have done most of my studying through self-paced online learning. This would be the perfect environment for me as I am also looking for hands on mentorship with people that are experienced in this space, as I believe it would enable me to absorb knowledge and provide clarity on information, I have gained through self-study that may be unclear."/>
    <s v="Technical Mentor"/>
    <s v="Full Time Employee"/>
    <s v="African (South Africa)"/>
    <s v="Female"/>
    <s v="40 - 49"/>
    <s v="FNB COO Head Office (Nkoka Sekotlong)"/>
    <s v="South Africa"/>
    <s v="FNB"/>
    <s v="69000006171 FNB Retail Enterprise Project Management Office"/>
    <s v="Programme Manager"/>
    <s v="6 - 10 Years"/>
    <s v="Programme and Project Management"/>
    <s v="4953835"/>
    <x v="225"/>
    <m/>
    <s v="African (South Africa)"/>
    <s v="Female"/>
    <s v="30 - 39"/>
    <m/>
    <s v="South Africa"/>
    <m/>
    <m/>
    <m/>
    <s v="6 - 10 Years"/>
    <m/>
    <s v="Create Mentorship Event for Noluyolo Myeki (Terminated) with Mpumie Twala"/>
    <d v="2024-06-01T00:00:00"/>
    <m/>
    <m/>
  </r>
  <r>
    <s v="5464900"/>
    <x v="135"/>
    <s v="To learn a new skill and change in career"/>
    <s v="Career Mentor"/>
    <s v="Full Time Employee"/>
    <s v="African (South Africa)"/>
    <s v="Male"/>
    <s v="30 - 39"/>
    <s v="CDO Infrastructure and Security Services (Maphelo Mpofu)"/>
    <s v="South Africa"/>
    <s v="FNB"/>
    <s v="20700008786 CDO Infrastructure and Security Services Active Directory"/>
    <s v="IT Security Specialist"/>
    <s v="3 - 5 Years"/>
    <s v="IT Security"/>
    <s v="2620448"/>
    <x v="226"/>
    <s v="Full Time Employee"/>
    <s v="Coloured (South Africa)"/>
    <s v="Male"/>
    <s v="40 - 49"/>
    <s v="CDO Infrastructure and Security Services (Nelisiwe Majola)"/>
    <s v="South Africa"/>
    <s v="FNB"/>
    <s v="20700006377 CDO Networks and Security Services Desktop and Mobile Technology"/>
    <s v="Desktop Support Technician"/>
    <s v="16 - 20 Years"/>
    <s v="IT Support"/>
    <s v="Create Mentorship Event for Nathan Ramazan with Stephen Mbhele_x000a__x000a_Edit Mentorship Event for Nathan Ramazan with Stephen Mbhele"/>
    <d v="2024-05-15T00:00:00"/>
    <d v="2024-06-30T00:00:00"/>
    <m/>
  </r>
  <r>
    <s v="4950119"/>
    <x v="155"/>
    <s v="want to learn and develop my tecnical skills"/>
    <s v="Technical Mentor"/>
    <s v="Full Time Employee"/>
    <s v="White (South Africa)"/>
    <s v="Male"/>
    <s v="40 - 49"/>
    <s v="WB FML Product House (Matome Sekhaolelo)"/>
    <s v="South Africa"/>
    <s v="WesBank"/>
    <s v="30100005496 WB FML Projects"/>
    <s v="Data Analyst"/>
    <s v="6 - 10 Years"/>
    <s v="Data Management, Maintenance and Security"/>
    <s v="4995465"/>
    <x v="227"/>
    <s v="Full Time Employee"/>
    <s v="White (South Africa)"/>
    <s v="Male"/>
    <s v="30 - 39"/>
    <s v="WB FML Product House (Chad Naidoo)"/>
    <s v="South Africa"/>
    <s v="WesBank"/>
    <s v="30100006773 WB FML Managed Maintenance Corporate"/>
    <s v="Fleet Managed Maintenance Contact Centre Consultant"/>
    <s v="6 - 10 Years"/>
    <s v="Client Services Support and Delivery"/>
    <s v="Create Mentorship Event for Ryno Swart with Wouter De Klerk"/>
    <d v="2024-05-15T00:00:00"/>
    <m/>
    <m/>
  </r>
  <r>
    <s v="3539342"/>
    <x v="156"/>
    <s v="Get alignment on my career."/>
    <s v="Career Mentor"/>
    <s v="Full Time Employee"/>
    <s v="Coloured (South Africa)"/>
    <s v="Male"/>
    <s v="30 - 39"/>
    <s v="CDO Banking (Shagufta Bux)"/>
    <s v="South Africa"/>
    <s v="FNB"/>
    <s v="79000005464 CDO Banking Integrations On Host"/>
    <s v="Systems Analyst"/>
    <s v="11 -15 Years"/>
    <s v="Business/Systems Analysis"/>
    <s v="5053625"/>
    <x v="228"/>
    <s v="Full Time Employee"/>
    <s v="African (South Africa)"/>
    <s v="Female"/>
    <s v="30 - 39"/>
    <s v="CDO Infrastructure and Security Services (Riaaz Ben)"/>
    <s v="South Africa"/>
    <s v="FNB"/>
    <s v="20700005247 CDO Identity and Access Governance"/>
    <s v="Test Analyst"/>
    <s v="6 - 10 Years"/>
    <s v="IT Testing"/>
    <s v="Create Mentorship Event for Khombisile Dumakude with Dailan Kruger"/>
    <d v="2024-04-02T00:00:00"/>
    <d v="2024-12-31T00:00:00"/>
    <m/>
  </r>
  <r>
    <s v="4989171"/>
    <x v="71"/>
    <s v="My focus is on leadership, personal branding, building strong relationships and also positioning myself for expanded opportunity within the organisation. To realise the below goals:_x000a_Lean into my team's strength: Get better at collectively understanding my team's strength to lean into stronger attributes and help them reach their maximum potential._x000a_Improve my public speaking skills: To feel more comfortable and be more effective when presenting in public._x000a_Boost my emotional intelligence: Within three months, boost my EQ skills to improve communication and interpersonal skills._x000a_Create credibility and trust_x000a_Develop a new skillset"/>
    <s v="Career Mentor"/>
    <s v="Full Time Employee"/>
    <s v="African (Botswana)"/>
    <s v="Female"/>
    <s v="30 - 39"/>
    <s v="FNB Botswana Wealth (Tshepiso Scheffers)"/>
    <s v="Botswana"/>
    <s v="FNB"/>
    <s v="5010160500 FNB Botswana Consumer Banking"/>
    <s v="Customer Value Proposition Manager"/>
    <s v="6 - 10 Years"/>
    <s v="Product Development"/>
    <s v="3511928"/>
    <x v="229"/>
    <s v="Full Time Employee"/>
    <s v="African (Botswana)"/>
    <s v="Female"/>
    <s v="30 - 39"/>
    <s v="FNB Botswana Channels (Boitshwaro Mothootsile)"/>
    <s v="Botswana"/>
    <s v="FNB"/>
    <s v="5010153600 FNB Botswana Letlhakane Branch"/>
    <s v="Sales and Service Team Leader"/>
    <s v="11 -15 Years"/>
    <s v="Operations"/>
    <s v="Create Mentorship Event for Thato Keletso with Borethe Mogwe"/>
    <d v="2024-05-22T00:00:00"/>
    <d v="2025-05-22T00:00:00"/>
    <m/>
  </r>
  <r>
    <s v="3511235"/>
    <x v="157"/>
    <s v="I would like to gain more skills in the Risk department and have a better understanding. I need a mentor that may assist me in my career growth. Career Guidance- Assist in navigating corporate landscape, the kind of etiquette, skills I need to essentially get to where I want to be. To be able to be bold and confident. Career insights/guidance - relevance of certain careers/qualifications in the ever changing marketplace Skills transfer- Learning the necessary skills especially in properly articulating my views in a considerable manner ( Emotional intelligence)"/>
    <s v="Career Mentor"/>
    <s v="Full Time Employee"/>
    <s v="African (Botswana)"/>
    <s v="Female"/>
    <s v="30 - 39"/>
    <s v="FNB Botswana Operations (Bookeditswe Matladi-Molebatsi)"/>
    <s v="Botswana"/>
    <s v="FNB"/>
    <s v="5010343200 FNB Botswana RMB Operations"/>
    <s v="Reconciliation Officer"/>
    <s v="11 -15 Years"/>
    <s v="Systems Accounting and Financial Operations"/>
    <s v="5457009"/>
    <x v="230"/>
    <s v="Full Time Employee"/>
    <s v="African (Botswana)"/>
    <s v="Female"/>
    <s v="30 - 39"/>
    <s v="FNB Botswana Channels (Ofentse Sibozi)"/>
    <s v="Botswana"/>
    <s v="FNB"/>
    <s v="5010150100 FNB Botswana Kasane Branch"/>
    <s v="Branch Delivery Sales and Service Team Leader"/>
    <s v="3 - 5 Years"/>
    <s v="Direct Sales"/>
    <s v="Create Mentorship Event for Koziba Aaron with Palesa Moeng"/>
    <d v="2024-03-01T00:00:00"/>
    <m/>
    <m/>
  </r>
  <r>
    <s v="4827430"/>
    <x v="158"/>
    <m/>
    <s v="Career Mentor"/>
    <s v="Full Time Employee"/>
    <m/>
    <s v="Female"/>
    <s v="50 - 59"/>
    <s v="FNB Botswana Channels (Benni Dikobe)"/>
    <s v="Botswana"/>
    <s v="FNB"/>
    <s v="501073600 FNB Botswana Mall Branch"/>
    <s v="Branch Manager"/>
    <s v="11 -15 Years"/>
    <s v="Client Experience and Value Management"/>
    <s v="5022800"/>
    <x v="231"/>
    <s v="Full Time Employee"/>
    <s v="African (Botswana)"/>
    <s v="Female"/>
    <s v="30 - 39"/>
    <s v="FNB Botswana Operations (Warona Maakwe)"/>
    <s v="Botswana"/>
    <s v="FNB"/>
    <s v="5010153700 FNB Botswana Lending Operations"/>
    <s v="Valuations Administrator"/>
    <s v="3 - 5 Years"/>
    <s v="Operations"/>
    <s v="Create Mentorship Event for Opelo Nyubi with Stephinah Magetse"/>
    <d v="2024-05-21T00:00:00"/>
    <m/>
    <m/>
  </r>
  <r>
    <s v="5066220"/>
    <x v="3"/>
    <s v="Career Mentor"/>
    <s v="Career Mentor"/>
    <s v="Full Time Employee"/>
    <s v="African (Botswana)"/>
    <s v="Male"/>
    <s v="40 - 49"/>
    <s v="FNB Botswana Human Capital (Kaone Kopi)"/>
    <s v="Botswana"/>
    <s v="FNB"/>
    <s v="5010152800 FNB Botswana Human Capital"/>
    <s v="Human Capital Business Partner"/>
    <s v="6 - 10 Years"/>
    <s v="Business Human Capital"/>
    <s v="5367964"/>
    <x v="232"/>
    <s v="Full Time Employee"/>
    <s v="African (Botswana)"/>
    <s v="Female"/>
    <s v="30 - 39"/>
    <s v="FNB Botswana Enabler (Mike Rammelane)"/>
    <s v="Botswana"/>
    <s v="FNB"/>
    <s v="5010151500 FNB Botswana Credit Head Office"/>
    <s v="Quantitative Analyst"/>
    <s v="3 - 5 Years"/>
    <s v="Analytics"/>
    <s v="Create Mentorship Event for Reletile Phomolo Motsewakgosi with Jj Jongman_x000a__x000a_Edit Mentorship Event for Reletile Phomolo Motsewakgosi with Jj Jongman"/>
    <d v="2024-03-01T00:00:00"/>
    <d v="2025-03-31T00:00:00"/>
    <m/>
  </r>
  <r>
    <s v="4997751"/>
    <x v="159"/>
    <s v="I am writing to express my deep commitment to and enthusiasm for the opportunity to become your Mentee. As a dedicated professional with a decade of experience in the field of Communications, my journey has been one of constant learning and growth. However, I find myself at a pivotal stage in my career, seeking guidance, wisdom, and fresh perspectives to navigate the exciting and evolving landscape of not only the communications industry but banking and finance as well._x000a_I am a Journalism and Public Relations major who believes in the power of effective communication to shape perceptions, inform the public, and foster positive change. My passion for this field has been a driving force behind my every endeavour. I have worked tirelessly to refine my skills and expertise, with a strong emphasis on producing high-quality written content. Writing is not just a task for me; it's my form of expression. I believe in the ability of words to inspire, inform, and connect with people, and I have dedicated myself to mastering this art._x000a_I am not only a communicator but also an organiser. Over the years, I have coordinated and executed successful PR campaigns, managed media relations, and orchestrated impactful events. My role has often required a strategic mindset, ensuring that every message we send aligns with the core values and promises of the Bank. It is this combination of skills and experiences that has brought me to this pivotal point in my career._x000a_Yet, I am an introvert, a thinker, and a believer. These qualities, while immensely valuable, also highlight the need for guidance. As an introvert, I thrive in reflective, quiet spaces where I can dive deep into research, analyse data, and create thoughtful narratives. However, I recognise that I can benefit from the wisdom and insights of a mentor who has successfully navigated their career through an extroverted eye. Or an introverted one, who has conquered and thrive despite being a reserved person in the cutthroat world of business._x000a_I am a thinker; I often ponder the deeper questions about the role of communications in society, the ethical considerations in PR, and the evolving digital landscape. This thoughtfulness has driven me to question, adapt, and innovate. I am a believer; I hold firm to the idea that communication is a bridge that connects people, transcending boundaries, and fostering understanding. I believe in the power of authenticity, truth, and transparency in communication._x000a_I am at a pivotal stage in my career, a point of growth and transformation. I am driven by the desire to make a meaningful impact through communication, to elevate my writing and communication skills, and to stay relevant in an ever-changing industry. I am committed to this journey and believe that with the guidance of a mentor, I can achieve remarkable things in both my personal and professional career."/>
    <s v="Career Mentor"/>
    <s v="Full Time Employee"/>
    <m/>
    <s v="Female"/>
    <s v="40 - 49"/>
    <s v="FNB Rand Merchant Bank Botswana (Harriet Mlalazi)"/>
    <s v="Botswana"/>
    <s v="FNB"/>
    <s v="5010160660 FNB Botswana Service Centre"/>
    <s v="Service Head"/>
    <s v="6 - 10 Years"/>
    <s v="Client Experience and Value Management"/>
    <s v="5087872"/>
    <x v="233"/>
    <s v="Full Time Employee"/>
    <s v="African (Botswana)"/>
    <s v="Female"/>
    <s v="30 - 39"/>
    <s v="FNB Botswana Enabler (Boga Chilinde-masebu)"/>
    <s v="Botswana"/>
    <s v="FNB"/>
    <s v="5010152700 FNB Botswana Marketing and Communications"/>
    <s v="Marketing Specialist"/>
    <s v="6 - 10 Years"/>
    <s v="Marketing, Advertising and Media (incl. digital)"/>
    <s v="Create Mentorship Event for Oratile Mavuma with Caroline Kepaletswe"/>
    <d v="2024-06-01T00:00:00"/>
    <d v="2025-06-01T00:00:00"/>
    <m/>
  </r>
  <r>
    <s v="5238722"/>
    <x v="160"/>
    <s v="Better integration into a team/business unit_x000a_Manage a career transition_x000a_Career guidance_x000a_Relationship building and networking_x000a_Broaden organisational knowledge_x000a_Deal with diversity and inclusion challenges_x000a_Develop leadership skills_x000a_Disruptive technologies_x000a_Innovation_x000a_Learn how to navigate the system_x000a_Bridging the gap for graduates and first-time joiners to the workplace"/>
    <s v="Career Mentor"/>
    <s v="Full Time Employee"/>
    <s v="Indian (South Africa)"/>
    <s v="Male"/>
    <s v="40 - 49"/>
    <s v="FNB iCustomer (Mandlenkosi Vana)"/>
    <s v="South Africa"/>
    <s v="FNB"/>
    <s v="39400005921 FNB iCustomer Extraction and Recognition"/>
    <s v="Business Solutions Manager"/>
    <s v="11 -15 Years"/>
    <s v="System Design and Administration"/>
    <s v="3739503"/>
    <x v="234"/>
    <s v="Full Time Employee"/>
    <s v="African (South Africa)"/>
    <s v="Female"/>
    <s v="30 - 39"/>
    <s v="CDO Kernel iNterfaceX (Kezia Zealand)"/>
    <s v="South Africa"/>
    <s v="FNB"/>
    <s v="21800002561 CDO Kernel iNterfaceX Contact Centre"/>
    <s v="Client Service Specialist"/>
    <s v="11 -15 Years"/>
    <s v="Client Experience and Value Management"/>
    <s v="Create Mentorship Event for Tshidi Mokoena with Wesley Francis"/>
    <d v="2024-05-21T00:00:00"/>
    <d v="2024-11-30T00:00:00"/>
    <m/>
  </r>
  <r>
    <s v="3244121"/>
    <x v="2"/>
    <s v="Purpose_x000a_With this mentorship programme, I would like to achieve personal development, build my network, grow my career and align my academic qualifications with my career path._x000a_I believe a career mentor will be influential in helping me achieve this personal and career growth._x000a_I would also like to leverage my data science and artificial intelligence skills to the benefit of my employer. I recently graduated with a Masters in Data Science and Artificial Intelligence seek the opportunity to put the skills learnt into practice in the banking environment. This will be a great opportunity for me to practice what I am passionate about and equip me with the right skills beneficial to my employer. Currently, I am employed at Broadhurst Branch as a Digital Banking Migrator where I facilitate the transition of clients to digital banking platforms against set targets. I am looking for a Career Mentor and a Technical mentor who will help me strengthen and apply both soft and technical skills relevant to my career aspirations."/>
    <s v="Career Mentor"/>
    <m/>
    <m/>
    <s v="Female"/>
    <s v="50 - 59"/>
    <m/>
    <s v="Botswana"/>
    <m/>
    <m/>
    <m/>
    <s v="6 - 10 Years"/>
    <m/>
    <s v="5452317"/>
    <x v="235"/>
    <s v="Full Time Employee"/>
    <s v="African (Botswana)"/>
    <s v="Female"/>
    <s v="30 - 39"/>
    <s v="FNB Botswana Channels (Jennifer Jamieson)"/>
    <s v="Botswana"/>
    <s v="FNB"/>
    <s v="501073700 FNB Botswana Broadhurst Branch"/>
    <s v="Migration Official"/>
    <s v="3 - 5 Years"/>
    <s v="Client Experience and Value Management"/>
    <s v="Create Mentorship Event for Veronica Modisang with Udah Otukile (Terminated)"/>
    <d v="2024-05-23T00:00:00"/>
    <d v="2025-05-01T00:00:00"/>
    <m/>
  </r>
  <r>
    <s v="5238722"/>
    <x v="160"/>
    <s v="I would like to leverage my data science and artificial intelligence skills to the benefit of my employer. I recently graduated with a Masters in Data Science and Artificial Intelligence and I would like the opportunity to put the skills learnt into practice in the banking environment. This will be a great opportunity for me to practice what I am passionate about and equip me with the right skills beneficial to my employer. My undergraduate degree is in Business Management and currently, I am employed at Broadhurst Branch in Gaborone, Botswana as a Digital Banking Migrator where I facilitate the transition of clients to digital banking platforms against set targets. I am looking for a Mentor who will help me strengthen and apply technical skills related to data science, machine learning, artificial intelligence in a structured manner. My mentee objectives also include development of leadership and communication skills."/>
    <s v="Technical Mentor"/>
    <s v="Full Time Employee"/>
    <s v="Indian (South Africa)"/>
    <s v="Male"/>
    <s v="40 - 49"/>
    <s v="FNB iCustomer (Mandlenkosi Vana)"/>
    <s v="South Africa"/>
    <s v="FNB"/>
    <s v="39400005921 FNB iCustomer Extraction and Recognition"/>
    <s v="Business Solutions Manager"/>
    <s v="11 -15 Years"/>
    <s v="System Design and Administration"/>
    <s v="5452317"/>
    <x v="235"/>
    <s v="Full Time Employee"/>
    <s v="African (Botswana)"/>
    <s v="Female"/>
    <s v="30 - 39"/>
    <s v="FNB Botswana Channels (Jennifer Jamieson)"/>
    <s v="Botswana"/>
    <s v="FNB"/>
    <s v="501073700 FNB Botswana Broadhurst Branch"/>
    <s v="Migration Official"/>
    <s v="3 - 5 Years"/>
    <s v="Client Experience and Value Management"/>
    <s v="Create Mentorship Event for Veronica Modisang with Wesley Francis"/>
    <d v="2024-06-01T00:00:00"/>
    <d v="2025-05-31T00:00:00"/>
    <m/>
  </r>
  <r>
    <s v="4989171"/>
    <x v="71"/>
    <m/>
    <s v="Career Mentor"/>
    <s v="Full Time Employee"/>
    <s v="African (Botswana)"/>
    <s v="Female"/>
    <s v="30 - 39"/>
    <s v="FNB Botswana Wealth (Tshepiso Scheffers)"/>
    <s v="Botswana"/>
    <s v="FNB"/>
    <s v="5010160500 FNB Botswana Consumer Banking"/>
    <s v="Customer Value Proposition Manager"/>
    <s v="6 - 10 Years"/>
    <s v="Product Development"/>
    <s v="5495989"/>
    <x v="236"/>
    <s v="Full Time Employee"/>
    <s v="African (Botswana)"/>
    <s v="Female"/>
    <s v="30 - 39"/>
    <s v="FNB Botswana Channels (Mpho Nthutang)"/>
    <s v="Botswana"/>
    <s v="FNB"/>
    <s v="501071600 FNB Botswana Kanye Branch"/>
    <s v="Sales and Service Consultant"/>
    <s v="3 - 5 Years"/>
    <s v="Direct Sales"/>
    <s v="Create Mentorship Event for Bonolo Molebatsi with Borethe Mogwe"/>
    <d v="2024-05-21T00:00:00"/>
    <m/>
    <m/>
  </r>
  <r>
    <s v="4989171"/>
    <x v="71"/>
    <s v="Leadership development_x000a_Career coachin"/>
    <s v="Leadership Mentor"/>
    <s v="Full Time Employee"/>
    <s v="African (Botswana)"/>
    <s v="Female"/>
    <s v="30 - 39"/>
    <s v="FNB Botswana Wealth (Tshepiso Scheffers)"/>
    <s v="Botswana"/>
    <s v="FNB"/>
    <s v="5010160500 FNB Botswana Consumer Banking"/>
    <s v="Customer Value Proposition Manager"/>
    <s v="6 - 10 Years"/>
    <s v="Product Development"/>
    <s v="5306671"/>
    <x v="237"/>
    <s v="Full Time Employee"/>
    <s v="African (Botswana)"/>
    <s v="Female"/>
    <s v="30 - 39"/>
    <s v="FNB Botswana Commercial (Tiro Kgasa)"/>
    <s v="Botswana"/>
    <s v="FNB"/>
    <s v="5010160150 FNB Botswana Commercial SME Banking"/>
    <s v="Business Banker"/>
    <s v="6 - 10 Years"/>
    <s v="Client Relationship Management"/>
    <s v="Create Mentorship Event for Mokgabo Imperial with Borethe Mogwe"/>
    <d v="2024-05-21T00:00:00"/>
    <m/>
    <m/>
  </r>
  <r>
    <s v="5464900"/>
    <x v="135"/>
    <s v="Technical Mentorship program in Cyber Security."/>
    <s v="Technical Mentor"/>
    <s v="Full Time Employee"/>
    <s v="African (South Africa)"/>
    <s v="Male"/>
    <s v="30 - 39"/>
    <s v="CDO Infrastructure and Security Services (Maphelo Mpofu)"/>
    <s v="South Africa"/>
    <s v="FNB"/>
    <s v="20700008786 CDO Infrastructure and Security Services Active Directory"/>
    <s v="IT Security Specialist"/>
    <s v="3 - 5 Years"/>
    <s v="IT Security"/>
    <s v="4953835"/>
    <x v="225"/>
    <m/>
    <s v="African (South Africa)"/>
    <s v="Female"/>
    <s v="30 - 39"/>
    <m/>
    <s v="South Africa"/>
    <m/>
    <m/>
    <m/>
    <s v="6 - 10 Years"/>
    <m/>
    <s v="Create Mentorship Event for Noluyolo Myeki (Terminated) with Stephen Mbhele"/>
    <d v="2024-05-27T00:00:00"/>
    <m/>
    <m/>
  </r>
  <r>
    <s v="2815966"/>
    <x v="4"/>
    <m/>
    <s v="Leadership Mentor"/>
    <s v="Full Time Employee"/>
    <m/>
    <s v="Female"/>
    <s v="40 - 49"/>
    <s v="FNB Botswana Wealth (Tshepiso Scheffers)"/>
    <s v="Botswana"/>
    <s v="FNB"/>
    <s v="5010209700 FNB Botswana Premier"/>
    <s v="Senior Premier Manager"/>
    <s v="&gt;20 Years"/>
    <s v="Client Experience and Value Management"/>
    <s v="5457955"/>
    <x v="238"/>
    <s v="Full Time Employee"/>
    <m/>
    <s v="Female"/>
    <s v="20 - 29"/>
    <s v="FNB Botswana Premier (Kelebogile Disang)"/>
    <s v="Botswana"/>
    <s v="FNB"/>
    <s v="5010209700 FNB Botswana Premier"/>
    <s v="Premier Banker"/>
    <s v="3 - 5 Years"/>
    <s v="Client Relationship Management"/>
    <s v="Create Mentorship Event for Ame Sevelinah Phang with Kelebogile Disang"/>
    <d v="2024-05-27T00:00:00"/>
    <m/>
    <m/>
  </r>
  <r>
    <s v="2862212"/>
    <x v="161"/>
    <s v="Throughout my career, I have been driven by a passion for ensuring excellence and mitigating risk. With a strong foundation in quality assurance and a certificate in NQF level 5 in Banking, I am eager to develop my skills in business and compliance. Here are some of my reasons to join a mentorship program:_x000a_1. Guidance and Support, receive valuable advice and guidance from an experienced professional._x000a_2. Career Development, enhance my skills and knowledge to advance my career._x000a_3. Networking opportunities, connect with industry experts and professionals._x000a_4.Personal growth, develop confidence, self-awareness, and leadership skills._x000a_5. Learning from experience, gain insights from mentors' success and challenges._x000a_6. Improved decision-making, get guidance on critical career and professional decisions._x000a_7. Enhanced Creativity, explore new ideas and perspectives from mentors and peers._x000a_8. Accountability, stay motivated and focused on my goals with regular check-ins._x000a_9. Access to resources, leverage mentors' networks, expertise, and industry knowledge._x000a_10. Empowerment, develop a growth mindset and take ownership of my career."/>
    <s v="Career Mentor"/>
    <s v="Full Time Employee"/>
    <s v="African (South Africa)"/>
    <s v="Male"/>
    <s v="40 - 49"/>
    <s v="FNB Commercial Forex CVM (Cindy-Lee Mayes)"/>
    <s v="South Africa"/>
    <s v="FNB"/>
    <s v="81800006277 FNB Commercial Forex Growth"/>
    <s v="National Sales Head"/>
    <s v="&gt;20 Years"/>
    <s v="Sales Management"/>
    <s v="3740404"/>
    <x v="239"/>
    <s v="Full Time Employee"/>
    <s v="African (South Africa)"/>
    <s v="Female"/>
    <s v="40 - 49"/>
    <s v="FNB Private Core Banking (Mangwale Motlhabane)"/>
    <s v="South Africa"/>
    <s v="FNB"/>
    <s v="69000007618 FNB Retail COO Customer Fulfilment"/>
    <s v="Administrator"/>
    <s v="6 - 10 Years"/>
    <s v="Administration"/>
    <s v="Create Mentorship Event for Zanele Phiri with Reginald Mothubakgang_x000a__x000a_Edit Mentorship Event for Zanele Phiri with Reginald Mothubakgang"/>
    <d v="2024-06-17T00:00:00"/>
    <d v="2025-12-19T00:00:00"/>
    <m/>
  </r>
  <r>
    <s v="3835057"/>
    <x v="56"/>
    <s v="In job training for being the Business analyst or business advisor."/>
    <s v="Career Mentor"/>
    <m/>
    <s v="African (South Africa)"/>
    <s v="Male"/>
    <s v="30 - 39"/>
    <m/>
    <s v="South Africa"/>
    <m/>
    <m/>
    <m/>
    <s v="11 -15 Years"/>
    <m/>
    <s v="3425134"/>
    <x v="240"/>
    <s v="OBR With Fixed Pay"/>
    <s v="African (South Africa)"/>
    <s v="Female"/>
    <s v="40 - 49"/>
    <s v="FNB Points of Presence (Tarien Stander)"/>
    <s v="South Africa"/>
    <s v="FNB"/>
    <s v="7710248600 FNB POP Branch Delivery West Acres Ctr"/>
    <s v="Branch Advisor FAIS"/>
    <s v="16 - 20 Years"/>
    <s v="Client Services Support and Delivery"/>
    <s v="Create Mentorship Event for Ingrid Dingoko with Nhlamulo Thosi (Terminated)"/>
    <d v="2024-02-15T00:00:00"/>
    <d v="2024-08-15T00:00:00"/>
    <m/>
  </r>
  <r>
    <s v="4804473"/>
    <x v="162"/>
    <s v="This is program is to assist and help me with career guidance and professional development."/>
    <s v="Career Mentor"/>
    <s v="Full Time Employee"/>
    <s v="African (Botswana)"/>
    <s v="Female"/>
    <s v="40 - 49"/>
    <s v="FNB Botswana Marketing and Communications (Peo Porogo)"/>
    <s v="Botswana"/>
    <s v="FNB"/>
    <s v="5010164200 FNB Botswana Client Services"/>
    <s v="Service Manager"/>
    <s v="6 - 10 Years"/>
    <s v="Client Experience and Value Management"/>
    <s v="5057833"/>
    <x v="241"/>
    <s v="Full Time Employee"/>
    <s v="African (Botswana)"/>
    <s v="Female"/>
    <s v="30 - 39"/>
    <s v="FNB Botswana Operations (Wedu Keakile (Inherited))"/>
    <s v="Botswana"/>
    <s v="FNB"/>
    <s v="5010291500 FNB Botswana Projects Opex"/>
    <s v="Project Coordinator"/>
    <s v="6 - 10 Years"/>
    <s v="Programme and Project Management"/>
    <s v="Create Mentorship Event for Kemo Molosiwa with Gofaone Mokalake"/>
    <d v="2024-06-05T00:00:00"/>
    <d v="2025-06-27T00:00:00"/>
    <m/>
  </r>
  <r>
    <s v="3246388"/>
    <x v="0"/>
    <s v="As a driven and enthusiastic individual, my goals are to become an expert in the field of Customer Experience, gain stability in my career, develop new partnerships and grow my network. I would also like to work towards developing my leadership skills, navigate corporate and my personal and professional development; personal branding, presentation skills, confidence development, acquiring soft skills and putting myself out there."/>
    <s v="Career Mentor"/>
    <s v="Full Time Employee"/>
    <m/>
    <s v="Female"/>
    <s v="40 - 49"/>
    <s v="FNB Botswana Retail Banking (Boniface Seane)"/>
    <s v="Botswana"/>
    <s v="FNB"/>
    <s v="5010292200 FNB Botswana Channels Head Office"/>
    <s v="Risk Manager"/>
    <s v="16 - 20 Years"/>
    <s v="Operational Risk"/>
    <s v="5516447"/>
    <x v="242"/>
    <s v="Full Time Employee"/>
    <s v="African (Botswana)"/>
    <s v="Female"/>
    <s v="20 - 29"/>
    <s v="FNB Botswana Wealth (Gofaone Mokalake)"/>
    <s v="Botswana"/>
    <s v="FNB"/>
    <s v="5010164200 FNB Botswana Client Services"/>
    <s v="Customer Insights Analyst"/>
    <s v="3 - 5 Years"/>
    <s v="Market Research and Analytics"/>
    <s v="Close Mentorship Event for Tshego Mmuru with Phetso Ntsowe_x000a__x000a_Create Mentorship Event for Tshego Mmuru with Phetso Ntsowe"/>
    <d v="2024-03-11T00:00:00"/>
    <d v="2024-07-26T00:00:00"/>
    <s v="Mentor Withdrawal - Availability"/>
  </r>
  <r>
    <s v="3355268"/>
    <x v="22"/>
    <m/>
    <s v="Leadership Mentor"/>
    <m/>
    <s v="African (South Africa)"/>
    <s v="Male"/>
    <s v="40 - 49"/>
    <m/>
    <s v="South Africa"/>
    <m/>
    <m/>
    <m/>
    <s v="16 - 20 Years"/>
    <m/>
    <s v="2401975"/>
    <x v="243"/>
    <s v="Full Time Employee"/>
    <s v="African (South Africa)"/>
    <s v="Male"/>
    <s v="50 - 59"/>
    <s v="FNB Points of Presence (Nkululeko Khanyile)"/>
    <s v="South Africa"/>
    <s v="FNB"/>
    <s v="38100009803 FNB POP SSD Limpopo and Mpumalanga"/>
    <s v="Business Support Specialist"/>
    <s v="&gt;20 Years"/>
    <s v="Operations"/>
    <s v="Create Mentorship Event for Sabelo Magagula with Josh Minyuku (Terminated)"/>
    <d v="2024-06-01T00:00:00"/>
    <d v="2024-08-30T00:00:00"/>
    <m/>
  </r>
  <r>
    <s v="5034809"/>
    <x v="163"/>
    <m/>
    <s v="Leadership Mentor"/>
    <m/>
    <s v="African (Botswana)"/>
    <s v="Male"/>
    <s v="40 - 49"/>
    <m/>
    <s v="Botswana"/>
    <m/>
    <m/>
    <m/>
    <s v="6 - 10 Years"/>
    <m/>
    <s v="5544653"/>
    <x v="244"/>
    <s v="Full Time Employee"/>
    <m/>
    <s v="Male"/>
    <s v="30 - 39"/>
    <s v="FNB Botswana Channels (Stephinah Magetse)"/>
    <s v="Botswana"/>
    <s v="FNB"/>
    <s v="501073600 FNB Botswana Mall Branch"/>
    <s v="Migration Official"/>
    <s v="3 - 5 Years"/>
    <s v="Client Experience and Value Management"/>
    <s v="Create Mentorship Event for Nkobi Masunga with Ronald Kgafela (Terminated)"/>
    <d v="2024-05-20T00:00:00"/>
    <m/>
    <m/>
  </r>
  <r>
    <s v="5267366"/>
    <x v="164"/>
    <s v="I am at a stage in my life and my career in which I feel I could benefit from a little mentoring and guidance from your knowledge and expertise in Business Intelligence analysis as I am looking into growing, advancing and transitioning to being a BI Analyst."/>
    <s v="Career Mentor"/>
    <m/>
    <s v="African (South Africa)"/>
    <s v="Male"/>
    <s v="30 - 39"/>
    <m/>
    <s v="South Africa"/>
    <m/>
    <m/>
    <m/>
    <s v="2 Years"/>
    <m/>
    <s v="5046580"/>
    <x v="245"/>
    <s v="Full Time Employee"/>
    <s v="African (South Africa)"/>
    <s v="Female"/>
    <s v="30 - 39"/>
    <s v="CDO Kernel iNterfaceX (Thami Mateza)"/>
    <s v="South Africa"/>
    <s v="FNB"/>
    <s v="21800006533 CDO Kernel iNterfaceX AoP and Sales QA"/>
    <s v="Test Analyst"/>
    <s v="6 - 10 Years"/>
    <s v="Business/Systems Analysis"/>
    <s v="Create Mentorship Event for Karabo Mogotsi with Josia Sithole (Terminated)"/>
    <d v="2024-06-04T00:00:00"/>
    <d v="2024-12-10T00:00:00"/>
    <m/>
  </r>
  <r>
    <s v="3243605"/>
    <x v="165"/>
    <s v="I would like to formulate a strategy to transition from my current role into a different and more challenging role and hence would value the guidance and sense of direction from a mentor. I am also keen to learn my leadership style and learn how to best apply it in a leadership position. I want to able to learn how to network and build the confidence to approach and engage with executives. I would also appreciate an insight on what further studies I can take that will equip me to succeed in multiple roles and ways to position myself to stand out in different spaces."/>
    <s v="Career Mentor"/>
    <s v="Full Time Employee"/>
    <m/>
    <s v="Female"/>
    <s v="40 - 49"/>
    <s v="FNB Rand Merchant Bank Botswana (Harriet Mlalazi)"/>
    <s v="Botswana"/>
    <s v="FNB"/>
    <s v="5010342500 RMB Botswana Flow Risk"/>
    <s v="Global Market Head"/>
    <s v="6 - 10 Years"/>
    <s v="Investor Services"/>
    <s v="5469759"/>
    <x v="246"/>
    <s v="Full Time Employee"/>
    <m/>
    <s v="Female"/>
    <s v="20 - 29"/>
    <s v="FNB Botswana Operations (Ontlametse Lekang)"/>
    <s v="Botswana"/>
    <s v="FNB"/>
    <s v="5010153700 FNB Botswana Lending Operations"/>
    <s v="Credit Analyst"/>
    <s v="3 - 5 Years"/>
    <s v="Credit Risk"/>
    <s v="Create Mentorship Event for Daniella Coetzee with Baile Corrigan"/>
    <d v="2024-06-03T00:00:00"/>
    <d v="2025-03-13T00:00:00"/>
    <m/>
  </r>
  <r>
    <s v="5072638"/>
    <x v="166"/>
    <s v="I have an interest in joining the Cyber Team, and I wanted to know what they are doing on the daily basis and so far, I have learned a lot. Some of the things are helping me on my daily job which Desktop Support."/>
    <s v="Technical Mentor"/>
    <s v="Full Time Employee"/>
    <s v="African (South Africa)"/>
    <s v="Female"/>
    <s v="30 - 39"/>
    <s v="CDO Infrastructure and Security Services (Patrick Mosakoa)"/>
    <s v="South Africa"/>
    <s v="FNB"/>
    <s v="20700005499 CDO Infrastructure and Security Services Security Delivery"/>
    <s v="IT Security Specialist"/>
    <s v="3 - 5 Years"/>
    <s v="IT Security"/>
    <s v="5279631"/>
    <x v="210"/>
    <s v="Full Time Employee"/>
    <s v="African (South Africa)"/>
    <s v="Female"/>
    <s v="40 - 49"/>
    <s v="CDO Infrastructure and Security Services (Nikeel Bantho)"/>
    <s v="South Africa"/>
    <s v="FNB"/>
    <s v="20700006377 CDO Networks and Security Services Desktop and Mobile Technology"/>
    <s v="Desktop Support Technician"/>
    <s v="6 - 10 Years"/>
    <s v="IT Support"/>
    <s v="Create Mentorship Event for Nwabisa Mnwana with Sinazo Ndzawombi"/>
    <d v="2024-02-05T00:00:00"/>
    <d v="2024-05-29T00:00:00"/>
    <m/>
  </r>
  <r>
    <s v="4805062"/>
    <x v="45"/>
    <s v="The purpose for me to look for a Mentor, is that i feel stuck in my career and I have tried different avenues but no luck. So, I would like someone that can guide me and also assist me in seeing my potential. I would love to change careers as I am currently in a Sales Role and I am looking into moving into the commercial space."/>
    <s v="Career Mentor"/>
    <s v="Full Time Employee"/>
    <s v="Indian (South Africa)"/>
    <s v="Male"/>
    <s v="30 - 39"/>
    <s v="Group Human Capital (Dudu Moloko)"/>
    <s v="South Africa"/>
    <s v="FirstRand Corporate Centre"/>
    <s v="20200007954 FRCC People Governance Learning Compliance"/>
    <s v="Leadership Development Specialist"/>
    <s v="11 -15 Years"/>
    <s v="Experience Architecting"/>
    <s v="4667913"/>
    <x v="247"/>
    <s v="Full Time Employee"/>
    <s v="African (South Africa)"/>
    <s v="Female"/>
    <s v="40 - 49"/>
    <s v="FNB Points of Presence (Innocent Radebe)"/>
    <s v="South Africa"/>
    <s v="FNB"/>
    <s v="7710841400 FNB POP External Sales Local Market"/>
    <s v="Premium Growth Banker"/>
    <s v="6 - 10 Years"/>
    <s v="Business Development"/>
    <s v="Create Mentorship Event for Lebogang Mokhutso-Mamakoko with Zaheer Ismail"/>
    <d v="2024-07-01T00:00:00"/>
    <d v="2024-11-30T00:00:00"/>
    <m/>
  </r>
  <r>
    <s v="4873033"/>
    <x v="25"/>
    <s v="I am passionate and driven individuals who is ready to embark on a journey of growth and learning. It's not just about skill development; it's about fostering lasting mentorship relationships that are essential for long-term career advancement."/>
    <s v="Career Mentor"/>
    <s v="Full Time Employee"/>
    <m/>
    <s v="Male"/>
    <s v="30 - 39"/>
    <s v="FNB Botswana Business Support WesBank (Goeme Ganetsang)"/>
    <s v="Botswana"/>
    <s v="FNB"/>
    <s v="5010394500 FNB Botswana Business Support"/>
    <s v="Client Portfolio Analyst"/>
    <s v="6 - 10 Years"/>
    <s v="Client Services Support and Delivery"/>
    <s v="5495989"/>
    <x v="236"/>
    <s v="Full Time Employee"/>
    <s v="African (Botswana)"/>
    <s v="Female"/>
    <s v="30 - 39"/>
    <s v="FNB Botswana Channels (Mpho Nthutang)"/>
    <s v="Botswana"/>
    <s v="FNB"/>
    <s v="501071600 FNB Botswana Kanye Branch"/>
    <s v="Sales and Service Consultant"/>
    <s v="3 - 5 Years"/>
    <s v="Direct Sales"/>
    <s v="Create Mentorship Event for Bonolo Molebatsi with Collen Tshebo"/>
    <d v="2024-05-21T00:00:00"/>
    <m/>
    <m/>
  </r>
  <r>
    <s v="3282961"/>
    <x v="167"/>
    <s v="To help me with Technical and Leadership skills. and to navigate life generally"/>
    <s v="Leadership Mentor"/>
    <s v="Full Time Employee"/>
    <s v="African (South Africa)"/>
    <s v="Female"/>
    <s v="40 - 49"/>
    <s v="FNB Commercial Credit (Lenashan Chetty)"/>
    <s v="South Africa"/>
    <s v="FNB"/>
    <s v="34200005513 FNB Commercial Credit Public Sector"/>
    <s v="Credit Head"/>
    <s v="6 - 10 Years"/>
    <s v="Credit Risk"/>
    <s v="5066646"/>
    <x v="248"/>
    <s v="Full Time Employee"/>
    <s v="African (South Africa)"/>
    <s v="Female"/>
    <s v="30 - 39"/>
    <s v="FNB Commercial Credit (Eben Petersen)"/>
    <s v="South Africa"/>
    <s v="FNB"/>
    <s v="34200009795 FNB Commercial Credit National"/>
    <s v="Business Judgemental Credit Manager"/>
    <s v="6 - 10 Years"/>
    <s v="Credit Risk"/>
    <s v="Create Mentorship Event for Zanele Zitwana with Yvonne September"/>
    <d v="2024-07-16T00:00:00"/>
    <m/>
    <m/>
  </r>
  <r>
    <s v="2815966"/>
    <x v="4"/>
    <m/>
    <s v="Career Mentor"/>
    <s v="Full Time Employee"/>
    <m/>
    <s v="Female"/>
    <s v="40 - 49"/>
    <s v="FNB Botswana Wealth (Tshepiso Scheffers)"/>
    <s v="Botswana"/>
    <s v="FNB"/>
    <s v="5010209700 FNB Botswana Premier"/>
    <s v="Senior Premier Manager"/>
    <s v="&gt;20 Years"/>
    <s v="Client Experience and Value Management"/>
    <s v="5445795"/>
    <x v="249"/>
    <s v="Full Time Employee"/>
    <m/>
    <s v="Female"/>
    <s v="30 - 39"/>
    <s v="FNB Botswana Enabler (Baledi Radithupa)"/>
    <s v="Botswana"/>
    <s v="FNB"/>
    <s v="5010151500 FNB Botswana Credit Head Office"/>
    <s v="Credit Analyst"/>
    <s v="3 - 5 Years"/>
    <s v="Credit Risk"/>
    <s v="Create Mentorship Event for Monica Mhlauli with Kelebogile Disang"/>
    <d v="2024-06-05T00:00:00"/>
    <d v="2025-06-30T00:00:00"/>
    <m/>
  </r>
  <r>
    <s v="5464900"/>
    <x v="135"/>
    <m/>
    <s v="Career Mentor"/>
    <s v="Full Time Employee"/>
    <s v="African (South Africa)"/>
    <s v="Male"/>
    <s v="30 - 39"/>
    <s v="CDO Infrastructure and Security Services (Maphelo Mpofu)"/>
    <s v="South Africa"/>
    <s v="FNB"/>
    <s v="20700008786 CDO Infrastructure and Security Services Active Directory"/>
    <s v="IT Security Specialist"/>
    <s v="3 - 5 Years"/>
    <s v="IT Security"/>
    <s v="5668425"/>
    <x v="250"/>
    <m/>
    <s v="African (South Africa)"/>
    <s v="Male"/>
    <s v="20 - 29"/>
    <m/>
    <s v="South Africa"/>
    <m/>
    <m/>
    <m/>
    <s v="1 Year"/>
    <m/>
    <s v="Create Mentorship Event for Eza Lutshwati (Terminated) with Stephen Mbhele"/>
    <d v="2024-05-01T00:00:00"/>
    <m/>
    <m/>
  </r>
  <r>
    <s v="5464900"/>
    <x v="135"/>
    <m/>
    <s v="Technical Mentor"/>
    <s v="Full Time Employee"/>
    <s v="African (South Africa)"/>
    <s v="Male"/>
    <s v="30 - 39"/>
    <s v="CDO Infrastructure and Security Services (Maphelo Mpofu)"/>
    <s v="South Africa"/>
    <s v="FNB"/>
    <s v="20700008786 CDO Infrastructure and Security Services Active Directory"/>
    <s v="IT Security Specialist"/>
    <s v="3 - 5 Years"/>
    <s v="IT Security"/>
    <s v="7576404"/>
    <x v="251"/>
    <s v="Full Time Employee"/>
    <s v="Coloured (South Africa)"/>
    <s v="Male"/>
    <s v="30 - 39"/>
    <s v="CDO Infrastructure and Security Services (Darren Stevenson)"/>
    <s v="South Africa"/>
    <s v="FNB"/>
    <s v="20700005423 CDO Networks and Security Services Data Centre Operations"/>
    <s v="Data Centre Operator"/>
    <s v="6 - 10 Years"/>
    <s v="IT Infrastructure, Support and Maintenance"/>
    <s v="Create Mentorship Event for Reverne Jooste with Stephen Mbhele"/>
    <d v="2024-01-31T00:00:00"/>
    <m/>
    <m/>
  </r>
  <r>
    <s v="4932277"/>
    <x v="151"/>
    <s v="I am trying to develop and gain skill in compliance, and I find Thiru to have a world of knowledge and experience. I have built repo and a relationship of trust with her."/>
    <s v="Career Mentor"/>
    <s v="Full Time Employee"/>
    <s v="Indian (South Africa)"/>
    <s v="Female"/>
    <s v="40 - 49"/>
    <s v="RMBSA LRC Compliance (Karmani Naidoo)"/>
    <s v="South Africa"/>
    <s v="RMB"/>
    <s v="77800000RRM RMBSA Compliance Management Team"/>
    <s v="Compliance Practice Lead"/>
    <s v="6 - 10 Years"/>
    <s v="Compliance"/>
    <s v="4974468"/>
    <x v="252"/>
    <s v="Full Time Employee"/>
    <s v="African (South Africa)"/>
    <s v="Female"/>
    <s v="30 - 39"/>
    <s v="RMBSA IBD LRC Compliance (Nicolene Govender)"/>
    <s v="South Africa"/>
    <s v="RMB"/>
    <s v="77800000IBR RMBSA IBD LRC Compliance"/>
    <s v="Compliance Specialist"/>
    <s v="6 - 10 Years"/>
    <s v="Compliance"/>
    <s v="Create Mentorship Event for Joy Moyo with Thiroshni Chetty"/>
    <d v="2024-07-01T00:00:00"/>
    <d v="2025-07-01T00:00:00"/>
    <m/>
  </r>
  <r>
    <s v="3209105"/>
    <x v="123"/>
    <s v="I am looking at mentorship from skilled individuals that is able to provide guidance and impart knowledge on how to grow and learn at FNB."/>
    <s v="Career Mentor"/>
    <s v="Full Time Employee"/>
    <s v="Indian (South Africa)"/>
    <s v="Female"/>
    <s v="40 - 49"/>
    <s v="FNB Chief Risk Office (Emma Mer)"/>
    <s v="South Africa"/>
    <s v="FNB"/>
    <s v="39400001871 FNB Chief Risk Office Executive"/>
    <s v="Chief Operating Officer"/>
    <s v="16 - 20 Years"/>
    <s v="Operations"/>
    <s v="5451280"/>
    <x v="253"/>
    <s v="Full Time Employee"/>
    <s v="Indian (South Africa)"/>
    <s v="Female"/>
    <s v="40 - 49"/>
    <s v="FNB Core Banking Platform (Gio Pera (Inherited))"/>
    <s v="South Africa"/>
    <s v="FirstRand Corporate Centre"/>
    <s v="20200002266 CDO Banking Finxact"/>
    <s v="Project Management Office Portfolio Manager"/>
    <s v="3 - 5 Years"/>
    <s v="Programme and Project Management"/>
    <s v="Create Mentorship Event for Duschanka Moodley with Renusha Moodley"/>
    <d v="2024-07-02T00:00:00"/>
    <m/>
    <m/>
  </r>
  <r>
    <s v="2571242"/>
    <x v="168"/>
    <s v="Hi Allen_x000a__x000a_Please would you consider me for Career growth, I wish to be assisted in my journey of becoming a CIO in the bank"/>
    <s v="Career Mentor"/>
    <s v="Full Time Employee"/>
    <s v="Indian (South Africa)"/>
    <s v="Male"/>
    <s v="50 - 59"/>
    <s v="FNB Private Segment (Sizwe Nxedlana)"/>
    <s v="South Africa"/>
    <s v="FNB"/>
    <s v="85500008551 FNB Retail Exco"/>
    <s v="Segment Chief Information Officer"/>
    <s v="&gt;20 Years"/>
    <s v="System Design and Administration"/>
    <s v="3669386"/>
    <x v="254"/>
    <s v="Full Time Employee"/>
    <s v="Indian (South Africa)"/>
    <s v="Male"/>
    <s v="30 - 39"/>
    <s v="CDO Payments Platform Card IT (Russell Watson)"/>
    <s v="South Africa"/>
    <s v="FNB"/>
    <s v="79000003508 CDO Payments Platform Card IT"/>
    <s v="Application Development Manager"/>
    <s v="11 -15 Years"/>
    <s v="IT Development"/>
    <s v="Create Mentorship Event for Keshlin Naicker with Allen Pillay"/>
    <d v="2024-06-18T00:00:00"/>
    <d v="2025-06-17T00:00:00"/>
    <m/>
  </r>
  <r>
    <s v="5156165"/>
    <x v="169"/>
    <s v="Hi there, JP. Trust you're well. I noticed your availability for mentoring on Workday and thought to reach out if that's fine with you? I currently work frontline in consumer sales, and I'm looking to switch into technology. To that end, I've worked on a bachelor of science in technology degree with six months remaining to graduation. I would love a chance pick your brain on your work, the industry, and general advice. In short the purposes of the mentoring include:_x000a__x000a__x000a_Advice on career transitioning into technology space_x000a__x000a_Relationship building and networking_x000a__x000a_Disruptive technologies discussions"/>
    <s v="Career Mentor"/>
    <m/>
    <s v="White (South Africa)"/>
    <s v="Male"/>
    <s v="40 - 49"/>
    <m/>
    <s v="South Africa"/>
    <m/>
    <m/>
    <m/>
    <s v="6 - 10 Years"/>
    <m/>
    <s v="5254388"/>
    <x v="255"/>
    <s v="OBR With Fixed Pay"/>
    <s v="African (South Africa)"/>
    <s v="Male"/>
    <s v="30 - 39"/>
    <s v="FNB Wealth (Katlego Nkosi)"/>
    <s v="South Africa"/>
    <s v="FNB"/>
    <s v="34100003208 PB&amp;A Tshwane Wealth NE"/>
    <s v="Banking Advisor Wealth"/>
    <s v="6 - 10 Years"/>
    <s v="Client Relationship Management"/>
    <s v="Create Mentorship Event for Otsile Modiselle with JP Erasmus (Terminated)"/>
    <d v="2024-06-19T00:00:00"/>
    <d v="2024-11-19T00:00:00"/>
    <m/>
  </r>
  <r>
    <s v="4739736"/>
    <x v="170"/>
    <m/>
    <s v="Leadership Mentor"/>
    <s v="Full Time Employee"/>
    <m/>
    <s v="Female"/>
    <s v="40 - 49"/>
    <s v="FNB Botswana Audit Management (Theetso Nkwe)"/>
    <s v="Botswana"/>
    <s v="FNB"/>
    <s v="5010166100 FNB Botswana Audit"/>
    <s v="Senior Audit Manager"/>
    <s v="11 -15 Years"/>
    <s v="Audit, Financial Assurance and Governance"/>
    <s v="8870073"/>
    <x v="256"/>
    <s v="Full Time Employee"/>
    <s v="African (Botswana)"/>
    <s v="Female"/>
    <s v="30 - 39"/>
    <s v="FNB Botswana Chief Executive Office (Benny Soko)"/>
    <s v="Botswana"/>
    <s v="FNB"/>
    <s v="5010151600 FNB Botswana Finance"/>
    <s v="Finance Manager"/>
    <s v="2 Years"/>
    <s v="Financial Management"/>
    <s v="Create Mentorship Event for Chenesani Kuda Bachopi with Neo Thebeng-Phuthego"/>
    <d v="2024-05-21T00:00:00"/>
    <m/>
    <m/>
  </r>
  <r>
    <s v="5009642"/>
    <x v="171"/>
    <s v="As a driven and enthusiastic individual, my goals are to become an expert in the field of Customer Experience, gain stability in my career, develop new partnerships and grow my network. I would also like to work towards developing my leadership skills, navigate corporate and my personal and professional development; personal branding, presentation skills, confidence development, acquiring soft skills and putting myself out there."/>
    <s v="Career Mentor"/>
    <s v="Full Time Employee"/>
    <s v="African (Botswana)"/>
    <s v="Female"/>
    <s v="30 - 39"/>
    <s v="FNB Botswana Marketing and Communications (Peo Porogo)"/>
    <s v="Botswana"/>
    <s v="FNB"/>
    <s v="5010152700 FNB Botswana Marketing and Communications"/>
    <s v="Marketing Manager"/>
    <s v="6 - 10 Years"/>
    <s v="Marketing, Advertising and Media (incl. digital)"/>
    <s v="5516447"/>
    <x v="242"/>
    <s v="Full Time Employee"/>
    <s v="African (Botswana)"/>
    <s v="Female"/>
    <s v="20 - 29"/>
    <s v="FNB Botswana Wealth (Gofaone Mokalake)"/>
    <s v="Botswana"/>
    <s v="FNB"/>
    <s v="5010164200 FNB Botswana Client Services"/>
    <s v="Customer Insights Analyst"/>
    <s v="3 - 5 Years"/>
    <s v="Market Research and Analytics"/>
    <s v="Create Mentorship Event for Tshego Mmuru with Otisitswe Faith Rathedi"/>
    <d v="2024-03-13T00:00:00"/>
    <m/>
    <m/>
  </r>
  <r>
    <s v="4705610"/>
    <x v="172"/>
    <s v="Took on a new Business Manager role, and seeked guidance to explore different thinking and ways of work, and managing various stakeholders differently. Was advised that Coaching was not offered last year and explored the mentorship option."/>
    <s v="Career Mentor"/>
    <s v="Full Time Employee"/>
    <s v="Coloured (South Africa)"/>
    <s v="Female"/>
    <s v="50 - 59"/>
    <s v="FNB Global Forex Business Cape Premium Business Banking (Sylvester Selepe)"/>
    <s v="South Africa"/>
    <s v="RMB"/>
    <s v="77800000CPC RMBSA Global Markets Business Cape Premium Business Banking"/>
    <s v="Business Development Manager"/>
    <s v="6 - 10 Years"/>
    <s v="Business Development"/>
    <s v="3528588"/>
    <x v="257"/>
    <s v="Full Time Employee"/>
    <s v="Indian (South Africa)"/>
    <s v="Female"/>
    <s v="40 - 49"/>
    <s v="RMBSA Client Group Operations (Helen Wood)"/>
    <s v="South Africa"/>
    <s v="RMB"/>
    <s v="77800000CPE RMBSA Client Operations Product Enablement"/>
    <s v="Business Manager"/>
    <s v="11 -15 Years"/>
    <s v="Operations"/>
    <s v="Create Mentorship Event for Muneera Khan with Tania Finn"/>
    <d v="2023-08-16T00:00:00"/>
    <m/>
    <m/>
  </r>
  <r>
    <s v="4944372"/>
    <x v="173"/>
    <m/>
    <s v="Career Mentor"/>
    <m/>
    <m/>
    <s v="Female"/>
    <s v="40 - 49"/>
    <m/>
    <s v="Botswana"/>
    <m/>
    <m/>
    <m/>
    <s v="6 - 10 Years"/>
    <m/>
    <s v="5495989"/>
    <x v="236"/>
    <s v="Full Time Employee"/>
    <s v="African (Botswana)"/>
    <s v="Female"/>
    <s v="30 - 39"/>
    <s v="FNB Botswana Channels (Mpho Nthutang)"/>
    <s v="Botswana"/>
    <s v="FNB"/>
    <s v="501071600 FNB Botswana Kanye Branch"/>
    <s v="Sales and Service Consultant"/>
    <s v="3 - 5 Years"/>
    <s v="Direct Sales"/>
    <s v="Create Mentorship Event for Bonolo Molebatsi with Lebogang Kelesitse (Terminated)"/>
    <d v="2024-06-18T00:00:00"/>
    <m/>
    <m/>
  </r>
  <r>
    <s v="5072638"/>
    <x v="166"/>
    <m/>
    <s v="Career Mentor"/>
    <s v="Full Time Employee"/>
    <s v="African (South Africa)"/>
    <s v="Female"/>
    <s v="30 - 39"/>
    <s v="CDO Infrastructure and Security Services (Patrick Mosakoa)"/>
    <s v="South Africa"/>
    <s v="FNB"/>
    <s v="20700005499 CDO Infrastructure and Security Services Security Delivery"/>
    <s v="IT Security Specialist"/>
    <s v="3 - 5 Years"/>
    <s v="IT Security"/>
    <s v="5668425"/>
    <x v="250"/>
    <m/>
    <s v="African (South Africa)"/>
    <s v="Male"/>
    <s v="20 - 29"/>
    <m/>
    <s v="South Africa"/>
    <m/>
    <m/>
    <m/>
    <s v="1 Year"/>
    <m/>
    <s v="Create Mentorship Event for Eza Lutshwati (Terminated) with Sinazo Ndzawombi"/>
    <d v="2024-05-01T00:00:00"/>
    <m/>
    <m/>
  </r>
  <r>
    <s v="4670760"/>
    <x v="174"/>
    <s v="Career advancement"/>
    <s v="Career Mentor"/>
    <s v="Full Time Employee"/>
    <s v="African (South Africa)"/>
    <s v="Female"/>
    <s v="30 - 39"/>
    <s v="FR Life Assurance (Funeka Mafalala)"/>
    <s v="South Africa"/>
    <s v="FNB"/>
    <s v="61500010256 FR Life Projects"/>
    <s v="Project Manager"/>
    <s v="6 - 10 Years"/>
    <s v="Programme and Project Management"/>
    <s v="4716973"/>
    <x v="258"/>
    <m/>
    <s v="African (South Africa)"/>
    <s v="Female"/>
    <s v="50 - 59"/>
    <m/>
    <s v="South Africa"/>
    <m/>
    <m/>
    <m/>
    <s v="11 -15 Years"/>
    <m/>
    <s v="Close Mentorship Event for Gugu Nsibande (Terminated) with Hloni Matang_x000a__x000a_Create Mentorship Event for Gugu Nsibande (Terminated) with Hloni Matang_x000a__x000a_Edit Mentorship Event for Gugu Nsibande (Terminated) with Hloni Matang"/>
    <d v="2024-06-25T00:00:00"/>
    <d v="2024-10-31T00:00:00"/>
    <s v="Mentee Withdrawal - Availability"/>
  </r>
  <r>
    <s v="3511235"/>
    <x v="157"/>
    <m/>
    <s v="Leadership Mentor"/>
    <s v="Full Time Employee"/>
    <s v="African (Botswana)"/>
    <s v="Female"/>
    <s v="30 - 39"/>
    <s v="FNB Botswana Operations (Bookeditswe Matladi-Molebatsi)"/>
    <s v="Botswana"/>
    <s v="FNB"/>
    <s v="5010343200 FNB Botswana RMB Operations"/>
    <s v="Reconciliation Officer"/>
    <s v="11 -15 Years"/>
    <s v="Systems Accounting and Financial Operations"/>
    <s v="4909879"/>
    <x v="259"/>
    <s v="Full Time Employee"/>
    <m/>
    <s v="Female"/>
    <s v="30 - 39"/>
    <s v="FNB Botswana Enabler (Trevor Jansen)"/>
    <s v="Botswana"/>
    <s v="FNB"/>
    <s v="5010682800 FNB Botswana Data &amp; Analytics Office"/>
    <s v="Data Engineer"/>
    <s v="6 - 10 Years"/>
    <s v="Data Management, Maintenance and Security"/>
    <s v="Create Mentorship Event for Mpho Bosilong with Palesa Moeng"/>
    <d v="2024-05-17T00:00:00"/>
    <m/>
    <m/>
  </r>
  <r>
    <s v="3506622"/>
    <x v="175"/>
    <s v="First leap Mentorship program"/>
    <s v="Leadership Mentor"/>
    <s v="Full Time Employee"/>
    <m/>
    <s v="Female"/>
    <s v="30 - 39"/>
    <s v="FNB Botswana Enabler (Mike Rammelane)"/>
    <s v="Botswana"/>
    <s v="FNB"/>
    <s v="5010151500 FNB Botswana Credit Head Office"/>
    <s v="Credit Manager"/>
    <s v="16 - 20 Years"/>
    <s v="Ongoing Risk Management"/>
    <s v="5446120"/>
    <x v="260"/>
    <s v="Full Time Employee"/>
    <m/>
    <s v="Female"/>
    <s v="30 - 39"/>
    <s v="FNB Botswana Commercial (Moreri Modise)"/>
    <s v="Botswana"/>
    <s v="FNB"/>
    <s v="5010343800 FNB Botswana Wesbank Business Segment"/>
    <s v="Business Development Manager"/>
    <s v="3 - 5 Years"/>
    <s v="Business Development"/>
    <s v="Create Mentorship Event for Ofilwe Powe with Tekolo Rasenyai"/>
    <d v="2024-07-03T00:00:00"/>
    <m/>
    <m/>
  </r>
  <r>
    <s v="3505170"/>
    <x v="176"/>
    <s v="mentor"/>
    <s v="Career Mentor"/>
    <m/>
    <m/>
    <s v="Female"/>
    <s v="40 - 49"/>
    <m/>
    <s v="Botswana"/>
    <m/>
    <m/>
    <m/>
    <s v="16 - 20 Years"/>
    <m/>
    <s v="5367964"/>
    <x v="232"/>
    <s v="Full Time Employee"/>
    <s v="African (Botswana)"/>
    <s v="Female"/>
    <s v="30 - 39"/>
    <s v="FNB Botswana Enabler (Mike Rammelane)"/>
    <s v="Botswana"/>
    <s v="FNB"/>
    <s v="5010151500 FNB Botswana Credit Head Office"/>
    <s v="Quantitative Analyst"/>
    <s v="3 - 5 Years"/>
    <s v="Analytics"/>
    <s v="Create Mentorship Event for Reletile Phomolo Motsewakgosi with Tshi-Tshi Mothupi (Terminated)"/>
    <d v="2024-05-23T00:00:00"/>
    <d v="2025-05-01T00:00:00"/>
    <m/>
  </r>
  <r>
    <s v="5034809"/>
    <x v="163"/>
    <s v="Guide and advise the mentee as they just begun their career"/>
    <s v="Career Mentor"/>
    <m/>
    <s v="African (Botswana)"/>
    <s v="Male"/>
    <s v="40 - 49"/>
    <m/>
    <s v="Botswana"/>
    <m/>
    <m/>
    <m/>
    <s v="6 - 10 Years"/>
    <m/>
    <s v="5595495"/>
    <x v="261"/>
    <s v="Full Time Employee"/>
    <s v="African (Botswana)"/>
    <s v="Male"/>
    <s v="20 - 29"/>
    <s v="FNB Botswana Channels (Badumedi Segaetsho)"/>
    <s v="Botswana"/>
    <s v="FNB"/>
    <s v="5010164100 FNB Botswana Call Centre"/>
    <s v="Service Consultant"/>
    <s v="&lt;1 Year"/>
    <s v="Client Experience and Value Management"/>
    <s v="Create Mentorship Event for Katso Batsweleng with Ronald Kgafela (Terminated)"/>
    <d v="2024-07-05T00:00:00"/>
    <d v="2024-09-30T00:00:00"/>
    <m/>
  </r>
  <r>
    <s v="3516377"/>
    <x v="177"/>
    <m/>
    <s v="Career Mentor"/>
    <s v="Full Time Employee"/>
    <s v="White (South Africa)"/>
    <s v="Female"/>
    <s v="30 - 39"/>
    <s v="FNB Personal Segment (Lytania Johnson)"/>
    <s v="South Africa"/>
    <s v="FNB"/>
    <s v="5910107040 FNB Personal Exco"/>
    <s v="Executive Head"/>
    <s v="16 - 20 Years"/>
    <s v="Operations"/>
    <s v="3795969"/>
    <x v="262"/>
    <s v="Full Time Employee"/>
    <s v="Indian (South Africa)"/>
    <s v="Female"/>
    <s v="30 - 39"/>
    <s v="FNB Private Core Banking (Irvine Rambau)"/>
    <s v="South Africa"/>
    <s v="FNB"/>
    <s v="41200007625 FNB Private Core Banking Growth"/>
    <s v="Product Growth Manager"/>
    <s v="11 -15 Years"/>
    <s v="Product Management"/>
    <s v="Create Mentorship Event for Luvashni Tilakdharee with Maryke Venter"/>
    <d v="2023-06-01T00:00:00"/>
    <m/>
    <m/>
  </r>
  <r>
    <s v="5066220"/>
    <x v="3"/>
    <m/>
    <s v="Career Mentor"/>
    <s v="Full Time Employee"/>
    <s v="African (Botswana)"/>
    <s v="Male"/>
    <s v="40 - 49"/>
    <s v="FNB Botswana Human Capital (Kaone Kopi)"/>
    <s v="Botswana"/>
    <s v="FNB"/>
    <s v="5010152800 FNB Botswana Human Capital"/>
    <s v="Human Capital Business Partner"/>
    <s v="6 - 10 Years"/>
    <s v="Business Human Capital"/>
    <s v="5595916"/>
    <x v="263"/>
    <s v="Fixed Term Contractor"/>
    <s v="African (Botswana)"/>
    <s v="Female"/>
    <s v="30 - 39"/>
    <s v="FNB Botswana Channels (Badumedi Segaetsho)"/>
    <s v="Botswana"/>
    <s v="FNB"/>
    <s v="5010164100 FNB Botswana Call Centre"/>
    <s v="Service Consultant"/>
    <s v="1 Year"/>
    <s v="Client Experience and Value Management"/>
    <s v="Create Mentorship Event for Kgomotso Bika with Jj Jongman"/>
    <d v="2024-07-05T00:00:00"/>
    <d v="2024-09-30T00:00:00"/>
    <m/>
  </r>
  <r>
    <s v="4739833"/>
    <x v="178"/>
    <s v="To develop new technical skills, gain exposure in different domains, to be motivated and identify career goals and correct gaps in generic skills and knowledge."/>
    <s v="Technical Mentor"/>
    <s v="Full Time Employee"/>
    <s v="Indian (South Africa)"/>
    <s v="Female"/>
    <s v="30 - 39"/>
    <s v="CDO Banking (Vincent Govender)"/>
    <s v="South Africa"/>
    <s v="FNB"/>
    <s v="79000007752 CDO Banking IDS"/>
    <s v="Technical Team Leader"/>
    <s v="11 -15 Years"/>
    <s v="IT Development"/>
    <s v="5056977"/>
    <x v="264"/>
    <m/>
    <s v="Indian (South Africa)"/>
    <s v="Female"/>
    <s v="30 - 39"/>
    <m/>
    <s v="South Africa"/>
    <m/>
    <m/>
    <m/>
    <s v="2 Years"/>
    <m/>
    <s v="Create Mentorship Event for Sindhuri Ravuri (Terminated) with Serena Gounden"/>
    <d v="2024-07-09T00:00:00"/>
    <d v="2025-06-30T00:00:00"/>
    <m/>
  </r>
  <r>
    <s v="4989171"/>
    <x v="71"/>
    <s v="To cultivate my path to professional growth and success and also learn to be a leader."/>
    <s v="Leadership Mentor"/>
    <s v="Full Time Employee"/>
    <s v="African (Botswana)"/>
    <s v="Female"/>
    <s v="30 - 39"/>
    <s v="FNB Botswana Wealth (Tshepiso Scheffers)"/>
    <s v="Botswana"/>
    <s v="FNB"/>
    <s v="5010160500 FNB Botswana Consumer Banking"/>
    <s v="Customer Value Proposition Manager"/>
    <s v="6 - 10 Years"/>
    <s v="Product Development"/>
    <s v="5595916"/>
    <x v="263"/>
    <s v="Fixed Term Contractor"/>
    <s v="African (Botswana)"/>
    <s v="Female"/>
    <s v="30 - 39"/>
    <s v="FNB Botswana Channels (Badumedi Segaetsho)"/>
    <s v="Botswana"/>
    <s v="FNB"/>
    <s v="5010164100 FNB Botswana Call Centre"/>
    <s v="Service Consultant"/>
    <s v="1 Year"/>
    <s v="Client Experience and Value Management"/>
    <s v="Create Mentorship Event for Kgomotso Bika with Borethe Mogwe"/>
    <d v="2024-07-05T00:00:00"/>
    <d v="2024-09-30T00:00:00"/>
    <m/>
  </r>
  <r>
    <s v="4805062"/>
    <x v="45"/>
    <s v="I'm eager to learn from experienced mentors who can provide guidance and insights that accelerate my growth. I believe in the power of mentorship to expand my perspective, refine my skills, and navigate challenges effectively"/>
    <s v="Career Mentor"/>
    <s v="Full Time Employee"/>
    <s v="Indian (South Africa)"/>
    <s v="Male"/>
    <s v="30 - 39"/>
    <s v="Group Human Capital (Dudu Moloko)"/>
    <s v="South Africa"/>
    <s v="FirstRand Corporate Centre"/>
    <s v="20200007954 FRCC People Governance Learning Compliance"/>
    <s v="Leadership Development Specialist"/>
    <s v="11 -15 Years"/>
    <s v="Experience Architecting"/>
    <s v="5242444"/>
    <x v="265"/>
    <s v="Full Time Employee"/>
    <s v="Indian (South Africa)"/>
    <s v="Female"/>
    <s v="30 - 39"/>
    <s v="DirectAxis (Jean-Pierre Crook)"/>
    <s v="South Africa"/>
    <s v="FNB"/>
    <s v="99700015118 DA Business Optimisation"/>
    <s v="Dialer Administrator"/>
    <s v="6 - 10 Years"/>
    <s v="Operations"/>
    <s v="Create Mentorship Event for Afreen Kumandan with Zaheer Ismail"/>
    <d v="2024-09-02T00:00:00"/>
    <m/>
    <m/>
  </r>
  <r>
    <s v="3209105"/>
    <x v="123"/>
    <s v="To obtain assistance in navigating my career path and formulating strategies to achieve my professional objectives."/>
    <s v="Career Mentor"/>
    <s v="Full Time Employee"/>
    <s v="Indian (South Africa)"/>
    <s v="Female"/>
    <s v="40 - 49"/>
    <s v="FNB Chief Risk Office (Emma Mer)"/>
    <s v="South Africa"/>
    <s v="FNB"/>
    <s v="39400001871 FNB Chief Risk Office Executive"/>
    <s v="Chief Operating Officer"/>
    <s v="16 - 20 Years"/>
    <s v="Operations"/>
    <s v="5605598"/>
    <x v="266"/>
    <s v="Full Time Employee"/>
    <s v="African (South Africa)"/>
    <s v="Female"/>
    <s v="30 - 39"/>
    <s v="FNB Dynamic Decisioning Project Delivery (Cindy John)"/>
    <s v="South Africa"/>
    <s v="FNB"/>
    <s v="23900006144 FNB Dynamic Decisioning Project Delivery"/>
    <s v="Project Management Office Portfolio Manager"/>
    <s v="3 - 5 Years"/>
    <s v="Programme and Project Management"/>
    <s v="Create Mentorship Event for Leah Zulu with Renusha Moodley"/>
    <d v="2024-07-08T00:00:00"/>
    <d v="2025-12-31T00:00:00"/>
    <m/>
  </r>
  <r>
    <s v="5156165"/>
    <x v="169"/>
    <s v="Good day JP,_x000a_I saw that you are a mentor for technical. I really need to up my java skills and also leadership skills. Please would you consider mentoring me? I am really movitated and I want to be promoted this year. So if you give me tasks and a timeline I'd be sure to complete it. Thank you"/>
    <s v="Technical Mentor"/>
    <m/>
    <s v="White (South Africa)"/>
    <s v="Male"/>
    <s v="40 - 49"/>
    <m/>
    <s v="South Africa"/>
    <m/>
    <m/>
    <m/>
    <s v="6 - 10 Years"/>
    <m/>
    <s v="5498783"/>
    <x v="27"/>
    <s v="Full Time Employee"/>
    <s v="Indian (South Africa)"/>
    <s v="Female"/>
    <s v="30 - 39"/>
    <s v="CDO Kernel iNterfaceX (Chris Bolle)"/>
    <s v="South Africa"/>
    <s v="FNB"/>
    <s v="21800001994 CDO Kernel iNterfaceX Tech App and Mobile Dev App"/>
    <s v="Developer"/>
    <s v="3 - 5 Years"/>
    <s v="IT Development"/>
    <s v="Create Mentorship Event for Thaveshni Govender with JP Erasmus (Terminated)"/>
    <d v="2024-07-08T00:00:00"/>
    <m/>
    <m/>
  </r>
  <r>
    <s v="4670760"/>
    <x v="174"/>
    <s v="I need mentoring to gain experience or have exposure to daily duties of a Project manager, develop new skills which can help me to move to the role of Project management."/>
    <s v="Career Mentor"/>
    <s v="Full Time Employee"/>
    <s v="African (South Africa)"/>
    <s v="Female"/>
    <s v="30 - 39"/>
    <s v="FR Life Assurance (Funeka Mafalala)"/>
    <s v="South Africa"/>
    <s v="FNB"/>
    <s v="61500010256 FR Life Projects"/>
    <s v="Project Manager"/>
    <s v="6 - 10 Years"/>
    <s v="Programme and Project Management"/>
    <s v="4664701"/>
    <x v="267"/>
    <s v="Full Time Employee"/>
    <s v="African (South Africa)"/>
    <s v="Female"/>
    <s v="40 - 49"/>
    <s v="FNB Loans (Muneeb Davies)"/>
    <s v="South Africa"/>
    <s v="FNB"/>
    <s v="79100003305 FNB Consumer Loans Internal Collections"/>
    <s v="Collections Advisor"/>
    <s v="11 -15 Years"/>
    <s v="Collections and Recoveries"/>
    <s v="Create Mentorship Event for Zandile Nene with Hloni Matang_x000a__x000a_Edit Mentorship Event for Zandile Nene with Hloni Matang"/>
    <d v="2024-06-27T00:00:00"/>
    <d v="2025-01-31T00:00:00"/>
    <m/>
  </r>
  <r>
    <s v="3575977"/>
    <x v="179"/>
    <s v="To be mentored into the SA Lead role by going through the business expectations of an SA Lead."/>
    <s v="Leadership Mentor"/>
    <s v="Full Time Employee"/>
    <s v="Indian (South Africa)"/>
    <s v="Female"/>
    <s v="30 - 39"/>
    <s v="FNB Points of Presence (Pumezo Gulwa)"/>
    <s v="South Africa"/>
    <s v="FNB"/>
    <s v="7710441800 FNB POP Data Engineering and Insights"/>
    <s v="Business Analyst Manager"/>
    <s v="11 -15 Years"/>
    <s v="Process and Business Analysis"/>
    <s v="5516927"/>
    <x v="268"/>
    <s v="Full Time Employee"/>
    <s v="African (South Africa)"/>
    <s v="Female"/>
    <s v="30 - 39"/>
    <s v="FNB Core Banking Platform (Jermaine Remley)"/>
    <s v="South Africa"/>
    <s v="FNB"/>
    <s v="59600005611 FNB Personal and Private IT Unsecured Lending IT"/>
    <s v="Systems Analyst Team Leader"/>
    <s v="3 - 5 Years"/>
    <s v="Business/Systems Analysis"/>
    <s v="Create Mentorship Event for Zamokuhle Ngema with Elvira Krishna"/>
    <d v="2024-07-15T00:00:00"/>
    <m/>
    <m/>
  </r>
  <r>
    <s v="3019055"/>
    <x v="180"/>
    <s v="I expect to use this opportunity to leverage my career growth and personal development from Willens experience across the finance and treasury world and create networks within the FirstRand group. My specific areas of mentoring include the following:_x000a__x000a_Career Guidance_x000a__x000a_Develop leadership skills_x000a__x000a_Relationship building and networking"/>
    <s v="Career Mentor"/>
    <s v="Full Time Employee"/>
    <s v="White (South Africa)"/>
    <s v="Male"/>
    <s v="50 - 59"/>
    <s v="Rest of Africa (Luke Woodford (Inherited))"/>
    <s v="South Africa"/>
    <s v="RMB"/>
    <s v="77800000CCA RMBSA Broader Africa Finance Team"/>
    <s v="Finance Head"/>
    <s v="16 - 20 Years"/>
    <s v="Financial Management"/>
    <s v="4686357"/>
    <x v="269"/>
    <s v="Full Time Employee"/>
    <m/>
    <s v="Male"/>
    <s v="40 - 49"/>
    <s v="FNB Mozambique Treasury (Agnallo Nampunda)"/>
    <s v="Mozambique"/>
    <s v="FNB"/>
    <s v="5150MOZ4100 FNB Mozambique Reporting and Planing"/>
    <s v="Financial Reporting Head"/>
    <s v="3 - 5 Years"/>
    <s v="Accounting and Financial Intelligence"/>
    <s v="Create Mentorship Event for Manuel Come Come with Willem Richard"/>
    <d v="2024-07-17T00:00:00"/>
    <m/>
    <m/>
  </r>
  <r>
    <s v="5467845"/>
    <x v="14"/>
    <s v="Greetings,_x000a__x000a_I would like to get guidance on maneuvering financial analysis in order to have substantive evidence on my quality of work."/>
    <s v="Career Mentor"/>
    <m/>
    <s v="African (South Africa)"/>
    <s v="Male"/>
    <s v="30 - 39"/>
    <m/>
    <s v="South Africa"/>
    <m/>
    <m/>
    <m/>
    <s v="2 Years"/>
    <m/>
    <s v="5578019"/>
    <x v="270"/>
    <m/>
    <s v="African (South Africa)"/>
    <s v="Female"/>
    <s v="20 - 29"/>
    <m/>
    <s v="South Africa"/>
    <m/>
    <m/>
    <m/>
    <s v="2 Years"/>
    <m/>
    <s v="Close Mentorship Event for Keamogetswe Sema (Terminated) with Emmanuel Tsiame (Terminated)_x000a__x000a_Create Mentorship Event for Keamogetswe Sema (Terminated) with Emmanuel Tsiame (Terminated)"/>
    <d v="2024-07-15T00:00:00"/>
    <d v="2024-09-30T00:00:00"/>
    <s v="Mentor Resigned"/>
  </r>
  <r>
    <s v="4532031"/>
    <x v="181"/>
    <s v="Career Development, leadership enablement, emotional intelligence, and personal growth."/>
    <s v="Career Mentor"/>
    <s v="Full Time Employee"/>
    <s v="African (South Africa)"/>
    <s v="Female"/>
    <s v="40 - 49"/>
    <s v="RMBSA Global Markets Structured Solutions and Trading Enablement (Victor Mofokeng)"/>
    <s v="South Africa"/>
    <s v="RMB"/>
    <s v="77800000BNR RMBSA Global Markets Cross Asset and Financing Trading Book Financing"/>
    <s v="Trading Desk Head"/>
    <s v="16 - 20 Years"/>
    <s v="Financial Markets"/>
    <s v="5153913"/>
    <x v="271"/>
    <s v="Full Time Employee"/>
    <s v="African (South Africa)"/>
    <s v="Female"/>
    <s v="30 - 39"/>
    <s v="RMBSA Global Markets (Moses Madilonga)"/>
    <s v="South Africa"/>
    <s v="RMB"/>
    <s v="77800000TNE RMBSA Global Markets Trading Desk Support Enablement"/>
    <s v="Trading Desk Support Enablement Analyst"/>
    <s v="3 - 5 Years"/>
    <s v="Financial Markets"/>
    <s v="Create Mentorship Event for Nobuhle Ngcobo with Naomi Sekgobela"/>
    <d v="2024-07-19T00:00:00"/>
    <d v="2025-06-30T00:00:00"/>
    <m/>
  </r>
  <r>
    <s v="4804325"/>
    <x v="182"/>
    <s v="I would like to solidify my technical skills, which include SAS Systems, Python, DBMS, AI and Machine Learning in order to be able to perform high level statistical analysis, data insights and analysis, model development etc. I do have an exposure; however, I am not at a comfortable level._x000a_I am also looking into defining purpose on my career, that is, knowing what I want and progress in my career growth and development. I want to develop my business acumen, broader banking understanding, and articulation."/>
    <s v="Technical Mentor"/>
    <s v="Full Time Employee"/>
    <s v="African (South Africa)"/>
    <s v="Male"/>
    <s v="30 - 39"/>
    <s v="FNB Chief Risk Office Interactions and Risk Analytics (Godfrey Kgoedi)"/>
    <s v="South Africa"/>
    <s v="FNB"/>
    <s v="39400003184 FNB Chief Risk Office Interactions and Risk Analytics"/>
    <s v="Data Science Manager"/>
    <s v="11 -15 Years"/>
    <s v="Analytics"/>
    <s v="5604389"/>
    <x v="272"/>
    <s v="Full Time Employee"/>
    <s v="African (South Africa)"/>
    <s v="Male"/>
    <s v="20 - 29"/>
    <s v="FNB Customer and Sales Interactions (Christiaan Paulsen)"/>
    <s v="South Africa"/>
    <s v="FNB"/>
    <s v="21200001751 Home Finance Credit Strategic Credit and Pricing"/>
    <s v="Data Scientist"/>
    <s v="3 - 5 Years"/>
    <s v="Analytics"/>
    <s v="Create Mentorship Event for Siyabonga Mthethwa with Kholofelo Napo"/>
    <d v="2024-07-29T00:00:00"/>
    <d v="2024-12-02T00:00:00"/>
    <m/>
  </r>
  <r>
    <s v="5087112"/>
    <x v="30"/>
    <s v="I hope this message finds you well. I am writing to express my interest in seeking your mentorship as I embark on advancing my career in project management. Having recently graduated with a BCom in Project Management, I am eager to further develop my skills and knowledge in this field. Your expertise and experience make you an ideal mentor to guide me through this journey. I believe your insights and advice will be invaluable in helping me achieve my career goals and enhance my understanding of effective project management practices. I would greatly appreciate the opportunity to learn from you and benefit from your guidance. Your mentorship will undoubtedly contribute significantly to my professional development. Thank you for considering my request. I look forward to the possibility of discussing this further with you."/>
    <s v="Career Mentor"/>
    <s v="Full Time Employee"/>
    <s v="African (South Africa)"/>
    <s v="Female"/>
    <s v="40 - 49"/>
    <s v="FNB Commercial Merchant Services (Netsai Ngidi)"/>
    <s v="South Africa"/>
    <s v="FNB"/>
    <s v="22800004061 FNB Commercial Merchant Services Product and Solutions"/>
    <s v="Industry Manager"/>
    <s v="6 - 10 Years"/>
    <s v="Client Relationship Management"/>
    <s v="3143139"/>
    <x v="273"/>
    <s v="Full Time Employee"/>
    <s v="Coloured (South Africa)"/>
    <s v="Female"/>
    <s v="30 - 39"/>
    <s v="FNB Financial Advisory (Charles Gordon)"/>
    <s v="South Africa"/>
    <s v="FNB"/>
    <s v="27900004818 PB&amp;A Advice Suite"/>
    <s v="Operations Manager"/>
    <s v="16 - 20 Years"/>
    <s v="Operations"/>
    <s v="Create Mentorship Event for Kirsty Forbay with Betty Moabelo"/>
    <d v="2024-07-02T00:00:00"/>
    <d v="2025-01-03T00:00:00"/>
    <m/>
  </r>
  <r>
    <s v="4739116"/>
    <x v="81"/>
    <s v="I have been a test analyst for 9 years and have been scared to take the leadership role. I am now ready for this challenge. The fear of the unknown is there but i believe in myself more than ever before now."/>
    <s v="Leadership Mentor"/>
    <s v="Full Time Employee"/>
    <s v="African (South Africa)"/>
    <s v="Female"/>
    <s v="30 - 39"/>
    <s v="FNB R&amp;C Chief Information Office (La-Cell Mouton)"/>
    <s v="South Africa"/>
    <s v="FirstRand Corporate Centre"/>
    <s v="20200002266 CDO Banking Finxact"/>
    <s v="Chief Information Officer"/>
    <s v="11 -15 Years"/>
    <s v="System Design and Administration"/>
    <s v="4876385"/>
    <x v="274"/>
    <s v="Full Time Employee"/>
    <s v="African (South Africa)"/>
    <s v="Female"/>
    <s v="30 - 39"/>
    <s v="CDO Kernel (Lucille Jacobs)"/>
    <s v="South Africa"/>
    <s v="FNB"/>
    <s v="79000005422 CDO Kernel OCEP"/>
    <s v="Test Analyst"/>
    <s v="6 - 10 Years"/>
    <s v="Business/Systems Analysis"/>
    <s v="Close Mentorship Event for Prudence Shipalana with Rethabile Tsekedi_x000a__x000a_Create Mentorship Event for Prudence Shipalana with Rethabile Tsekedi"/>
    <d v="2024-07-15T00:00:00"/>
    <d v="2024-09-09T00:00:00"/>
    <s v="Mentee Withdrawal - Availability"/>
  </r>
  <r>
    <s v="5004918"/>
    <x v="183"/>
    <s v="Hi Mukoki,_x000a__x000a_I trust you are well._x000a__x000a_I am interested in getting a mentor for the purpose of enhancing my skills in the finance space._x000a__x000a_As we know the industry is always changing and growing - so one has to always keep up to date. Hence, I decided to reach out to you._x000a__x000a_I need to be mentored to bridge the gap between my current skills and the skills required in order for me to grow in the industry. My objective is to someday become a Financial Manager. I need to understand what skills I currently need to acquire as an accountant and what skills will I need to have to be a financial manager. I am also interested in learning the ropes and understanding the day to day of a financial manager._x000a__x000a_I have attached my resume for your perusal._x000a__x000a_I hope you find this well. Your assistance will be highly appreciated😊"/>
    <s v="Career Mentor"/>
    <s v="Full Time Employee"/>
    <s v="African (South Africa)"/>
    <s v="Male"/>
    <s v="30 - 39"/>
    <s v="FNB HSL (Chris Labuschagne)"/>
    <s v="South Africa"/>
    <s v="FNB"/>
    <s v="21200003024 HSL Finance Support"/>
    <s v="Financial Manager"/>
    <s v="6 - 10 Years"/>
    <s v="Financial Management"/>
    <s v="5276098"/>
    <x v="275"/>
    <s v="PHI Benefit"/>
    <s v="African (South Africa)"/>
    <s v="Female"/>
    <s v="30 - 39"/>
    <s v="FNB Core Banking Platform (Ashley Govender (Inherited))"/>
    <s v="South Africa"/>
    <s v="FNB"/>
    <s v="59600003947 FNB Personal and Private IT Finance"/>
    <s v="Financial Accountant"/>
    <s v="6 - 10 Years"/>
    <s v="Systems Accounting and Financial Operations"/>
    <s v="Create Mentorship Event for Thandeka Ntisana with Kuda Mukoki"/>
    <d v="2024-07-19T00:00:00"/>
    <m/>
    <m/>
  </r>
  <r>
    <s v="2746573"/>
    <x v="27"/>
    <s v="The purpose of being mentored by Himal was to ensure a smooth transition into the bank as well as building a successful brand for myself in my new role."/>
    <s v="Career Mentor"/>
    <s v="Full Time Employee"/>
    <s v="Indian (South Africa)"/>
    <s v="Male"/>
    <s v="40 - 49"/>
    <s v="FNB Private Segment (Sizwe Nxedlana)"/>
    <s v="South Africa"/>
    <s v="FNB"/>
    <s v="85500008551 FNB Retail Exco"/>
    <s v="Chief Executive Officer Cash Investments Retail"/>
    <s v="16 - 20 Years"/>
    <s v="Operations"/>
    <s v="5614031"/>
    <x v="276"/>
    <s v="Full Time Employee"/>
    <s v="Coloured (South Africa)"/>
    <s v="Female"/>
    <s v="30 - 39"/>
    <s v="FNB Commercial EFT (Naziem Sallie)"/>
    <s v="South Africa"/>
    <s v="FNB"/>
    <s v="68400003918 FNB Commercial EFT Product House Product"/>
    <s v="Product Specialist"/>
    <s v="3 - 5 Years"/>
    <s v="Product Support, Development and Analysis"/>
    <s v="Create Mentorship Event for Yolandi Pietersen with Himal Parbhoo"/>
    <d v="2023-02-08T00:00:00"/>
    <d v="2024-02-12T00:00:00"/>
    <m/>
  </r>
  <r>
    <s v="5020964"/>
    <x v="184"/>
    <s v="Requiring a mentor to:_x000a__x000a_1. Evolve and increase current knowledge of FNB_x000a_2. Assist with personal development_x000a_3. Provide constructive feedback_x000a_$. Assist in placing firm boundaries for healthy work -life balance"/>
    <s v="Career Mentor"/>
    <s v="Full Time Employee"/>
    <s v="White (South Africa)"/>
    <s v="Female"/>
    <s v="30 - 39"/>
    <s v="FNB Personal Core Banking (Christelle Pretorius)"/>
    <s v="South Africa"/>
    <s v="FNB"/>
    <s v="48100002235 FNB Personal Core Banking Personal VISA"/>
    <s v="Partnerships and Growth Head"/>
    <s v="6 - 10 Years"/>
    <s v="Business Development"/>
    <s v="5023157"/>
    <x v="277"/>
    <s v="Full Time Employee"/>
    <s v="Indian (South Africa)"/>
    <s v="Female"/>
    <s v="30 - 39"/>
    <s v="RMBSA CDAO Data, Analytics and Business Intelligence (Narisha Govender)"/>
    <s v="South Africa"/>
    <s v="RMB"/>
    <s v="77800000FZM FZM - CB Finance FIM"/>
    <s v="Data Solutionist"/>
    <s v="11 -15 Years"/>
    <s v="Business Intelligence"/>
    <s v="Create Mentorship Event for Kuvashni Krishna with Ashley Saffy"/>
    <d v="2024-08-01T00:00:00"/>
    <d v="2025-08-29T00:00:00"/>
    <m/>
  </r>
  <r>
    <s v="4532031"/>
    <x v="181"/>
    <s v="I have a few primary goals but have not bedded down one primary &quot;north star&quot; with respect to my career and holistic development. I am however trying to insert more agency and direction within some of the goals I have for myself and I believe the privilege of being able to draw advice or wisdom from a mentor would help accelerate that process._x000a_ _x000a_To provide some background context:_x000a_I am currently within the data and analytics world of the financials services industry but I have a keen interest in exploring the corporate finance and asset management world also._x000a_ _x000a_Lastly, high level overview of some of the goals I have that I would appreciate the help and input of a mentor with are the following:_x000a_ _x000a_Short term goals include:_x000a_1)Understanding Industry Basics_x000a_2)Networking_x000a_3)Skills Development_x000a_ _x000a_My more medium term goals:_x000a_1)Job Transition Strategies or Navigating the system_x000a_2)Gaining Relevant Experience_x000a_3)Curating a career_x000a_ _x000a_Thank you,"/>
    <s v="Career Mentor"/>
    <s v="Full Time Employee"/>
    <s v="African (South Africa)"/>
    <s v="Female"/>
    <s v="40 - 49"/>
    <s v="RMBSA Global Markets Structured Solutions and Trading Enablement (Victor Mofokeng)"/>
    <s v="South Africa"/>
    <s v="RMB"/>
    <s v="77800000BNR RMBSA Global Markets Cross Asset and Financing Trading Book Financing"/>
    <s v="Trading Desk Head"/>
    <s v="16 - 20 Years"/>
    <s v="Financial Markets"/>
    <s v="5606969"/>
    <x v="278"/>
    <m/>
    <s v="African (South Africa)"/>
    <s v="Male"/>
    <s v="20 - 29"/>
    <m/>
    <s v="South Africa"/>
    <m/>
    <m/>
    <m/>
    <s v="1 Year"/>
    <m/>
    <s v="Create Mentorship Event for Nhlanhla Tshingilane (Terminated) with Naomi Sekgobela"/>
    <d v="2024-08-01T00:00:00"/>
    <m/>
    <m/>
  </r>
  <r>
    <s v="3279359"/>
    <x v="185"/>
    <s v="Enthusiastic professional recently certified in ISTQB and IT Systems Development (Java), eager to launch a career in software testing. Possesses an understanding of software development life cycle, testing methodologies, and quality assurance principles. A quick learner with a passion for technology and problem solving. Seeking challenging projects to enhance my testing skill through mentorship/job shadowing"/>
    <s v="Career Mentor"/>
    <s v="Full Time Employee"/>
    <s v="African (South Africa)"/>
    <s v="Male"/>
    <s v="40 - 49"/>
    <s v="CDO Kernel iNterfaceX (Mmushi Mosupi)"/>
    <s v="South Africa"/>
    <s v="FNB"/>
    <s v="21800009568 CDO Kernel iNterfaceX Tech App and Mobile QA App"/>
    <s v="Test Analyst Manager"/>
    <s v="16 - 20 Years"/>
    <s v="Business/Systems Analysis"/>
    <s v="3726762"/>
    <x v="279"/>
    <s v="OBR With Fixed Pay"/>
    <s v="African (South Africa)"/>
    <s v="Female"/>
    <s v="40 - 49"/>
    <s v="FNB Wealth (Clarissa Mangera)"/>
    <s v="South Africa"/>
    <s v="FNB"/>
    <s v="34100001596 PB&amp;A Sales Solutions Suite"/>
    <s v="Sales Advisor"/>
    <s v="11 -15 Years"/>
    <s v="Client Services Support and Delivery"/>
    <s v="Create Mentorship Event for Patience Dolamo with Job Mpati"/>
    <d v="2024-08-01T00:00:00"/>
    <d v="2025-08-01T00:00:00"/>
    <m/>
  </r>
  <r>
    <s v="4612590"/>
    <x v="186"/>
    <s v="Good morning Themba,_x000a__x000a_Hope you are keeping well._x000a__x000a_I need mentorship for career growth and leadership development._x000a_Your assistance will be greatly appreciated._x000a__x000a_thank you."/>
    <s v="Career Mentor"/>
    <s v="Full Time Employee"/>
    <s v="African (South Africa)"/>
    <s v="Male"/>
    <s v="50 - 59"/>
    <s v="FNB Enterprise Chief Executive Office (Mike Naidoo)"/>
    <s v="South Africa"/>
    <s v="FNB"/>
    <s v="34400006518 FNB Commercial EXCO"/>
    <s v="Provincial Head"/>
    <s v="&gt;20 Years"/>
    <s v="Operations"/>
    <s v="3867897"/>
    <x v="280"/>
    <s v="Full Time Employee"/>
    <s v="African (South Africa)"/>
    <s v="Female"/>
    <s v="40 - 49"/>
    <s v="FNB Commercial Sales Gauteng South and Central (Nondumiso Motlhala)"/>
    <s v="South Africa"/>
    <s v="FNB"/>
    <s v="34200006532 FNB Commercial Sales Gauteng East 10 to 60M"/>
    <s v="Business Relationship Manager"/>
    <s v="11 -15 Years"/>
    <s v="Client Relationship Management"/>
    <s v="Create Mentorship Event for Gabi Maya with Themba Mabizela"/>
    <d v="2024-08-01T00:00:00"/>
    <d v="2025-07-31T00:00:00"/>
    <m/>
  </r>
  <r>
    <s v="3678482"/>
    <x v="187"/>
    <s v="The purpose of Jermain being my mentor is to help build and develop skills I need to become a data scientist/analyst in the workspace. We will share insight to gain the knowledge through his experiences and duties he performs in order to help me succeed in the workplace. This will also boost my confidence to complete my studies and do extra courses for added skills."/>
    <s v="Career Mentor"/>
    <s v="Full Time Employee"/>
    <s v="Coloured (South Africa)"/>
    <s v="Male"/>
    <s v="30 - 39"/>
    <s v="FNB Commercial Cash (Andries Vermaak)"/>
    <s v="South Africa"/>
    <s v="FNB"/>
    <s v="25200006132 FNB Commercial IT Application Development Cash"/>
    <s v="Data Analyst"/>
    <s v="11 -15 Years"/>
    <s v="Data Management, Maintenance and Security"/>
    <s v="3661954"/>
    <x v="281"/>
    <s v="Full Time Employee"/>
    <s v="Coloured (South Africa)"/>
    <s v="Female"/>
    <s v="30 - 39"/>
    <s v="FNB Commercial Chief Risk Office (Leoni Tweedie (Inherited))"/>
    <s v="South Africa"/>
    <s v="FNB"/>
    <s v="34400008616 FNB Commercial Chief Risk Office Fraud Risk"/>
    <s v="Fraud Analyst"/>
    <s v="6 - 10 Years"/>
    <s v="Fraud Risk"/>
    <s v="Create Mentorship Event for Alexa Flemmer with Jermaine Varnicker"/>
    <d v="2024-07-26T00:00:00"/>
    <d v="2025-07-25T00:00:00"/>
    <m/>
  </r>
  <r>
    <s v="3678482"/>
    <x v="187"/>
    <s v="Career guidance_x000a__x000a_Innovation_x000a__x000a_Learn how to navigate the system"/>
    <s v="Career Mentor"/>
    <s v="Full Time Employee"/>
    <s v="Coloured (South Africa)"/>
    <s v="Male"/>
    <s v="30 - 39"/>
    <s v="FNB Commercial Cash (Andries Vermaak)"/>
    <s v="South Africa"/>
    <s v="FNB"/>
    <s v="25200006132 FNB Commercial IT Application Development Cash"/>
    <s v="Data Analyst"/>
    <s v="11 -15 Years"/>
    <s v="Data Management, Maintenance and Security"/>
    <s v="8871054"/>
    <x v="282"/>
    <s v="Full Time Employee"/>
    <s v="African (South Africa)"/>
    <s v="Male"/>
    <s v="30 - 39"/>
    <s v="CDO Infrastructure and Security Services (Kabelo Prince Mosapa)"/>
    <s v="South Africa"/>
    <s v="FNB"/>
    <s v="20700008751 CDO Networks and Security Employee Network Access"/>
    <s v="Network Engineer"/>
    <s v="1 Year"/>
    <s v="IT Support"/>
    <s v="Create Mentorship Event for Mx Makhombothi with Jermaine Varnicker_x000a__x000a_Edit Mentorship Event for Mx Makhombothi with Jermaine Varnicker"/>
    <d v="2024-07-31T00:00:00"/>
    <d v="2024-10-31T00:00:00"/>
    <m/>
  </r>
  <r>
    <s v="3519570"/>
    <x v="188"/>
    <m/>
    <s v="Career Mentor"/>
    <s v="Full Time Employee"/>
    <s v="African (South Africa)"/>
    <s v="Male"/>
    <s v="30 - 39"/>
    <s v="FNB Chief Risk Office Executive (Mark Nasila)"/>
    <s v="South Africa"/>
    <s v="FNB"/>
    <s v="39400003184 FNB Chief Risk Office Interactions and Risk Analytics"/>
    <s v="Chief Data and Analytics Officer"/>
    <s v="16 - 20 Years"/>
    <s v="Analytics"/>
    <s v="5382564"/>
    <x v="283"/>
    <s v="Full Time Employee"/>
    <s v="African (South Africa)"/>
    <s v="Male"/>
    <s v="30 - 39"/>
    <s v="FNB International SA (Pranisha Luckan)"/>
    <s v="South Africa"/>
    <s v="FNB"/>
    <s v="83200009892 FNB International SA Risk"/>
    <s v="Data Scientist"/>
    <s v="3 - 5 Years"/>
    <s v="Analytics"/>
    <s v="Create Mentorship Event for Danny Tloubatla with Godfrey Kgoedi"/>
    <d v="2024-05-31T00:00:00"/>
    <m/>
    <m/>
  </r>
  <r>
    <s v="5414032"/>
    <x v="189"/>
    <s v="As a driven individual who has a thirst for knowledge and has an academic background in law (even at Master's level). I am interested in developing my career in investment banking not only from a legal perspective, but also from a financial lens as well. As a new joiner at RMB, I am looking to gain practical insights from an experienced professional in the field of banking before I embark on a career change. I believe a mentor would provide me with invaluable support and knowledge, help me navigate the frantic world of investment banking, and assist with making informed decisions about my career path over a 5/6 year period. Through this mentorship, I aim to enhance my professional development, build meaningful relationships and networks, whilst trying to achieve my full career potential in the world of banking and finance through guidance. LinkedIn Link: https://www.linkedin.com/in/karabo-r-38388a184/"/>
    <s v="Career Mentor"/>
    <s v="Full Time Employee"/>
    <s v="African (South Africa)"/>
    <s v="Female"/>
    <s v="40 - 49"/>
    <s v="RMBSA Investment Banking Division (IBD) (Rob Leon)"/>
    <s v="South Africa"/>
    <s v="RMB"/>
    <s v="77800000DTR RMBSA IBD Loan Capital Markets &amp; Syndications"/>
    <s v="Loan Capital Market Solutions Head"/>
    <s v="3 - 5 Years"/>
    <s v="Investment Banking"/>
    <s v="8874820"/>
    <x v="284"/>
    <s v="Full Time Employee"/>
    <s v="African (South Africa)"/>
    <s v="Male"/>
    <s v="20 - 29"/>
    <s v="RMBSA IBD Operations Transaction Management (Johannes Louw)"/>
    <s v="South Africa"/>
    <s v="RMB"/>
    <s v="77800000IBT RMBSA IBD Operations Transaction Management"/>
    <s v="Transaction Management Specialist"/>
    <s v="&lt;1 Year"/>
    <s v="Operations"/>
    <s v="Create Mentorship Event for Karabo Rampai with Helen Mkhize"/>
    <d v="2024-08-01T00:00:00"/>
    <m/>
    <m/>
  </r>
  <r>
    <s v="4651685"/>
    <x v="190"/>
    <s v="Career Goals_x000a__x000a_Short-Term Goals (1-2 years)_x000a__x000a_Complete Compliance Management Certification:_x000a_Enroll and complete the certification to build my expertise in compliance management._x000a_Gain Practical Experience:_x000a_Seek opportunities to work on compliance-related projects or roles within my current organization._x000a_Expand Network:_x000a_Join professional associations related to HR, compliance, and risk management._x000a_Attend industry conferences and workshops to connect with professionals in my field._x000a__x000a_Medium-Term Goals (3-5 years)_x000a__x000a_Secure a Leadership Role:_x000a_Aiming for a leadership position in compliance or risk management within my organization or another company._x000a_Develop Specialized Skills:_x000a_Focusing on acquiring skills in risk assessment, regulatory compliance, and policy development. Consider additional certifications like Certified Risk Manager (CRM) or Certified Compliance and Ethics Professional (CCEP)._x000a_Mentorship and Coaching:_x000a_Find a mentor in the field of compliance and risk management to guide me. Also, considering mentoring junior colleagues to develop my leadership skills._x000a__x000a_Long-Term Goals (5+ years)_x000a__x000a_Executive Position:_x000a_Aiming for an executive role such as Chief Compliance Officer (CCO) or Head of Risk Management._x000a_Thought Leadership:_x000a_Establishing myself as a thought leader by publishing articles, speaking at conferences, and participating in industry panels._x000a_Continuous Learning:_x000a_keeping updated with industry trends and changes in regulations._x000a_Pursue advanced degrees or certifications if necessary._x000a__x000a_Action Plan_x000a__x000a_Education and Certification_x000a_Enrolling in a Compliance Management certification program._x000a_Identifying and pursuing additional relevant certifications (e.g., CRM, CCEP)._x000a_Professional Experience_x000a_Seeking roles or projects that involve compliance and risk management._x000a_Volunteering for cross-functional teams to gain broader exposure._x000a_Networking and Mentorship_x000a_Joining professional associations like the Society for Risk Management Association (RMA)._x000a_Attending industry events and webinars._x000a_Finding a mentor and participate in mentorship programs._x000a_Skill Development_x000a_Taking online courses or workshops on risk assessment, regulatory compliance, and policy development._x000a_Developing soft skills such as leadership, communication, and strategic thinking._x000a_Career Advancement_x000a_Regularly updating my resume and LinkedIn profile to reflect new skills and experiences._x000a_Applying for leadership roles and be proactive in seeking promotions._x000a_Thought Leadership_x000a_Writing articles or blog posts on compliance and risk management topics._x000a_Participating in speaking engagements and panel discussions."/>
    <s v="Career Mentor"/>
    <s v="Full Time Employee"/>
    <s v="Racially advantaged (Namibia)"/>
    <s v="Male"/>
    <s v="30 - 39"/>
    <s v="FNB Namibia Limited (Isdor Angula)"/>
    <s v="Namibia"/>
    <s v="FNB"/>
    <s v="302031B9D555 FNB Namibia Human Capital"/>
    <s v="Human Capital Head"/>
    <s v="11 -15 Years"/>
    <s v="Business Human Capital"/>
    <s v="5641748"/>
    <x v="285"/>
    <s v="Full Time Employee"/>
    <s v="Racially disadvantaged (Namibia)"/>
    <s v="Male"/>
    <s v="30 - 39"/>
    <s v="FNB Namibia Limited (Carlo Gertze)"/>
    <s v="Namibia"/>
    <s v="FNB"/>
    <s v="302000001683 FNB Namibia Group Risk"/>
    <s v="Risk Officer"/>
    <s v="&lt;1 Year"/>
    <s v="Operational Risk"/>
    <s v="Create Mentorship Event for Jeckson Tuyoleni with Wiann Mans"/>
    <d v="2024-07-26T00:00:00"/>
    <d v="2029-07-26T00:00:00"/>
    <m/>
  </r>
  <r>
    <s v="3209105"/>
    <x v="123"/>
    <s v="The mentorship between the mentee and the respective mentor, to guide me in setting mutually agreed upon goals and expectations that we will work towards in the next 7 month. Basically, to increase my knowledge in the project management space, get practical experience and being involved in the actual projects. Thanks"/>
    <s v="Career Mentor"/>
    <s v="Full Time Employee"/>
    <s v="Indian (South Africa)"/>
    <s v="Female"/>
    <s v="40 - 49"/>
    <s v="FNB Chief Risk Office (Emma Mer)"/>
    <s v="South Africa"/>
    <s v="FNB"/>
    <s v="39400001871 FNB Chief Risk Office Executive"/>
    <s v="Chief Operating Officer"/>
    <s v="16 - 20 Years"/>
    <s v="Operations"/>
    <s v="4822366"/>
    <x v="286"/>
    <s v="Full Time Employee"/>
    <s v="Coloured (South Africa)"/>
    <s v="Female"/>
    <s v="40 - 49"/>
    <s v="FNB HSL (Jody Cornelius)"/>
    <s v="South Africa"/>
    <s v="FNB"/>
    <s v="21200003929 Home Finance Business Support Operations"/>
    <s v="Business Support Specialist"/>
    <s v="11 -15 Years"/>
    <s v="Operations"/>
    <s v="Create Mentorship Event for Cindy Abrahams with Renusha Moodley"/>
    <d v="2024-07-01T00:00:00"/>
    <d v="2025-02-28T00:00:00"/>
    <m/>
  </r>
  <r>
    <s v="3243605"/>
    <x v="165"/>
    <s v="I have a few primary goals but have not bedded down one primary &quot;north star&quot; with respect to my career and holistic development. I am however trying to insert more agency and direction within some of the goals I have for myself and I believe the privilege of being able to draw advice or wisdom from a mentor would help accelerate that process._x000a_ _x000a_To provide some background context:_x000a_I am currently within the data and analytics world of the financials services industry but I have a keen interest in exploring the corporate finance and asset management world also._x000a_ _x000a_Lastly, high level overview of some of the goals I have that I would appreciate the help and input of a mentor with are the following:_x000a_ _x000a_Short term goals include:_x000a_1)Understanding Industry Basics_x000a_2)Networking_x000a_3)Skills Development_x000a_ _x000a_My more medium term goals:_x000a_1)Job Transition Strategies or Navigating the system_x000a_2)Gaining Relevant Experience_x000a_3)Curating a career_x000a_ _x000a_Thank you,"/>
    <s v="Career Mentor"/>
    <s v="Full Time Employee"/>
    <m/>
    <s v="Female"/>
    <s v="40 - 49"/>
    <s v="FNB Rand Merchant Bank Botswana (Harriet Mlalazi)"/>
    <s v="Botswana"/>
    <s v="FNB"/>
    <s v="5010342500 RMB Botswana Flow Risk"/>
    <s v="Global Market Head"/>
    <s v="6 - 10 Years"/>
    <s v="Investor Services"/>
    <s v="5606969"/>
    <x v="278"/>
    <m/>
    <s v="African (South Africa)"/>
    <s v="Male"/>
    <s v="20 - 29"/>
    <m/>
    <s v="South Africa"/>
    <m/>
    <m/>
    <m/>
    <s v="1 Year"/>
    <m/>
    <s v="Create Mentorship Event for Nhlanhla Tshingilane (Terminated) with Baile Corrigan"/>
    <d v="2024-07-30T00:00:00"/>
    <m/>
    <m/>
  </r>
  <r>
    <s v="4936795"/>
    <x v="191"/>
    <s v="I am interested in changing careers and would love to have a mentor to guide me through this transition. I would love to move into the data analysis space._x000a__x000a_Career guidance_x000a__x000a_Manage a career transition"/>
    <s v="Career Mentor"/>
    <s v="Full Time Employee"/>
    <s v="African (South Africa)"/>
    <s v="Female"/>
    <s v="30 - 39"/>
    <s v="FNB Personal Exco (Lee Mhlongo)"/>
    <s v="South Africa"/>
    <s v="FNB"/>
    <s v="5910701900 FNB Retail CDAO"/>
    <s v="Data Head"/>
    <s v="6 - 10 Years"/>
    <s v="Data Management, Maintenance and Security"/>
    <s v="5571995"/>
    <x v="287"/>
    <s v="Full Time Employee"/>
    <s v="African (South Africa)"/>
    <s v="Female"/>
    <s v="30 - 39"/>
    <s v="FNB Commercial Core Juristic Platform (Khulani Mvelase)"/>
    <s v="South Africa"/>
    <s v="FNB"/>
    <s v="34200005978 FNB Commercial CJP CRM"/>
    <s v="Test Analyst"/>
    <s v="3 - 5 Years"/>
    <s v="Business/Systems Analysis"/>
    <s v="Close Mentorship Event for Phemi Maetle with Nonhlanhla Gumede Moloto_x000a__x000a_Create Mentorship Event for Phemi Maetle with Nonhlanhla Gumede Moloto"/>
    <d v="2024-08-01T00:00:00"/>
    <d v="2024-12-01T00:00:00"/>
    <s v="Mentee Withdrawal - Change in Mentoring Needs"/>
  </r>
  <r>
    <s v="3602915"/>
    <x v="192"/>
    <s v="As part of my professional development, I have been fortunate to shadow Siya Motha, the Customer Service Head. I look forward to this mentorship providing me with invaluable insights into effective suite management and customer service excellence. Siya's strategic approach to leadership and problem-solving aligns perfectly with my aspiration to become a Business Optimization Manager. Observing his methods for optimizing team performance and enhancing customer satisfaction will be enlightening. This experience will not only expand my knowledge but also inspire me to adopt innovative strategies to drive organizational success."/>
    <s v="Career Mentor"/>
    <s v="Full Time Employee"/>
    <s v="African (South Africa)"/>
    <s v="Male"/>
    <s v="30 - 39"/>
    <s v="FNB Retail Private Wealth Chief Executive Office (Eric Enslin)"/>
    <s v="South Africa"/>
    <s v="FNB"/>
    <s v="34100003287 PB&amp;A EXCO"/>
    <s v="Customer Service Centre Head"/>
    <s v="11 -15 Years"/>
    <s v="Client Experience and Value Management"/>
    <s v="4985559"/>
    <x v="288"/>
    <s v="Full Time Employee"/>
    <s v="African (South Africa)"/>
    <s v="Female"/>
    <s v="30 - 39"/>
    <s v="FNB Private Banking and Advisory (Carlifonia Muungadi)"/>
    <s v="South Africa"/>
    <s v="FNB"/>
    <s v="34100007232 PB&amp;A Service Suite Advisor Engagement"/>
    <s v="Private Service Advisor"/>
    <s v="6 - 10 Years"/>
    <s v="Client Relationship Management"/>
    <s v="Create Mentorship Event for Nthabiseng Mashego with Siya Motha"/>
    <d v="2024-07-11T00:00:00"/>
    <m/>
    <m/>
  </r>
  <r>
    <s v="4613430"/>
    <x v="193"/>
    <s v="Shetal will be a mentor to help prepare me for the next role in my career - System Analyst Team Lead"/>
    <s v="Career Mentor"/>
    <s v="Full Time Employee"/>
    <s v="Indian (South Africa)"/>
    <s v="Female"/>
    <s v="50 - 59"/>
    <s v="CDO Kernel Decisioning IT (Debashree Naidoo)"/>
    <s v="South Africa"/>
    <s v="FNB"/>
    <s v="79000005193 CDO Kernel Decisioning IT"/>
    <s v="Business Analyst Manager"/>
    <s v="&gt;20 Years"/>
    <s v="Process and Business Analysis"/>
    <s v="5313422"/>
    <x v="289"/>
    <s v="Full Time Employee"/>
    <s v="Indian (South Africa)"/>
    <s v="Male"/>
    <s v="40 - 49"/>
    <s v="FNB Dynamic Decisioning (Junaid Nakhooda)"/>
    <s v="South Africa"/>
    <s v="FNB"/>
    <s v="23900006889 FNB Dynamic Decisioning Campaigns and CLB"/>
    <s v="Systems Owner"/>
    <s v="6 - 10 Years"/>
    <s v="System Design and Administration"/>
    <s v="Close Mentorship Event for Zakaria Mahomed with Shetal Bhoola_x000a__x000a_Create Mentorship Event for Zakaria Mahomed with Shetal Bhoola_x000a__x000a_Edit Mentorship Event for Zakaria Mahomed with Shetal Bhoola"/>
    <d v="2024-08-07T00:00:00"/>
    <d v="2025-04-02T00:00:00"/>
    <s v="Mentoring Needs Fulfilled"/>
  </r>
  <r>
    <s v="5180015"/>
    <x v="194"/>
    <s v="Dear Jennifer,_x000a_I am writing to express my enthusiasm for the opportunity to be mentored by you and to share my motivation and objectives for this mentoring relationship. As someone who is eager to grow both professionally and personally, I believe that your guidance and experience would be invaluable in helping me achieve my goals._x000a_Motivation:_x000a_I am currently in the early stages of my career and am keen to develop the skills and knowledge necessary to succeed and make meaningful contributions to my organisation. I have always been passionate about continuous learning and professional development and I believe that a mentoring relationship with you will provide the support and insight I need to navigate my career path effectively._x000a_Areas of Mentoring:_x000a_Career Guidance: I am looking for guidance on how to strategically plan my career path. Understanding the various opportunities and challenges within my industry and how to position myself for growth and advancement is crucial. Your insights into career planning and development would help me make informed decisions about my future._x000a_Develop Leadership Skills: Developing strong leadership skills is one of my primary objectives. I aspire to take on leadership roles in the future, and I would greatly benefit from your advice on how to cultivate these skills. Learning about effective leadership styles, decision-making processes and how to inspire and manage teams are areas where your experience would be particularly beneficial._x000a_Relationship Building and Networking: Building a robust professional network and establishing meaningful relationships within my industry are essential for my career progression. I would appreciate your guidance on how to effectively network, foster professional relationships and leverage these connections to achieve my career goals._x000a_Through this mentoring relationship, I aim to gain a deeper understanding of the industry, enhance my leadership capabilities and develop a strategic approach to career development. I am confident that with your mentorship, I can navigate the challenges and opportunities ahead more effectively._x000a__x000a_Thank you for considering my request._x000a_Best regards,_x000a_Morongwa"/>
    <s v="Career Mentor"/>
    <s v="Full Time Employee"/>
    <s v="White (South Africa)"/>
    <s v="Female"/>
    <s v="60 - 64"/>
    <s v="FNB International SA (Lorna Reid)"/>
    <s v="South Africa"/>
    <s v="FNB"/>
    <s v="83200005732 FNB International SA Human Resources"/>
    <s v="Organisational Development Specialist"/>
    <s v="16 - 20 Years"/>
    <s v="Experience Architecting"/>
    <s v="5585104"/>
    <x v="290"/>
    <m/>
    <s v="African (South Africa)"/>
    <s v="Female"/>
    <s v="30 - 39"/>
    <m/>
    <s v="South Africa"/>
    <m/>
    <m/>
    <m/>
    <s v="2 Years"/>
    <m/>
    <s v="Create Mentorship Event for Morongwa Mangope (Terminated) with Jennifer Dutton"/>
    <d v="2024-08-01T00:00:00"/>
    <d v="2024-11-29T00:00:00"/>
    <m/>
  </r>
  <r>
    <s v="5603935"/>
    <x v="195"/>
    <s v="I want to attempt the Actuarial Exams starting with A211. I studied Econometrics and want to transition into Actuarial."/>
    <s v="Technical Mentor"/>
    <s v="Full Time Employee"/>
    <s v="White (South Africa)"/>
    <s v="Male"/>
    <s v="20 - 29"/>
    <s v="FNB Loans (Joshua Maduna)"/>
    <s v="South Africa"/>
    <s v="FNB"/>
    <s v="79100009082 FNB Consumer Loans Support Credit"/>
    <s v="Data Scientist"/>
    <s v="3 - 5 Years"/>
    <s v="Analytics"/>
    <s v="5471516"/>
    <x v="291"/>
    <m/>
    <s v="African (South Africa)"/>
    <s v="Male"/>
    <s v="30 - 39"/>
    <m/>
    <s v="South Africa"/>
    <m/>
    <m/>
    <m/>
    <s v="2 Years"/>
    <m/>
    <s v="Create Mentorship Event for Khuliso Watson Maela (Terminated) with Sean Christoph"/>
    <d v="2024-09-01T00:00:00"/>
    <d v="2025-06-30T00:00:00"/>
    <m/>
  </r>
  <r>
    <s v="4910117"/>
    <x v="196"/>
    <s v="Career guidance_x000a__x000a_Manage a career transition_x000a__x000a_Relationship building and networking_x000a__x000a__x000a_I am highly interested in transitioning to a role within the risk department.   Through the mentoring relationship, I hope to gain valuable insights and guidance on navigating the world of risk management, improving my critical thinking skills, and honing my decision-making abilities in high-pressure situations. I am specifically interested in receiving guidance on risk assessment techniques, regulatory compliance, and developing effective risk management frameworks. I believe that with the mentorship of an experienced professional in the field, I can enhance my skills and knowledge in risk management to achieve success in this challenging and rewarding industry."/>
    <s v="Career Mentor"/>
    <s v="Full Time Employee"/>
    <s v="African (South Africa)"/>
    <s v="Male"/>
    <s v="40 - 49"/>
    <s v="FNB Personal Segment (Lytania Johnson)"/>
    <s v="South Africa"/>
    <s v="FNB"/>
    <s v="5910107040 FNB Personal Exco"/>
    <s v="Segment Chief Risk Officer"/>
    <s v="6 - 10 Years"/>
    <s v="Operational Risk"/>
    <s v="5511097"/>
    <x v="215"/>
    <s v="Full Time Employee"/>
    <s v="African (South Africa)"/>
    <s v="Female"/>
    <s v="20 - 29"/>
    <s v="FNB Commercial Sales Cape (X Gadlela)"/>
    <s v="South Africa"/>
    <s v="FNB"/>
    <s v="34200008675 FNB Commercial Sales Eastern Cape 10 to 60M"/>
    <s v="Relationship Analyst"/>
    <s v="3 - 5 Years"/>
    <s v="Client Relationship Management"/>
    <s v="Create Mentorship Event for Vuyiseka Myeki with Thapelo Modisagae"/>
    <d v="2024-05-10T00:00:00"/>
    <m/>
    <m/>
  </r>
  <r>
    <s v="4649567"/>
    <x v="197"/>
    <s v="The purpose of this mentorship is to develop my professional knowledge and skills, to advance my career as well as to get professional advice."/>
    <s v="Career Mentor"/>
    <s v="Full Time Employee"/>
    <s v="African (South Africa)"/>
    <s v="Female"/>
    <s v="30 - 39"/>
    <s v="FNB Points of Presence (Palesa Lethiba)"/>
    <s v="South Africa"/>
    <s v="FNB"/>
    <s v="7710236900 FNB POP Regional Office Gauteng South"/>
    <s v="Human Capital Business Partner"/>
    <s v="11 -15 Years"/>
    <s v="Business Human Capital"/>
    <s v="4633059"/>
    <x v="292"/>
    <s v="Full Time Employee"/>
    <s v="African (South Africa)"/>
    <s v="Female"/>
    <s v="30 - 39"/>
    <s v="FNB HSL (Duduzile Roules)"/>
    <s v="South Africa"/>
    <s v="FNB"/>
    <s v="21200002641 HSL Call Centre"/>
    <s v="Sales Consultant"/>
    <s v="6 - 10 Years"/>
    <s v="Direct Sales"/>
    <s v="Create Mentorship Event for Anna Mashia with Sibongile Ngomani"/>
    <d v="2024-07-01T00:00:00"/>
    <d v="2024-09-27T00:00:00"/>
    <m/>
  </r>
  <r>
    <s v="3519570"/>
    <x v="188"/>
    <s v="To provide career guidance, ensuring that I have the right and correct technical skills to help me in my career. To help me prepare for new opportunities such as career opportunities as well as leadership opportunities."/>
    <s v="Career Mentor"/>
    <s v="Full Time Employee"/>
    <s v="African (South Africa)"/>
    <s v="Male"/>
    <s v="30 - 39"/>
    <s v="FNB Chief Risk Office Executive (Mark Nasila)"/>
    <s v="South Africa"/>
    <s v="FNB"/>
    <s v="39400003184 FNB Chief Risk Office Interactions and Risk Analytics"/>
    <s v="Chief Data and Analytics Officer"/>
    <s v="16 - 20 Years"/>
    <s v="Analytics"/>
    <s v="5455065"/>
    <x v="293"/>
    <s v="Full Time Employee"/>
    <s v="African (South Africa)"/>
    <s v="Female"/>
    <s v="20 - 29"/>
    <s v="FNB Private Core Banking (Gontse Letsoalo)"/>
    <s v="South Africa"/>
    <s v="FNB"/>
    <s v="41200004892 FNB Private Core Banking Analytics"/>
    <s v="Data Scientist"/>
    <s v="3 - 5 Years"/>
    <s v="Analytics"/>
    <s v="Create Mentorship Event for Khanyisile Kumbi with Godfrey Kgoedi"/>
    <d v="2024-05-20T00:00:00"/>
    <m/>
    <m/>
  </r>
  <r>
    <s v="4532031"/>
    <x v="181"/>
    <m/>
    <s v="Career Mentor"/>
    <s v="Full Time Employee"/>
    <s v="African (South Africa)"/>
    <s v="Female"/>
    <s v="40 - 49"/>
    <s v="RMBSA Global Markets Structured Solutions and Trading Enablement (Victor Mofokeng)"/>
    <s v="South Africa"/>
    <s v="RMB"/>
    <s v="77800000BNR RMBSA Global Markets Cross Asset and Financing Trading Book Financing"/>
    <s v="Trading Desk Head"/>
    <s v="16 - 20 Years"/>
    <s v="Financial Markets"/>
    <s v="5151597"/>
    <x v="294"/>
    <s v="Full Time Employee"/>
    <s v="African (South Africa)"/>
    <s v="Female"/>
    <s v="30 - 39"/>
    <s v="RMBSA Global Markets Financial Risk (Elzabe Reynolds)"/>
    <s v="South Africa"/>
    <s v="RMB"/>
    <s v="77800000TMR RMBSA Global Markets Market Risk"/>
    <s v="Market Risk Analyst"/>
    <s v="6 - 10 Years"/>
    <s v="Financial Risk"/>
    <s v="Create Mentorship Event for Mukundi Ravhura with Naomi Sekgobela"/>
    <d v="2024-10-01T00:00:00"/>
    <m/>
    <m/>
  </r>
  <r>
    <s v="2277042"/>
    <x v="198"/>
    <s v="Good day. I am looking for someone to guide me in my career path. I started as a Month end reporting accountant at Group Treasury FCC in 2017 where I got my first ever reporting exposure. I then moved to RMB in March 2019 and was part of the consol team. The structure then changed, and I was hired as part of the Client reporting team where I serviced the corporate sector heads. I then moved to FNB in July 2023 within the FDI enablement team. I have enjoyed learning from the different franchises, however, looking into the future I am not sure which direction to take my career. All i have been exposed to thus far is reporting and parts of product, therefore when the question of &quot;What you want to do&quot; is posed I am unable to answer as I don't know what being in like other areas would be like or what their daily activities look like to really answer the question. I also lost my brother in 2022 through suicide and have since then just trying to heal and recover so I did not broach this subject sooner. I am looking for someone who has walked this journey and can offer advice and guidance and also being probed for me as a person to find where I want to go to next. Thanks"/>
    <s v="Career Mentor"/>
    <s v="Full Time Employee"/>
    <s v="White (South Africa)"/>
    <s v="Male"/>
    <s v="50 - 59"/>
    <s v="FNB Commercial Chief Executive Officer Structured Lending Solutions (Jan Baard)"/>
    <s v="South Africa"/>
    <s v="FNB"/>
    <s v="33900000847 FNB Commercial Debtor Finance Sales"/>
    <s v="Product Head"/>
    <s v="11 -15 Years"/>
    <s v="Product Management"/>
    <s v="5064775"/>
    <x v="295"/>
    <s v="Full Time Employee"/>
    <s v="Indian (South Africa)"/>
    <s v="Female"/>
    <s v="30 - 39"/>
    <s v="First Risk and Advisory Services (Bheki Mdlalose)"/>
    <s v="South Africa"/>
    <s v="FNB"/>
    <s v="61500010304 FR Insure and Invest Distribution"/>
    <s v="Financial Manager"/>
    <s v="6 - 10 Years"/>
    <s v="Financial Management"/>
    <s v="Create Mentorship Event for Desiree Govender with Gavin Tarr"/>
    <d v="2024-09-19T00:00:00"/>
    <m/>
    <m/>
  </r>
  <r>
    <s v="5235049"/>
    <x v="23"/>
    <s v="I think we might need to formally have record of the mentorship. Thank you for being willing xxx_x000a__x000a_Proposed mentorship period and frequency: 6 months, 1 session per month._x000a__x000a_Seasoned in legal and regulatory (compliance) risk management. IRMCert obtained in ERM from the UK's Institute of Risk Management. Qualification obtained but require experience and mentorship, especially in relation to technical skills associated with Operational Risk Management (my gap)._x000a__x000a_Purpose:_x000a__x000a_Broaden organisational knowledge_x000a__x000a_Career guidance_x000a__x000a_Develop leadership skills"/>
    <s v="Career Mentor"/>
    <s v="Full Time Employee"/>
    <s v="African (South Africa)"/>
    <s v="Female"/>
    <s v="30 - 39"/>
    <s v="FNB Personal Segment Advisory and Suites (Devesh Naidoo)"/>
    <s v="South Africa"/>
    <s v="FNB"/>
    <s v="97200005382 PSAS Stratco"/>
    <s v="Risk Head"/>
    <s v="6 - 10 Years"/>
    <s v="Operational Risk"/>
    <s v="5047676"/>
    <x v="296"/>
    <s v="Full Time Employee"/>
    <s v="White (South Africa)"/>
    <s v="Female"/>
    <s v="30 - 39"/>
    <s v="FNB Chief Marketing Office (Faye Mfikwe)"/>
    <s v="South Africa"/>
    <s v="FNB"/>
    <s v="22400005479 FNB Marketing Finance"/>
    <s v="Risk Head"/>
    <s v="6 - 10 Years"/>
    <s v="Operational Risk"/>
    <s v="Create Mentorship Event for Lizelle La Grange with Rialivhuwa Mudau"/>
    <d v="2024-09-02T00:00:00"/>
    <d v="2025-02-28T00:00:00"/>
    <m/>
  </r>
  <r>
    <s v="4696360"/>
    <x v="199"/>
    <m/>
    <s v="Technical Mentor"/>
    <s v="Full Time Employee"/>
    <s v="White (South Africa)"/>
    <s v="Male"/>
    <s v="50 - 59"/>
    <s v="CDO Kernel (Shaakirah Raffie)"/>
    <s v="South Africa"/>
    <s v="FNB"/>
    <s v="79000005193 CDO Kernel Decisioning IT"/>
    <s v="Software Developer in Test"/>
    <s v="11 -15 Years"/>
    <s v="IT Development"/>
    <s v="5265010"/>
    <x v="297"/>
    <s v="Full Time Employee"/>
    <s v="African (South Africa)"/>
    <s v="Male"/>
    <s v="30 - 39"/>
    <s v="CDO Kernel (Shaakirah Raffie)"/>
    <s v="South Africa"/>
    <s v="FNB"/>
    <s v="79000005193 CDO Kernel Decisioning IT"/>
    <s v="Test Analyst"/>
    <s v="6 - 10 Years"/>
    <s v="IT Testing"/>
    <s v="Create Mentorship Event for Frank Chalale with Adriaan Swanepoel"/>
    <d v="2024-08-26T00:00:00"/>
    <m/>
    <m/>
  </r>
  <r>
    <s v="5062667"/>
    <x v="118"/>
    <s v="Purpose of this mentorship is to get advice and guidance on a variety of topics in risk management, trends and forecasts, networking, leadership development, and job search strategies."/>
    <s v="Career Mentor"/>
    <s v="Full Time Employee"/>
    <s v="African (South Africa)"/>
    <s v="Female"/>
    <s v="30 - 39"/>
    <s v="CDO Kernel iNterfaceX Fraud Risk Management (Craig Grieve)"/>
    <s v="South Africa"/>
    <s v="FNB"/>
    <s v="21800006165 CDO Kernel iNterfaceX Audit and Risk"/>
    <s v="IT Risk Head"/>
    <s v="6 - 10 Years"/>
    <s v="IT Governance, Risk and Compliance"/>
    <s v="5368472"/>
    <x v="298"/>
    <s v="Full Time Employee"/>
    <s v="African (South Africa)"/>
    <s v="Female"/>
    <s v="30 - 39"/>
    <s v="CDO Kernel iNterfaceX (Smangele Cunningham)"/>
    <s v="South Africa"/>
    <s v="FNB"/>
    <s v="21800006165 CDO Kernel iNterfaceX Audit and Risk"/>
    <s v="Risk Manager"/>
    <s v="3 - 5 Years"/>
    <s v="Operational Risk"/>
    <s v="Create Mentorship Event for Ayanda Patji with Smangele Cunningham"/>
    <d v="2024-08-07T00:00:00"/>
    <m/>
    <m/>
  </r>
  <r>
    <s v="5159903"/>
    <x v="200"/>
    <s v="Career and Leadership Development"/>
    <s v="Career Mentor"/>
    <s v="Full Time Employee"/>
    <s v="African (South Africa)"/>
    <s v="Female"/>
    <s v="30 - 39"/>
    <s v="RMBSA TTS Client Groups (Tamara D'Onofrio)"/>
    <s v="South Africa"/>
    <s v="RMB"/>
    <s v="77800000SON RMBSA TTS Client Group Sales Enablement"/>
    <s v="Sales Enablement Head"/>
    <s v="6 - 10 Years"/>
    <s v="Sales Management"/>
    <s v="5617405"/>
    <x v="299"/>
    <s v="Full Time Employee"/>
    <s v="Indian (South Africa)"/>
    <s v="Male"/>
    <s v="30 - 39"/>
    <s v="RMBSA Operations Client Experience Specialists (Mumbi Odame (Inherited))"/>
    <s v="South Africa"/>
    <s v="RMB"/>
    <s v="77800000CXD RMBSA Client Experience Design"/>
    <s v="Client Experience Manager"/>
    <s v="3 - 5 Years"/>
    <s v="Client Experience and Value Management"/>
    <s v="Create Mentorship Event for Rajiv Mistry with Alcinda Moezelaar"/>
    <d v="2024-08-26T00:00:00"/>
    <d v="2025-08-26T00:00:00"/>
    <m/>
  </r>
  <r>
    <s v="4967305"/>
    <x v="201"/>
    <s v="&quot;Dear Pontso,_x000a_I am writing to express my enthusiasm for the opportunity to be mentored by you and to share my motivation and objectives for this mentoring relationship. As someone who is eager to grow both professionally and personally, I believe that your guidance and experience would be invaluable in helping me achieve my goals._x000a_Motivation:_x000a_I am currently in the early stages of my career and am keen to develop the skills and knowledge necessary to succeed and make meaningful contributions to my organisation. I have always been passionate about continuous learning and professional development and I believe that a mentoring relationship with you will provide the support and insight I need to navigate my career path effectively._x000a_Areas of Mentoring:_x000a_Career Guidance: I am looking for guidance on how to strategically plan my career path. Understanding the various opportunities and challenges within my industry and how to position myself for growth and advancement is crucial. Your insights into career planning and development would help me make informed decisions about my future._x000a_Develop Leadership Skills: Developing strong leadership skills is one of my primary objectives. I aspire to take on leadership roles in the future, and I would greatly benefit from your advice on how to cultivate these skills. Learning about effective leadership styles, decision-making processes and how to inspire and manage teams are areas where your experience would be particularly beneficial._x000a_Relationship Building and Networking: Building a robust professional network and establishing meaningful relationships within my industry are essential for my career progression. I would appreciate your guidance on how to effectively network, foster professional relationships and leverage these connections to achieve my career goals._x000a_Through this mentoring relationship, I aim to gain a deeper understanding of the industry, enhance my leadership capabilities and develop a strategic approach to career development. I am confident that with your mentorship, I can navigate the challenges and opportunities ahead more effectively._x000a_ _x000a_Thank you for considering my request._x000a_Best regards,_x000a_Morongwa&quot;"/>
    <s v="Career Mentor"/>
    <s v="Full Time Employee"/>
    <s v="African (South Africa)"/>
    <s v="Female"/>
    <s v="30 - 39"/>
    <s v="FNB Retail Marketing (Qaqamba Godlo)"/>
    <s v="South Africa"/>
    <s v="FNB"/>
    <s v="85500006598 FNB Retail Marketing"/>
    <s v="Marketing Portfolio Manager"/>
    <s v="6 - 10 Years"/>
    <s v="Marketing, Advertising and Media (incl. digital)"/>
    <s v="5585104"/>
    <x v="290"/>
    <m/>
    <s v="African (South Africa)"/>
    <s v="Female"/>
    <s v="30 - 39"/>
    <m/>
    <s v="South Africa"/>
    <m/>
    <m/>
    <m/>
    <s v="2 Years"/>
    <m/>
    <s v="Create Mentorship Event for Morongwa Mangope (Terminated) with Pontso Mohlotsane"/>
    <d v="2024-08-15T00:00:00"/>
    <d v="2025-04-04T00:00:00"/>
    <m/>
  </r>
  <r>
    <s v="2964457"/>
    <x v="202"/>
    <m/>
    <s v="Leadership Mentor"/>
    <s v="Full Time Employee"/>
    <s v="Indian (South Africa)"/>
    <s v="Male"/>
    <s v="40 - 49"/>
    <s v="FR Life Assurance (Lee Bromfield)"/>
    <s v="South Africa"/>
    <s v="FNB"/>
    <s v="61500010269 FR Life CEO Office"/>
    <s v="Executive Head"/>
    <s v="11 -15 Years"/>
    <s v="Operations"/>
    <s v="4902629"/>
    <x v="300"/>
    <s v="Full Time Employee"/>
    <s v="Indian (South Africa)"/>
    <s v="Male"/>
    <s v="30 - 39"/>
    <s v="FNB HSL (Vyasan Govender)"/>
    <s v="South Africa"/>
    <s v="FNB"/>
    <s v="21200000808 HSL Sales Leads"/>
    <s v="Relationship Manager"/>
    <s v="6 - 10 Years"/>
    <s v="Client Relationship Management"/>
    <s v="Create Mentorship Event for Prenesen Naidoo with Dash Naidoo"/>
    <d v="2023-03-01T00:00:00"/>
    <d v="2023-10-31T00:00:00"/>
    <m/>
  </r>
  <r>
    <s v="2053527"/>
    <x v="15"/>
    <s v="Career guidance_x000a__x000a_Deal with diversity and inclusion challenges_x000a__x000a_Develop leadership skills"/>
    <s v="Career Mentor"/>
    <s v="Full Time Employee"/>
    <s v="Coloured (South Africa)"/>
    <s v="Male"/>
    <s v="50 - 59"/>
    <s v="FNB Commercial Sales Cape (Stephan Claassen)"/>
    <s v="South Africa"/>
    <s v="FNB"/>
    <s v="34300005001 FNB Commercial Growth Cape Head Office"/>
    <s v="Regional Head"/>
    <s v="&gt;20 Years"/>
    <s v="Sales Management"/>
    <s v="4920740"/>
    <x v="301"/>
    <s v="Full Time Employee"/>
    <s v="White (South Africa)"/>
    <s v="Female"/>
    <s v="40 - 49"/>
    <s v="FNB Commercial Sales Inland (Johan Kotze)"/>
    <s v="South Africa"/>
    <s v="FNB"/>
    <s v="34200009213 FNB Commercial Sales Free State Platinum"/>
    <s v="Relationship Analyst"/>
    <s v="6 - 10 Years"/>
    <s v="Client Relationship Management"/>
    <s v="Create Mentorship Event for Lenize Lottering with Adnaan Rayned"/>
    <d v="2024-08-15T00:00:00"/>
    <d v="2024-11-30T00:00:00"/>
    <m/>
  </r>
  <r>
    <s v="4943899"/>
    <x v="203"/>
    <s v="Seeking new career change and skills development opportunities"/>
    <s v="Career Mentor"/>
    <s v="Full Time Employee"/>
    <s v="African (South Africa)"/>
    <s v="Male"/>
    <s v="40 - 49"/>
    <s v="FNB Fiduciary (Ralton Leach)"/>
    <s v="South Africa"/>
    <s v="FNB"/>
    <s v="54100008438 FNB WI Fiduciary Deceased Reporting DIV"/>
    <s v="Fiduciary Administrator"/>
    <s v="6 - 10 Years"/>
    <s v="Administration"/>
    <s v="5169402"/>
    <x v="302"/>
    <s v="Full Time Employee"/>
    <s v="African (South Africa)"/>
    <s v="Female"/>
    <s v="30 - 39"/>
    <s v="FNB Commercial Chief Executive Officer Structured Lending Solutions (Jan Baard)"/>
    <s v="South Africa"/>
    <s v="FNB"/>
    <s v="33900009123 FNB Commercial Leveraged Finance Head Office"/>
    <s v="Personal Assistant"/>
    <s v="6 - 10 Years"/>
    <s v="Operations"/>
    <s v="Create Mentorship Event for Mapule Mpoko with Tshepo Leroto"/>
    <d v="2024-09-10T00:00:00"/>
    <d v="2024-12-13T00:00:00"/>
    <m/>
  </r>
  <r>
    <s v="3452506"/>
    <x v="204"/>
    <s v="I would like to solidify my technical skills, which include SAS Systems, Python, DBMS, AI and Machine Learning in order to be able to perform high level statistical analysis, data insights and analysis, model development etc. I do have an exposure; however, I am not at a comfortable level. _x000a_I would also like for growth and development in my field, understanding the opportunities available and how I can be a good fit. This will help me to work with purpose and set new goals for my career journey."/>
    <s v="Career Mentor"/>
    <s v="Full Time Employee"/>
    <s v="White (South Africa)"/>
    <s v="Female"/>
    <s v="40 - 49"/>
    <s v="FNB Retail Exco (Keshani Ganasen)"/>
    <s v="South Africa"/>
    <s v="FNB"/>
    <s v="85500007549 FNB Integrated Advice"/>
    <s v="Data Scientist"/>
    <s v="6 - 10 Years"/>
    <s v="Analytics"/>
    <s v="5604389"/>
    <x v="272"/>
    <s v="Full Time Employee"/>
    <s v="African (South Africa)"/>
    <s v="Male"/>
    <s v="20 - 29"/>
    <s v="FNB Customer and Sales Interactions (Christiaan Paulsen)"/>
    <s v="South Africa"/>
    <s v="FNB"/>
    <s v="21200001751 Home Finance Credit Strategic Credit and Pricing"/>
    <s v="Data Scientist"/>
    <s v="3 - 5 Years"/>
    <s v="Analytics"/>
    <s v="Create Mentorship Event for Siyabonga Mthethwa with Jacqui Calitz"/>
    <d v="2024-08-12T00:00:00"/>
    <d v="2024-10-31T00:00:00"/>
    <m/>
  </r>
  <r>
    <s v="3519570"/>
    <x v="188"/>
    <s v="Hi Godfrey, _x000a_ _x000a_I hope this message finds you well. My name is Shiara, and I am a data analyst with +4 years of experience in data and analytics. As someone who is relatively new to the industry but brimming with curiosity, I am reaching out to see if you'd be willing to mentor me. _x000a_ _x000a_I have spent my time crunching numbers, building dashboards, and occasionally battling the odd rogue dataset. But I have come to realize that mastering data analytics is just one piece of the puzzle. To truly excel and contribute at a strategic level, I need to understand the art and science of business management - and who better to learn from than the esteemed Chief Risk Office Executive?_x000a_ _x000a_I am eager to learn not only the technical wizardry of data and analytics but also the leadership skills that make a great executive. Your guidance would be invaluable in helping me integrate my data skills with effective business strategies. _x000a_ _x000a_I would be thrilled to discuss this further and hopefully get a chance to work with you._x000a_ _x000a_Best regards,_x000a_Shiara"/>
    <s v="Leadership Mentor"/>
    <s v="Full Time Employee"/>
    <s v="African (South Africa)"/>
    <s v="Male"/>
    <s v="30 - 39"/>
    <s v="FNB Chief Risk Office Executive (Mark Nasila)"/>
    <s v="South Africa"/>
    <s v="FNB"/>
    <s v="39400003184 FNB Chief Risk Office Interactions and Risk Analytics"/>
    <s v="Chief Data and Analytics Officer"/>
    <s v="16 - 20 Years"/>
    <s v="Analytics"/>
    <s v="8873877"/>
    <x v="303"/>
    <s v="Full Time Employee"/>
    <s v="Indian (South Africa)"/>
    <s v="Female"/>
    <s v="30 - 39"/>
    <s v="CDO Kernel iNterfaceX (Ashlin Kullen)"/>
    <s v="South Africa"/>
    <s v="FNB"/>
    <s v="21800005584 CDO Kernel iNterfaceX Data Analysts Development"/>
    <s v="Data Analyst"/>
    <s v="1 Year"/>
    <s v="Data Management, Maintenance and Security"/>
    <s v="Create Mentorship Event for Shiara Pillay with Godfrey Kgoedi"/>
    <d v="2024-09-25T00:00:00"/>
    <m/>
    <m/>
  </r>
  <r>
    <s v="5159903"/>
    <x v="200"/>
    <s v="Good day Alcinda, first of all thank you very much for giving me the privilege of being your mentee, I do believe that this opportunity will help me to speed up my technical skills and my Carrer. kindly find below some of the points that I would like to focus on this mentoring process:_x000a_Skill Enhancement_x000a__x000a_1. Advanced Financial Analysis: Guidance on mastering complex financial analysis techniques and tools._x000a_2. Regulatory Knowledge: Keeping up-to-date with the latest accounting standards and financial regulations. _x000a_3. Technical Proficiency: Improving your proficiency with accounting software and financial modeling tools._x000a_Networking_x000a__x000a_1.Professional Associations: Encouragement to join and actively participate in professional accounting and finance associations._x000a_2.Industry Events: Identifying and attending relevant industry conferences, seminars, and workshops to expand your professional network._x000a_Feedback and Improvement_x000a__x000a_1.Performance Reviews: Regular, constructive feedback on your work, with specific examples and actionable advice for improvement._x000a_2.Continuous Learning: Recommendations for courses, certifications, and other learning opportunities to stay ahead in your field._x000a_Leadership Skills_x000a_1. Project Management: Developing skills to lead and manage financial projects effectively._x000a_Mentorship and Coaching: Learning how to mentor junior colleagues and provide effective coaching._x000a__x000a_happy to amend any point above"/>
    <s v="Technical Mentor"/>
    <s v="Full Time Employee"/>
    <s v="African (South Africa)"/>
    <s v="Female"/>
    <s v="30 - 39"/>
    <s v="RMBSA TTS Client Groups (Tamara D'Onofrio)"/>
    <s v="South Africa"/>
    <s v="RMB"/>
    <s v="77800000SON RMBSA TTS Client Group Sales Enablement"/>
    <s v="Sales Enablement Head"/>
    <s v="6 - 10 Years"/>
    <s v="Sales Management"/>
    <s v="5643635"/>
    <x v="304"/>
    <s v="Full Time Employee"/>
    <m/>
    <s v="Male"/>
    <s v="30 - 39"/>
    <s v="FNB Mozambique (Manuel Come Come)"/>
    <s v="Mozambique"/>
    <s v="FNB"/>
    <s v="5150MOZ4100 FNB Mozambique Reporting and Planing"/>
    <s v="Financial Services Business Partner"/>
    <s v="2 Years"/>
    <s v="Financial Management"/>
    <s v="Create Mentorship Event for Armando Antonio with Alcinda Moezelaar"/>
    <d v="2024-10-01T00:00:00"/>
    <d v="2025-10-01T00:00:00"/>
    <m/>
  </r>
  <r>
    <s v="5275032"/>
    <x v="205"/>
    <m/>
    <s v="Career Mentor"/>
    <s v="Full Time Employee"/>
    <s v="African (South Africa)"/>
    <s v="Female"/>
    <s v="50 - 59"/>
    <s v="RMBSA Client Group Operations (Helen Wood)"/>
    <s v="South Africa"/>
    <s v="RMB"/>
    <s v="77800000CXD RMBSA Client Experience Design"/>
    <s v="Client Experience Design Head"/>
    <s v="6 - 10 Years"/>
    <s v="Client Experience and Value Management"/>
    <s v="4653955"/>
    <x v="305"/>
    <s v="Full Time Employee"/>
    <s v="African (South Africa)"/>
    <s v="Female"/>
    <s v="30 - 39"/>
    <s v="FNB Connect and Service Provider (Ashwin Gobind (Inherited))"/>
    <s v="South Africa"/>
    <s v="FNB"/>
    <s v="83100005537 FNB Connect Customer Support"/>
    <s v="User Experience Designer"/>
    <s v="6 - 10 Years"/>
    <s v="System Design and Administration"/>
    <s v="Create Mentorship Event for Busi Mdumisi with Mumbi Odame"/>
    <d v="2024-10-01T00:00:00"/>
    <d v="2025-03-31T00:00:00"/>
    <m/>
  </r>
  <r>
    <s v="4960351"/>
    <x v="101"/>
    <s v="I would like to achieve the following through mentorship broaden my organizational knowledge for a possible career transition. I need career guidance and furthermore, build relationships and network."/>
    <s v="Career Mentor"/>
    <s v="Full Time Employee"/>
    <s v="Indian (South Africa)"/>
    <s v="Female"/>
    <s v="40 - 49"/>
    <s v="FirstRand Legal (Virgil McLellan)"/>
    <s v="South Africa"/>
    <s v="FNB"/>
    <s v="39400001347 FirstRand Legal Litigation"/>
    <s v="Segment Litigation Head"/>
    <s v="6 - 10 Years"/>
    <s v="Legal"/>
    <s v="5503604"/>
    <x v="306"/>
    <s v="OBR With Fixed Pay"/>
    <s v="Coloured (South Africa)"/>
    <s v="Female"/>
    <s v="30 - 39"/>
    <s v="FirstRand Short Term Insurance (Onkgopotse Moeletsi)"/>
    <s v="South Africa"/>
    <s v="FNB"/>
    <s v="79900010214 ST PLOC Claims"/>
    <s v="Legal Advisor Law on Call"/>
    <s v="3 - 5 Years"/>
    <s v="Legal"/>
    <s v="Create Mentorship Event for Samantha Williams with Yasmin Kadwa"/>
    <d v="2024-08-30T00:00:00"/>
    <m/>
    <m/>
  </r>
  <r>
    <s v="4967305"/>
    <x v="201"/>
    <s v="I am interested in transitioning into the marketing field. This mentorship relationship would allow me to learn from someone who has been where I want to go, offering insights into the industry, networking opportunities, and advice on career development._x000a__x000a_I am hoping my mentee will provide guidance and support as I work towards my personal and professional goals."/>
    <s v="Career Mentor"/>
    <s v="Full Time Employee"/>
    <s v="African (South Africa)"/>
    <s v="Female"/>
    <s v="30 - 39"/>
    <s v="FNB Retail Marketing (Qaqamba Godlo)"/>
    <s v="South Africa"/>
    <s v="FNB"/>
    <s v="85500006598 FNB Retail Marketing"/>
    <s v="Marketing Portfolio Manager"/>
    <s v="6 - 10 Years"/>
    <s v="Marketing, Advertising and Media (incl. digital)"/>
    <s v="5310857"/>
    <x v="307"/>
    <m/>
    <s v="African (South Africa)"/>
    <s v="Female"/>
    <s v="30 - 39"/>
    <m/>
    <s v="South Africa"/>
    <m/>
    <m/>
    <m/>
    <s v="6 - 10 Years"/>
    <m/>
    <s v="Create Mentorship Event for Modjadji Mashego (Terminated) with Pontso Mohlotsane"/>
    <d v="2024-10-01T00:00:00"/>
    <m/>
    <m/>
  </r>
  <r>
    <s v="3384292"/>
    <x v="37"/>
    <s v="Good Day Mrs. Williams,_x000a__x000a_I would like to learn more and get exposure about the HR functions with the organization. I am specifically interested in areas such as Learning and Development as well as selection and recruitment. Other areas of interest are HR soft skills that one should have while working in the Human Resources field._x000a_I have only ever worked for FNB and have never put my qualification in the HR field to use and that is why I am very eager to learn. Having access to a Mentor will really broaden my horizon beyond what I have learned._x000a__x000a_www.linkedin.com/in/otilie-sameul-a80130137"/>
    <s v="Career Mentor"/>
    <s v="Full Time Employee"/>
    <s v="Racially disadvantaged (Namibia)"/>
    <s v="Female"/>
    <s v="50 - 59"/>
    <s v="FNB Namibia Limited (Wiann Mans)"/>
    <s v="Namibia"/>
    <s v="FNB"/>
    <s v="302031B9D555 FNB Namibia Human Capital"/>
    <s v="Learning and Development Manager"/>
    <s v="11 -15 Years"/>
    <s v="Experience Architecting"/>
    <s v="4874862"/>
    <x v="308"/>
    <s v="Full Time Employee"/>
    <s v="Racially disadvantaged (Namibia)"/>
    <s v="Female"/>
    <s v="30 - 39"/>
    <s v="FNB Namibia Limited (Elsoline Hendricks)"/>
    <s v="Namibia"/>
    <s v="FNB"/>
    <s v="302000016045 FNB Namibia Retail Operations Support"/>
    <s v="Client Support Specialist"/>
    <s v="6 - 10 Years"/>
    <s v="Fraud Risk"/>
    <s v="Create Mentorship Event for Otilie Sameul with Annastasia Williams"/>
    <d v="2024-10-01T00:00:00"/>
    <d v="2025-01-30T00:00:00"/>
    <m/>
  </r>
  <r>
    <s v="5319579"/>
    <x v="206"/>
    <s v="I would like you Mentor Me in order to develop and grow Learn New Things within the Business I have now worked for almost 5 years to be exact at Direct axis started in the Inbound Digicon/ Digital which Dissolved to end to end space I have Learnt a lot had Been Upskilled with Customer Services Income verifications and Communications I Believe that I need Growth Now I've In this department For long I need New challenges which will take me out of my comfort zone I have been applying on other roles as well to show case my skills I have applied on Some roles But I haven't been successful as yet_x000a_I have LQ 5 ( FAIS ) Matriculated in 2011"/>
    <s v="Career Mentor"/>
    <s v="Full Time Employee"/>
    <s v="Coloured (South Africa)"/>
    <s v="Female"/>
    <s v="40 - 49"/>
    <s v="FNB Personal Segment Advisory and Suites (Jillian April)"/>
    <s v="South Africa"/>
    <s v="FNB"/>
    <s v="97200011158 FNB PSAS Transact"/>
    <s v="Sales Advisor"/>
    <s v="6 - 10 Years"/>
    <s v="Direct Sales"/>
    <s v="5230772"/>
    <x v="309"/>
    <s v="Full Time Employee"/>
    <s v="African (South Africa)"/>
    <s v="Female"/>
    <s v="30 - 39"/>
    <s v="DirectAxis (Nafeesah Newman)"/>
    <s v="South Africa"/>
    <s v="FNB"/>
    <s v="99700015106 DA Business Unit 3"/>
    <s v="Sales Advisor"/>
    <s v="6 - 10 Years"/>
    <s v="Client Services Support and Delivery"/>
    <s v="Create Mentorship Event for Zimbini Mteza with Samira Harris"/>
    <d v="2024-09-26T00:00:00"/>
    <d v="2025-12-01T00:00:00"/>
    <m/>
  </r>
  <r>
    <s v="2024721"/>
    <x v="207"/>
    <s v="I would like to broaden my organizational knowledge and get guidance on the next step in my career. I would also appreciate assistance on relationship building and networking._x000a_LinkedIn Profile: https://www.linkedin.com/in/clement-molapo?lipi=urn%3Ali%3Apage%3Ad_flagship3_profile_view_base_contact_details%3Bxu%2BhRwGYTOK87DnDK%2FkuNw%3D%3D"/>
    <s v="Career Mentor"/>
    <s v="Full Time Employee"/>
    <s v="White (South Africa)"/>
    <s v="Male"/>
    <s v="50 - 59"/>
    <s v="FNB Commercial Chief Information Office (Ismail Sibda)"/>
    <s v="South Africa"/>
    <s v="FNB"/>
    <s v="34200007536 FNB Commercial CJP Exco"/>
    <s v="Business Unit Chief Information Officer"/>
    <s v="11 -15 Years"/>
    <s v="System Design and Administration"/>
    <s v="5604729"/>
    <x v="310"/>
    <s v="Full Time Employee"/>
    <s v="African (South Africa)"/>
    <s v="Male"/>
    <s v="20 - 29"/>
    <s v="FNB Commercial Core Juristic Platform (Chanel Meghrajh)"/>
    <s v="South Africa"/>
    <s v="FNB"/>
    <s v="34200009023 FNB Commercial CJP Credit Lending IT Architecture"/>
    <s v="Systems Analyst"/>
    <s v="3 - 5 Years"/>
    <s v="Business/Systems Analysis"/>
    <s v="Create Mentorship Event for Clement Molapo with Gary Frank"/>
    <d v="2024-10-07T00:00:00"/>
    <d v="2025-09-30T00:00:00"/>
    <m/>
  </r>
  <r>
    <s v="4911296"/>
    <x v="208"/>
    <s v="Hi Candice, I am a qualified Industrial Engineer, currently working in the bank as a team lead for Business Process Management in Core Banking Platform (CBP). I am looking to transition from Business process management and also get more exposure into what the rest of the business is about. I am keen to grow my career into a role that will afford me an opportunity to be exposed to strategy formulation and strategy execution, which I have had exposure to while I was in Management Consulting and I believe that Product Management could be a gateway for getting more exposure to strategy._x000a__x000a_Though I may not particularly have Product Management experience, I believe that the analytical, problem solving, solution focused, people and stakeholder management skills I have acquired throughout my career would enable me to bring a different perspective in the Product Management space. In my current role, I do engage with various stakeholders, of which I am aware is a key skill required in Product Management. I have also been exposed to working and presenting to Exco forums throughout my career._x000a_ _x000a_I would be delighted to be granted an opportunity to learn from you on what the role actually entails, and how to succeed in product management but also to truly ascertain whether this is indeed a role that will be suitable for me at this stage._x000a__x000a_I have also attached a link to my LinkedIn Profile (as suggested on this Workday application form) so that you can get to know a little bit more about me and my career thus far and I suppose also see if I would be a good fit as a mentee that you can mentor._x000a_ _x000a_I do hope to hear back from you soon._x000a__x000a_LinkedIn Profile Link:  www.linkedin.com/in/mbali-modjela-7a62435a"/>
    <s v="Career Mentor"/>
    <s v="Full Time Employee"/>
    <s v="White (South Africa)"/>
    <s v="Female"/>
    <s v="30 - 39"/>
    <s v="FNB Wealth and Investment Fiduciary Locan and Offshore (Aneesa Razack)"/>
    <s v="South Africa"/>
    <s v="FNB"/>
    <s v="85500004208 FNB Private Global Solutions"/>
    <s v="Product Head"/>
    <s v="6 - 10 Years"/>
    <s v="Product Management"/>
    <s v="5126703"/>
    <x v="311"/>
    <s v="Full Time Employee"/>
    <s v="African (South Africa)"/>
    <s v="Female"/>
    <s v="30 - 39"/>
    <s v="FNB Private Core Banking (Chanel Mudaly)"/>
    <s v="South Africa"/>
    <s v="FNB"/>
    <s v="41200004426 FNB Private Core Banking Credit Risk and Analytics"/>
    <s v="Product Manager"/>
    <s v="6 - 10 Years"/>
    <s v="Product Support, Development and Analysis"/>
    <s v="Create Mentorship Event for Mbali Modjela with Candice Lee Kondominas"/>
    <d v="2024-10-01T00:00:00"/>
    <d v="2025-04-30T00:00:00"/>
    <m/>
  </r>
  <r>
    <s v="5251443"/>
    <x v="209"/>
    <s v="I have 14 years banking experience, rooted in sales &amp; services and my long-term career goal is to be CX specialist in the financial industry because my passion is service. Therefore, customer service is very dear to my heart, and I am requesting you Ms Nicki to be my career mentor as I belief your skills and knowledge and wisdom will brightly guide and empower me with necessary skills in crafting unforgettable customer journey, expand my experience, build my confidence, advance my career position."/>
    <s v="Career Mentor"/>
    <s v="Full Time Employee"/>
    <s v="White (South Africa)"/>
    <s v="Female"/>
    <s v="50 - 59"/>
    <s v="FNB Personal Segment Advisory and Suites (Monique Smith)"/>
    <s v="South Africa"/>
    <s v="FNB"/>
    <s v="97200008195 PSAS CVP, Digital, CEX"/>
    <s v="Customer Experience Head"/>
    <s v="&gt;20 Years"/>
    <s v="Client Experience and Value Management"/>
    <s v="4768299"/>
    <x v="312"/>
    <s v="Full Time Employee"/>
    <s v="African (South Africa)"/>
    <s v="Female"/>
    <s v="40 - 49"/>
    <s v="FNB Commercial EFT (Gerjo Schreuder)"/>
    <s v="South Africa"/>
    <s v="FNB"/>
    <s v="68400003918 FNB Commercial EFT Product House Product"/>
    <s v="Product Specialist"/>
    <s v="6 - 10 Years"/>
    <s v="Product Support, Development and Analysis"/>
    <s v="Create Mentorship Event for Tumi Kgaswane with Nicki Hill"/>
    <d v="2024-10-01T00:00:00"/>
    <m/>
    <m/>
  </r>
  <r>
    <s v="5546885"/>
    <x v="210"/>
    <s v="I would like insight on different accounting and administration that the First Rand Group uses to better equip myself for career opportunities. My previous mentor resigned recently and I was left without all my objectives being met."/>
    <s v="Career Mentor"/>
    <s v="Full Time Employee"/>
    <s v="African (South Africa)"/>
    <s v="Male"/>
    <s v="30 - 39"/>
    <s v="FNB Commercial TxP (Phillip Mthimunye)"/>
    <s v="South Africa"/>
    <s v="FNB"/>
    <s v="39800003339 FNB Commercial TxP Finance"/>
    <s v="Financial Manager"/>
    <s v="3 - 5 Years"/>
    <s v="Financial Management"/>
    <s v="5578019"/>
    <x v="270"/>
    <m/>
    <s v="African (South Africa)"/>
    <s v="Female"/>
    <s v="20 - 29"/>
    <m/>
    <s v="South Africa"/>
    <m/>
    <m/>
    <m/>
    <s v="2 Years"/>
    <m/>
    <s v="Create Mentorship Event for Keamogetswe Sema (Terminated) with Mongezi Mahlangu"/>
    <d v="2024-09-30T00:00:00"/>
    <d v="2024-11-30T00:00:00"/>
    <m/>
  </r>
  <r>
    <s v="5464692"/>
    <x v="211"/>
    <m/>
    <s v="Career Mentor"/>
    <s v="Full Time Employee"/>
    <s v="African (South Africa)"/>
    <s v="Female"/>
    <s v="30 - 39"/>
    <s v="FNB eBucks (Raeesah Karriem)"/>
    <s v="South Africa"/>
    <s v="FNB"/>
    <s v="25600005675 FNB eBucks User Experience"/>
    <s v="Usability Interface Specialist"/>
    <s v="3 - 5 Years"/>
    <s v="System Design and Administration"/>
    <s v="4659678"/>
    <x v="313"/>
    <s v="Full Time Employee"/>
    <s v="African (South Africa)"/>
    <s v="Male"/>
    <s v="30 - 39"/>
    <s v="FNB Commercial Projects and Operations (Luvo Mabandla)"/>
    <s v="South Africa"/>
    <s v="FNB"/>
    <s v="34200009237 FNB Commercial Fulfilment Core"/>
    <s v="Quality Assurer"/>
    <s v="11 -15 Years"/>
    <s v="Quality Assurance"/>
    <s v="Create Mentorship Event for Sipho Maseko with Deseree Noxolo Gumede"/>
    <d v="2024-10-07T00:00:00"/>
    <m/>
    <m/>
  </r>
  <r>
    <s v="4873033"/>
    <x v="25"/>
    <s v="As a young man only new to the workspace, I believe it's ideal and vital for me to seek mentorship for an easier integration into the corporate industry. Furthermore, getting career guidance from an individual with more years of experience in the workplace would contribute to my personal growth, career wise. Below are other points that find this initiative purposeful;_x000a_Mentor within the bank can help teach the banking culture as a whole (As I am relatively new to the organization)_x000a_Leadership skills and development skills_x000a_Networking Skills_x000a_Problem solving and conflict resolutions within the workplace"/>
    <s v="Career Mentor"/>
    <s v="Full Time Employee"/>
    <m/>
    <s v="Male"/>
    <s v="30 - 39"/>
    <s v="FNB Botswana Business Support WesBank (Goeme Ganetsang)"/>
    <s v="Botswana"/>
    <s v="FNB"/>
    <s v="5010394500 FNB Botswana Business Support"/>
    <s v="Client Portfolio Analyst"/>
    <s v="6 - 10 Years"/>
    <s v="Client Services Support and Delivery"/>
    <s v="8870507"/>
    <x v="314"/>
    <m/>
    <s v="African (Botswana)"/>
    <s v="Male"/>
    <s v="20 - 29"/>
    <m/>
    <s v="Botswana"/>
    <m/>
    <m/>
    <m/>
    <s v="1 Year"/>
    <m/>
    <s v="Create Mentorship Event for Thato Thamage (Terminated) with Collen Tshebo"/>
    <d v="2024-10-07T00:00:00"/>
    <d v="2024-12-31T00:00:00"/>
    <m/>
  </r>
  <r>
    <s v="3575977"/>
    <x v="179"/>
    <s v="Mentorship on management career path"/>
    <s v="Career Mentor"/>
    <s v="Full Time Employee"/>
    <s v="Indian (South Africa)"/>
    <s v="Female"/>
    <s v="30 - 39"/>
    <s v="FNB Points of Presence (Pumezo Gulwa)"/>
    <s v="South Africa"/>
    <s v="FNB"/>
    <s v="7710441800 FNB POP Data Engineering and Insights"/>
    <s v="Business Analyst Manager"/>
    <s v="11 -15 Years"/>
    <s v="Process and Business Analysis"/>
    <s v="8872029"/>
    <x v="315"/>
    <s v="Full Time Employee"/>
    <s v="Indian (South Africa)"/>
    <s v="Female"/>
    <s v="30 - 39"/>
    <s v="Chief Digital Office Kernel (Patience Malumba)"/>
    <s v="South Africa"/>
    <s v="FNB"/>
    <s v="79000005193 CDO Kernel Decisioning IT"/>
    <s v="Systems Analyst"/>
    <s v="1 Year"/>
    <s v="Business/Systems Analysis"/>
    <s v="Close Mentorship Event for Kaahsifa Ahmed with Elvira Krishna_x000a__x000a_Create Mentorship Event for Kaahsifa Ahmed with Elvira Krishna"/>
    <d v="2024-10-04T00:00:00"/>
    <d v="2027-03-31T00:00:00"/>
    <s v="Mentoring Needs Fulfilled"/>
  </r>
  <r>
    <s v="3415546"/>
    <x v="212"/>
    <s v="As someone currently participating in the Khula Leadership Program, I have been working diligently on developing my leadership skills and nurturing strong relationships with my mentors._x000a_This program has been invaluable in helping me grow, both professionally and personally._x000a__x000a_Joining the Mentorship Program aligns with my ongoing journey of self-development. I believe that the guidance and support offered through the program will not only help me refine my leadership capabilities but also broaden my perspective in areas where I seek further growth. I understand the importance of professionalism and maintaining a positive relationship with mentors, both of which I value deeply._x000a__x000a_Being part of the Mentorship Program would provide an excellent opportunity for me to receive structured feedback, enhance my problem-solving skills, and gain insights from experienced professionals who can help me navigate the challenges and opportunities in my career. It would also allow me to contribute meaningfully to the organization by becoming more effective in my role."/>
    <s v="Leadership Mentor"/>
    <s v="Full Time Employee"/>
    <s v="African (South Africa)"/>
    <s v="Female"/>
    <s v="40 - 49"/>
    <s v="FNB Commercial Sales Gauteng North (Selvan Govender)"/>
    <s v="South Africa"/>
    <s v="FNB"/>
    <s v="34200006532 FNB Commercial Sales Gauteng East 10 to 60M"/>
    <s v="Sales Head"/>
    <s v="16 - 20 Years"/>
    <s v="Direct Sales"/>
    <s v="4791789"/>
    <x v="316"/>
    <m/>
    <s v="African (South Africa)"/>
    <s v="Female"/>
    <s v="40 - 49"/>
    <m/>
    <s v="South Africa"/>
    <m/>
    <m/>
    <m/>
    <s v="6 - 10 Years"/>
    <m/>
    <s v="Create Mentorship Event for Noluthando Ndlovu (Terminated) with Nondumiso Motlhala"/>
    <d v="2024-10-14T00:00:00"/>
    <d v="2025-12-20T00:00:00"/>
    <m/>
  </r>
  <r>
    <s v="2874792"/>
    <x v="96"/>
    <m/>
    <s v="Career Mentor"/>
    <s v="Full Time Employee"/>
    <s v="African (South Africa)"/>
    <s v="Male"/>
    <s v="50 - 59"/>
    <s v="CDO Infrastructure and Security Services (Henry Rehne)"/>
    <s v="South Africa"/>
    <s v="FNB"/>
    <s v="20700008751 CDO Networks and Security Employee Network Access"/>
    <s v="Solutions Architect"/>
    <s v="&gt;20 Years"/>
    <s v="Architecture"/>
    <s v="4814762"/>
    <x v="317"/>
    <s v="Full Time Employee"/>
    <s v="Coloured (South Africa)"/>
    <s v="Male"/>
    <s v="30 - 39"/>
    <s v="FNB Points of Presence (Ayanda Ngema)"/>
    <s v="South Africa"/>
    <s v="FNB"/>
    <s v="38100000930 FNB POP SSD GN-Main"/>
    <s v="Business Support Specialist"/>
    <s v="11 -15 Years"/>
    <s v="Operations"/>
    <s v="Create Mentorship Event for Dean Sauls with Sipho Khumalo"/>
    <d v="2024-10-23T00:00:00"/>
    <d v="2024-12-03T00:00:00"/>
    <m/>
  </r>
  <r>
    <s v="4735897"/>
    <x v="213"/>
    <s v="As per the RMB credit mentoring program."/>
    <s v="Technical Mentor"/>
    <s v="Full Time Employee"/>
    <s v="White (South Africa)"/>
    <s v="Male"/>
    <s v="30 - 39"/>
    <s v="RMBSA IBD Legal, Risk and Compliance (Werner Van Oudenhove De St Gery)"/>
    <s v="South Africa"/>
    <s v="RMB"/>
    <s v="77800000SFC RMBSA IBD Structured Credit Analysts"/>
    <s v="Credit Head"/>
    <s v="11 -15 Years"/>
    <s v="Credit Risk"/>
    <s v="3436470"/>
    <x v="318"/>
    <s v="Full Time Employee"/>
    <s v="African (South Africa)"/>
    <s v="Male"/>
    <s v="50 - 59"/>
    <s v="RMBSA TTS Credit Analysts (Tokollo Matsapola)"/>
    <s v="South Africa"/>
    <s v="RMB"/>
    <s v="77800000SFA RMBSA IBD Credit Analysts"/>
    <s v="Credit Analyst"/>
    <s v="3 - 5 Years"/>
    <s v="Credit Risk"/>
    <s v="Create Mentorship Event for Doug Mundopa with Bertus Huisman"/>
    <d v="2024-10-07T00:00:00"/>
    <d v="2025-10-31T00:00:00"/>
    <m/>
  </r>
  <r>
    <s v="4535286"/>
    <x v="35"/>
    <m/>
    <s v="Career Mentor"/>
    <s v="Full Time Employee"/>
    <s v="White (South Africa)"/>
    <s v="Female"/>
    <s v="50 - 59"/>
    <s v="FNB Commercial Analytics Insights Data (Patrick Motshweni)"/>
    <s v="South Africa"/>
    <s v="FNB"/>
    <s v="34300005518 FNB Commercial Data Office"/>
    <s v="Information Architect Head"/>
    <s v="11 -15 Years"/>
    <s v="Data Management, Maintenance and Security"/>
    <s v="5508576"/>
    <x v="319"/>
    <s v="Full Time Employee"/>
    <s v="African (South Africa)"/>
    <s v="Male"/>
    <s v="40 - 49"/>
    <s v="FNB Retail CDAO (Carmelita Adams)"/>
    <s v="South Africa"/>
    <s v="FNB"/>
    <s v="5910151530 FNB Retail CDAO DA Marketing"/>
    <s v="Market Research Analyst"/>
    <s v="3 - 5 Years"/>
    <s v="Market Research and Analytics"/>
    <s v="Create Mentorship Event for Tumelo Nkwane with Athena Botha"/>
    <d v="2024-10-31T00:00:00"/>
    <m/>
    <m/>
  </r>
  <r>
    <s v="2694972"/>
    <x v="214"/>
    <s v="I would like to develop my leadership skills in preparation for my next role. What I would like to get out of this mentorship is:_x000a_An understanding of what leadership looks like at corporate level_x000a__x000a_Career guidance_x000a__x000a_Develop leadership skills_x000a__x000a_Manage a career transition_x000a__x000a_Relationship building and networking_x000a__x000a__x000a_LinkedIn profile: Khathutshelo Shaun Matidza | LinkedIn"/>
    <s v="Leadership Mentor"/>
    <s v="Full Time Employee"/>
    <s v="White (South Africa)"/>
    <s v="Male"/>
    <s v="40 - 49"/>
    <s v="FNB Retail Cash Investments Chief Executive Office (Himal Parbhoo)"/>
    <s v="South Africa"/>
    <s v="FNB"/>
    <s v="65100004404 FNB Premium Cash Investments Development"/>
    <s v="Business Development Head"/>
    <s v="&gt;20 Years"/>
    <s v="Business Development"/>
    <s v="5234824"/>
    <x v="320"/>
    <s v="Full Time Employee"/>
    <s v="African (South Africa)"/>
    <s v="Male"/>
    <s v="30 - 39"/>
    <s v="RMBSA Global Markets Technology PAQT Team C (Moeketsi Msimango)"/>
    <s v="South Africa"/>
    <s v="RMB"/>
    <s v="77800000BTT RMBSA Global Markets Technology PAQT"/>
    <s v="Developer"/>
    <s v="1 Year"/>
    <s v="IT Development"/>
    <s v="Create Mentorship Event for Khathutshelo Shaun Matidza with Jason Nader"/>
    <d v="2024-11-01T00:00:00"/>
    <d v="2025-09-30T00:00:00"/>
    <m/>
  </r>
  <r>
    <s v="4533151"/>
    <x v="215"/>
    <s v="Mentorships as communicated."/>
    <s v="Technical Mentor"/>
    <s v="Full Time Employee"/>
    <s v="White (South Africa)"/>
    <s v="Male"/>
    <s v="50 - 59"/>
    <s v="RMBSA LRC Credit Risk Management (Thabani Zungu)"/>
    <s v="South Africa"/>
    <s v="RMB"/>
    <s v="77800000CRD RMBSA Credit Risk South Africa Team"/>
    <s v="Workout and Debt Restructuring Specialist"/>
    <s v="16 - 20 Years"/>
    <s v="Collections and Recoveries"/>
    <s v="4889320"/>
    <x v="321"/>
    <m/>
    <s v="White (South Africa)"/>
    <s v="Male"/>
    <s v="50 - 59"/>
    <m/>
    <s v="South Africa"/>
    <m/>
    <m/>
    <m/>
    <s v="6 - 10 Years"/>
    <m/>
    <s v="Create Mentorship Event for Jean Erasmus (Terminated) with Jean Du Plessis"/>
    <d v="2024-10-07T00:00:00"/>
    <d v="2025-10-06T00:00:00"/>
    <m/>
  </r>
  <r>
    <s v="5275032"/>
    <x v="205"/>
    <s v="I would like to unpack my current skills set and explore opportunities to enhance my skills and explore new career paths within the group."/>
    <s v="Career Mentor"/>
    <s v="Full Time Employee"/>
    <s v="African (South Africa)"/>
    <s v="Female"/>
    <s v="50 - 59"/>
    <s v="RMBSA Client Group Operations (Helen Wood)"/>
    <s v="South Africa"/>
    <s v="RMB"/>
    <s v="77800000CXD RMBSA Client Experience Design"/>
    <s v="Client Experience Design Head"/>
    <s v="6 - 10 Years"/>
    <s v="Client Experience and Value Management"/>
    <s v="4710169"/>
    <x v="322"/>
    <s v="Full Time Employee"/>
    <s v="Coloured (South Africa)"/>
    <s v="Female"/>
    <s v="40 - 49"/>
    <s v="RMBSA Global Markets Operations Custody Client Services (Trenton Booth)"/>
    <s v="South Africa"/>
    <s v="RMB"/>
    <s v="77800000OPV RMBSA Global Markets Operations Custody Client Services"/>
    <s v="Custody Client Service Specialist"/>
    <s v="11 -15 Years"/>
    <s v="Client Services Support and Delivery"/>
    <s v="Create Mentorship Event for Lizanne Philander with Mumbi Odame"/>
    <d v="2024-11-01T00:00:00"/>
    <d v="2025-02-28T00:00:00"/>
    <m/>
  </r>
  <r>
    <s v="3004473"/>
    <x v="216"/>
    <s v="To grow my skills and knowledge in Risk Management as part of development for my next role"/>
    <s v="Career Mentor"/>
    <s v="Full Time Employee"/>
    <s v="Coloured (South Africa)"/>
    <s v="Male"/>
    <s v="40 - 49"/>
    <s v="FNB Retail COO (Sthokozile Zwezwe (Inherited))"/>
    <s v="South Africa"/>
    <s v="FNB"/>
    <s v="69000015126 FNB COO LRC"/>
    <s v="Risk Manager"/>
    <s v="16 - 20 Years"/>
    <s v="Operational Risk"/>
    <s v="3596826"/>
    <x v="323"/>
    <s v="Full Time Employee"/>
    <s v="African (South Africa)"/>
    <s v="Female"/>
    <s v="30 - 39"/>
    <s v="FNB Fiduciary (Nqobile Gigaba)"/>
    <s v="South Africa"/>
    <s v="FNB"/>
    <s v="54100008438 FNB WI Fiduciary Deceased Reporting DIV"/>
    <s v="Quality Assurance Manager"/>
    <s v="11 -15 Years"/>
    <s v="Quality Assurance"/>
    <s v="Create Mentorship Event for Tumelo Thoka with Raymond Tyler"/>
    <d v="2024-02-09T00:00:00"/>
    <m/>
    <m/>
  </r>
  <r>
    <s v="3830810"/>
    <x v="217"/>
    <s v="Career guidance"/>
    <s v="Career Mentor"/>
    <s v="Full Time Employee"/>
    <s v="Indian (South Africa)"/>
    <s v="Female"/>
    <s v="30 - 39"/>
    <s v="FNB HSL (Vasna Ramdass)"/>
    <s v="South Africa"/>
    <s v="FNB"/>
    <s v="38500008977 HSL. Product Insurance and CVM"/>
    <s v="Document Specialist"/>
    <s v="11 -15 Years"/>
    <s v="Operations"/>
    <s v="5514355"/>
    <x v="324"/>
    <s v="Full Time Employee"/>
    <s v="Indian (South Africa)"/>
    <s v="Female"/>
    <s v="20 - 29"/>
    <s v="FirstRand Short Term Insurance (Alan Pullin)"/>
    <s v="South Africa"/>
    <s v="FNB"/>
    <s v="79900010216 ST Comp claims"/>
    <s v="Controller"/>
    <s v="3 - 5 Years"/>
    <s v="Operations"/>
    <s v="Create Mentorship Event for Makailia Manthary with Aneshree Pather"/>
    <d v="2024-10-14T00:00:00"/>
    <m/>
    <m/>
  </r>
  <r>
    <s v="3527328"/>
    <x v="218"/>
    <s v="RMB Credit mentorship programme"/>
    <s v="Technical Mentor"/>
    <s v="Full Time Employee"/>
    <s v="White (South Africa)"/>
    <s v="Male"/>
    <s v="50 - 59"/>
    <s v="RMBSA TTS LRC Credit Risk Management (Bertus Huisman)"/>
    <s v="South Africa"/>
    <s v="RMB"/>
    <s v="77800000SFA RMBSA IBD Credit Analysts"/>
    <s v="Credit Team Lead"/>
    <s v="11 -15 Years"/>
    <s v="Credit Risk"/>
    <s v="8870268"/>
    <x v="325"/>
    <m/>
    <s v="African (South Africa)"/>
    <s v="Male"/>
    <s v="20 - 29"/>
    <m/>
    <s v="South Africa"/>
    <m/>
    <m/>
    <m/>
    <s v="1 Year"/>
    <m/>
    <s v="Create Mentorship Event for Tshilidzi Loyd Mufamadi (Terminated) with Leon Sharfman"/>
    <d v="2024-10-07T00:00:00"/>
    <m/>
    <m/>
  </r>
  <r>
    <s v="3458652"/>
    <x v="219"/>
    <s v="For purposes of the RMB credit program"/>
    <s v="Technical Mentor"/>
    <s v="Full Time Employee"/>
    <s v="African (South Africa)"/>
    <s v="Female"/>
    <s v="40 - 49"/>
    <s v="RMBSA IBD Legal, Risk and Compliance (Werner Van Oudenhove De St Gery)"/>
    <s v="South Africa"/>
    <s v="RMB"/>
    <s v="77800000SFC RMBSA IBD Structured Credit Analysts"/>
    <s v="Credit Head"/>
    <s v="16 - 20 Years"/>
    <s v="Credit Risk"/>
    <s v="8873260"/>
    <x v="326"/>
    <s v="Full Time Employee"/>
    <s v="Coloured (South Africa)"/>
    <s v="Female"/>
    <s v="30 - 39"/>
    <s v="RMBSA TTS Credit Analysts (Tokollo Matsapola)"/>
    <s v="South Africa"/>
    <s v="RMB"/>
    <s v="77800000SFA RMBSA IBD Credit Analysts"/>
    <s v="Credit Analyst"/>
    <s v="1 Year"/>
    <s v="Credit Risk"/>
    <s v="Create Mentorship Event for Faith Duff with Thembi Ngobeni"/>
    <d v="2024-10-09T00:00:00"/>
    <d v="2025-10-31T00:00:00"/>
    <m/>
  </r>
  <r>
    <s v="3434591"/>
    <x v="220"/>
    <s v="I am a person of many interests. One of them being a system administrator. I have worked at a web hosting company before so I do have an understanding of the kind of work is done (at least within that industry) but I the problem I have is the practical experience. At some point, I created a virtual machine on my home computer with Linux installed but I always felt that it never gave me what I was looking for which is to be able to work with the systems of the business as the configuration and setups are completely different._x000a_I have an understanding of Python as well and currently practicing at home when I can (still beginner). I would like to improve both skills in order to get a career in that field."/>
    <s v="Career Mentor"/>
    <s v="Full Time Employee"/>
    <s v="Indian (South Africa)"/>
    <s v="Male"/>
    <s v="40 - 49"/>
    <s v="FNB Commercial Core Juristic Platform (Dustin Blyth)"/>
    <s v="South Africa"/>
    <s v="FNB"/>
    <s v="34200009026 FNB Commercial CJP IT Development"/>
    <s v="Software Architect"/>
    <s v="11 -15 Years"/>
    <s v="Architecture"/>
    <s v="5578485"/>
    <x v="327"/>
    <s v="Full Time Employee"/>
    <s v="Indian (South Africa)"/>
    <s v="Male"/>
    <s v="30 - 39"/>
    <s v="DirectAxis (Ulrich Van Wijngaarden)"/>
    <s v="South Africa"/>
    <s v="FNB"/>
    <s v="99700015108 DA Scripting"/>
    <s v="User Experience Writer"/>
    <s v="3 - 5 Years"/>
    <s v="Process and Business Analysis"/>
    <s v="Close Mentorship Event for Zaheer Badroodien with Riaz Shaik_x000a__x000a_Create Mentorship Event for Zaheer Badroodien with Riaz Shaik"/>
    <d v="2024-11-01T00:00:00"/>
    <d v="2025-03-01T00:00:00"/>
    <s v="Mentee Withdrawal - Availability"/>
  </r>
  <r>
    <s v="3955125"/>
    <x v="221"/>
    <s v="Technical Up-Skillin"/>
    <s v="Technical Mentor"/>
    <s v="Full Time Employee"/>
    <s v="Indian (South Africa)"/>
    <s v="Male"/>
    <s v="40 - 49"/>
    <s v="CDO Infrastructure and Security Services (Maryke Bester)"/>
    <s v="South Africa"/>
    <s v="FNB"/>
    <s v="20700002565 CDO Infrastructure and Security Services Containers"/>
    <s v="Systems Architect"/>
    <s v="11 -15 Years"/>
    <s v="Architecture"/>
    <s v="5348366"/>
    <x v="328"/>
    <s v="Full Time Employee"/>
    <s v="Indian (South Africa)"/>
    <s v="Male"/>
    <s v="30 - 39"/>
    <s v="FNB Core Banking Platform (Megan Schaffers)"/>
    <s v="South Africa"/>
    <s v="FNB"/>
    <s v="59600007235 FNB Personal and Private IT Home Loans IT Systems"/>
    <s v="Systems Administrator"/>
    <s v="3 - 5 Years"/>
    <s v="System Design and Administration"/>
    <s v="Create Mentorship Event for Dustan Bedhasie with Shaun Rampersad"/>
    <d v="2024-09-20T00:00:00"/>
    <d v="2025-02-20T00:00:00"/>
    <m/>
  </r>
  <r>
    <s v="5391458"/>
    <x v="222"/>
    <s v="I am looking to get into a role that that will allow me to detect, resolve and mitigate against organizational inefficiencies."/>
    <s v="Workplace  Buddy"/>
    <s v="Full Time Employee"/>
    <s v="African (South Africa)"/>
    <s v="Male"/>
    <s v="30 - 39"/>
    <s v="FNB Commercial Merchant Services (Ashley Jacobs)"/>
    <s v="South Africa"/>
    <s v="FNB"/>
    <s v="22800008224 FNB Commercial Merchant Services Projects"/>
    <s v="Business Analyst"/>
    <s v="3 - 5 Years"/>
    <s v="Process and Business Analysis"/>
    <s v="5512026"/>
    <x v="329"/>
    <s v="OBR With Fixed Pay"/>
    <s v="African (South Africa)"/>
    <s v="Female"/>
    <s v="30 - 39"/>
    <s v="FNB Wealth (Katlego Nkosi)"/>
    <s v="South Africa"/>
    <s v="FNB"/>
    <s v="34100003208 PB&amp;A Tshwane Wealth NE"/>
    <s v="Banking Advisor Wealth"/>
    <s v="3 - 5 Years"/>
    <s v="Client Relationship Management"/>
    <s v="Create Mentorship Event for Katlego Maphutha with Cuthbert (Sedutla) Sekgotodi"/>
    <d v="2024-11-01T00:00:00"/>
    <m/>
    <m/>
  </r>
  <r>
    <s v="4735897"/>
    <x v="213"/>
    <s v="As per RMB Credit Mentor programme"/>
    <s v="Technical Mentor"/>
    <s v="Full Time Employee"/>
    <s v="White (South Africa)"/>
    <s v="Male"/>
    <s v="30 - 39"/>
    <s v="RMBSA IBD Legal, Risk and Compliance (Werner Van Oudenhove De St Gery)"/>
    <s v="South Africa"/>
    <s v="RMB"/>
    <s v="77800000SFC RMBSA IBD Structured Credit Analysts"/>
    <s v="Credit Head"/>
    <s v="11 -15 Years"/>
    <s v="Credit Risk"/>
    <s v="5335280"/>
    <x v="330"/>
    <s v="Full Time Employee"/>
    <s v="Indian (South Africa)"/>
    <s v="Female"/>
    <s v="30 - 39"/>
    <s v="RMBSA TTS LRC Credit Risk Management (Bertus Huisman)"/>
    <s v="South Africa"/>
    <s v="RMB"/>
    <s v="77800000SFA RMBSA IBD Credit Analysts"/>
    <s v="Credit Team Lead"/>
    <s v="6 - 10 Years"/>
    <s v="Credit Risk"/>
    <s v="Create Mentorship Event for Bavanisha Varaden with Bertus Huisman"/>
    <d v="2024-10-16T00:00:00"/>
    <d v="2025-12-31T00:00:00"/>
    <m/>
  </r>
  <r>
    <s v="4527798"/>
    <x v="223"/>
    <s v="RMB Credit mentorship programme"/>
    <s v="Z2-Programme Mentor (HC Managed)"/>
    <s v="Full Time Employee"/>
    <s v="White (South Africa)"/>
    <s v="Male"/>
    <s v="40 - 49"/>
    <s v="RMBSA LRC Credit Risk Management (Noah Ngcobo)"/>
    <s v="South Africa"/>
    <s v="RMB"/>
    <s v="77800000GCP RMBSA Broader Africa Credit Risk Management Team"/>
    <s v="Credit Origination Head Broader Africa"/>
    <s v="11 -15 Years"/>
    <s v="Credit Risk"/>
    <s v="5632838"/>
    <x v="331"/>
    <m/>
    <s v="African (South Africa)"/>
    <s v="Male"/>
    <s v="30 - 39"/>
    <m/>
    <s v="South Africa"/>
    <m/>
    <m/>
    <m/>
    <s v="1 Year"/>
    <m/>
    <s v="Create Mentorship Event for Desmond Medupe (Terminated) with Handri Kymdell"/>
    <d v="2024-10-01T00:00:00"/>
    <d v="2025-10-01T00:00:00"/>
    <m/>
  </r>
  <r>
    <s v="4519523"/>
    <x v="224"/>
    <s v="RMB Credit mentoring programme"/>
    <s v="Z2-Programme Mentor (HC Managed)"/>
    <s v="Full Time Employee"/>
    <s v="White (South Africa)"/>
    <s v="Male"/>
    <s v="50 - 59"/>
    <s v="RMBSA LRC Credit Risk Management (Thabani Zungu)"/>
    <s v="South Africa"/>
    <s v="RMB"/>
    <s v="77800000SFC RMBSA IBD Structured Credit Analysts"/>
    <s v="Credit Executive Sponsor"/>
    <s v="&gt;20 Years"/>
    <s v="Credit Risk"/>
    <s v="5100038"/>
    <x v="332"/>
    <s v="Full Time Employee"/>
    <s v="African (South Africa)"/>
    <s v="Female"/>
    <s v="30 - 39"/>
    <s v="FNB Chief Financial Office (Gideon Joubert)"/>
    <s v="South Africa"/>
    <s v="FNB"/>
    <s v="39400001969 FNB Finance and Support Executive Support"/>
    <s v="Functional Business Planning and Delivery Specialist"/>
    <s v="6 - 10 Years"/>
    <s v="Operations"/>
    <s v="Create Mentorship Event for Snazo Maepane with Willy Robinson"/>
    <d v="2024-10-14T00:00:00"/>
    <d v="2025-09-30T00:00:00"/>
    <m/>
  </r>
  <r>
    <s v="3455920"/>
    <x v="225"/>
    <s v="RMB Credit mentorship programme"/>
    <s v="Z2-Programme Mentor (HC Managed)"/>
    <s v="Full Time Employee"/>
    <s v="African (South Africa)"/>
    <s v="Female"/>
    <s v="50 - 59"/>
    <s v="RMBSA LRC Credit Risk Management (Thabani Zungu)"/>
    <s v="South Africa"/>
    <s v="RMB"/>
    <s v="77800000BCR RMBSA Global Markets Credit Risk"/>
    <s v="Credit Executive Sponsor"/>
    <s v="16 - 20 Years"/>
    <s v="Credit Risk"/>
    <s v="5640555"/>
    <x v="333"/>
    <s v="Full Time Employee"/>
    <s v="African (South Africa)"/>
    <s v="Female"/>
    <s v="30 - 39"/>
    <s v="RMBSA TTS Credit Analysts (Tokollo Matsapola)"/>
    <s v="South Africa"/>
    <s v="RMB"/>
    <s v="77800000SFA RMBSA IBD Credit Analysts"/>
    <s v="Credit Analyst"/>
    <s v="2 Years"/>
    <s v="Credit Risk"/>
    <s v="Create Mentorship Event for Morathi Ramokgopa with Mmajobo Tsholo"/>
    <d v="2024-10-01T00:00:00"/>
    <d v="2025-10-01T00:00:00"/>
    <m/>
  </r>
  <r>
    <s v="4526058"/>
    <x v="226"/>
    <s v="RMB Credit mentoring programme"/>
    <s v="Z2-Programme Mentor (HC Managed)"/>
    <s v="Full Time Employee"/>
    <s v="White (South Africa)"/>
    <s v="Male"/>
    <s v="50 - 59"/>
    <s v="RMBSA LRC Credit Risk Management (Thabani Zungu)"/>
    <s v="South Africa"/>
    <s v="RMB"/>
    <s v="77800000CRD RMBSA Credit Risk South Africa Team"/>
    <s v="Credit Executive"/>
    <s v="16 - 20 Years"/>
    <s v="Credit Risk"/>
    <s v="5389984"/>
    <x v="334"/>
    <s v="Full Time Employee"/>
    <s v="African (South Africa)"/>
    <s v="Female"/>
    <s v="30 - 39"/>
    <s v="RMBSA TTS Trade and Working Capital Transactors (Francois Van Der Plas)"/>
    <s v="South Africa"/>
    <s v="RMB"/>
    <s v="77800000TAW RMBSA TTS Trade and Working Capital"/>
    <s v="Transactor"/>
    <s v="3 - 5 Years"/>
    <s v="Investment Banking"/>
    <s v="Create Mentorship Event for Precious Monareng with Wilhelm Pauer"/>
    <d v="2024-10-01T00:00:00"/>
    <d v="2025-10-01T00:00:00"/>
    <m/>
  </r>
  <r>
    <s v="3259803"/>
    <x v="227"/>
    <s v="RMB Credit mentorship programme"/>
    <s v="Z2-Programme Mentor (HC Managed)"/>
    <s v="Full Time Employee"/>
    <s v="White (South Africa)"/>
    <s v="Male"/>
    <s v="40 - 49"/>
    <s v="RMBSA LRC Credit Risk Management (Noah Ngcobo)"/>
    <s v="South Africa"/>
    <s v="RMB"/>
    <s v="77800000GCP RMBSA Broader Africa Credit Risk Management Team"/>
    <s v="Credit Head"/>
    <s v="16 - 20 Years"/>
    <s v="Credit Risk"/>
    <s v="5091853"/>
    <x v="335"/>
    <m/>
    <s v="African (South Africa)"/>
    <s v="Female"/>
    <s v="30 - 39"/>
    <m/>
    <s v="Mozambique"/>
    <m/>
    <m/>
    <m/>
    <s v="2 Years"/>
    <m/>
    <s v="Create Mentorship Event for Andrea Andre (Terminated) with Jan Botha"/>
    <d v="2024-10-01T00:00:00"/>
    <d v="2024-10-01T00:00:00"/>
    <m/>
  </r>
  <r>
    <s v="4521250"/>
    <x v="228"/>
    <s v="RMB Credit mentoring programme"/>
    <s v="Z2-Programme Mentor (HC Managed)"/>
    <s v="Full Time Employee"/>
    <s v="White (South Africa)"/>
    <s v="Male"/>
    <s v="50 - 59"/>
    <s v="RMBSA LRC Credit Risk Management (Thabani Zungu)"/>
    <s v="South Africa"/>
    <s v="RMB"/>
    <s v="77800000SFC RMBSA IBD Structured Credit Analysts"/>
    <s v="Credit Executive Sponsor"/>
    <s v="&gt;20 Years"/>
    <s v="Credit Risk"/>
    <s v="5335795"/>
    <x v="336"/>
    <s v="Full Time Employee"/>
    <s v="White (South Africa)"/>
    <s v="Male"/>
    <s v="30 - 39"/>
    <s v="RMBSA TTS Credit Analysts (Simone Burger)"/>
    <s v="South Africa"/>
    <s v="RMB"/>
    <s v="77800000SFA RMBSA IBD Credit Analysts"/>
    <s v="Credit Analyst"/>
    <s v="6 - 10 Years"/>
    <s v="Credit Risk"/>
    <s v="Create Mentorship Event for Michael Mills with Terence O'Neill"/>
    <d v="2024-10-01T00:00:00"/>
    <d v="2025-10-01T00:00:00"/>
    <m/>
  </r>
  <r>
    <s v="2694972"/>
    <x v="214"/>
    <s v="Career Interests_x000a_Leadership has been a keen interest of mine since I started my MBA program. I look forward to a more challenging and strategic role with a long-term view and implementation plan. Business Development within the retail space has been a good building block to exercise some managerial expertise and I would love to expand that expertise to include people management, organizational strategy and planning."/>
    <s v="Career Mentor"/>
    <s v="Full Time Employee"/>
    <s v="White (South Africa)"/>
    <s v="Male"/>
    <s v="40 - 49"/>
    <s v="FNB Retail Cash Investments Chief Executive Office (Himal Parbhoo)"/>
    <s v="South Africa"/>
    <s v="FNB"/>
    <s v="65100004404 FNB Premium Cash Investments Development"/>
    <s v="Business Development Head"/>
    <s v="&gt;20 Years"/>
    <s v="Business Development"/>
    <s v="4975189"/>
    <x v="337"/>
    <s v="Full Time Employee"/>
    <s v="African (South Africa)"/>
    <s v="Female"/>
    <s v="30 - 39"/>
    <s v="FR Life Assurance (Adriaan Van Der Merwe)"/>
    <s v="South Africa"/>
    <s v="FNB"/>
    <s v="61500010304 FR Insure and Invest Distribution"/>
    <s v="Business Development Manager"/>
    <s v="3 - 5 Years"/>
    <s v="Business Development"/>
    <s v="Create Mentorship Event for Yonela Mgwedli with Jason Nader"/>
    <d v="2025-01-01T00:00:00"/>
    <m/>
    <m/>
  </r>
  <r>
    <s v="4519523"/>
    <x v="224"/>
    <s v="RMB Credit mentoring programme"/>
    <s v="Z2-Programme Mentor (HC Managed)"/>
    <s v="Full Time Employee"/>
    <s v="White (South Africa)"/>
    <s v="Male"/>
    <s v="50 - 59"/>
    <s v="RMBSA LRC Credit Risk Management (Thabani Zungu)"/>
    <s v="South Africa"/>
    <s v="RMB"/>
    <s v="77800000SFC RMBSA IBD Structured Credit Analysts"/>
    <s v="Credit Executive Sponsor"/>
    <s v="&gt;20 Years"/>
    <s v="Credit Risk"/>
    <s v="5493862"/>
    <x v="338"/>
    <s v="Full Time Employee"/>
    <s v="African (South Africa)"/>
    <s v="Male"/>
    <s v="20 - 29"/>
    <s v="RMBSA IBD Credit Analysts (Danny Ma)"/>
    <s v="South Africa"/>
    <s v="RMB"/>
    <s v="77800000SFA RMBSA IBD Credit Analysts"/>
    <s v="Credit Analyst"/>
    <s v="2 Years"/>
    <s v="Credit Risk"/>
    <s v="Create Mentorship Event for Mangi Mahlaba with Willy Robinson"/>
    <d v="2024-10-14T00:00:00"/>
    <d v="2025-09-30T00:00:00"/>
    <m/>
  </r>
  <r>
    <s v="4521250"/>
    <x v="228"/>
    <s v="RMB Credit mentoring programme"/>
    <s v="Z2-Programme Mentor (HC Managed)"/>
    <s v="Full Time Employee"/>
    <s v="White (South Africa)"/>
    <s v="Male"/>
    <s v="50 - 59"/>
    <s v="RMBSA LRC Credit Risk Management (Thabani Zungu)"/>
    <s v="South Africa"/>
    <s v="RMB"/>
    <s v="77800000SFC RMBSA IBD Structured Credit Analysts"/>
    <s v="Credit Executive Sponsor"/>
    <s v="&gt;20 Years"/>
    <s v="Credit Risk"/>
    <s v="5400430"/>
    <x v="339"/>
    <m/>
    <s v="African (South Africa)"/>
    <s v="Female"/>
    <s v="30 - 39"/>
    <m/>
    <s v="South Africa"/>
    <m/>
    <m/>
    <m/>
    <s v="3 - 5 Years"/>
    <m/>
    <s v="Create Mentorship Event for Maite Leshabane (Terminated) with Terence O'Neill"/>
    <d v="2024-10-01T00:00:00"/>
    <d v="2025-10-01T00:00:00"/>
    <m/>
  </r>
  <r>
    <s v="4516850"/>
    <x v="229"/>
    <m/>
    <s v="Z2-Programme Mentor (HC Managed)"/>
    <s v="Full Time Employee"/>
    <s v="White (South Africa)"/>
    <s v="Male"/>
    <s v="50 - 59"/>
    <s v="RMBSA Investment Banking Division (IBD) (Ashwin Lakhan)"/>
    <s v="South Africa"/>
    <s v="RMB"/>
    <s v="77800000EXC RMBSA IBD Executives"/>
    <s v="Chief Risk Officer Sponsor and IBD"/>
    <s v="&gt;20 Years"/>
    <s v="Operational Risk"/>
    <s v="4874129"/>
    <x v="340"/>
    <s v="Full Time Employee"/>
    <s v="Coloured (South Africa)"/>
    <s v="Male"/>
    <s v="30 - 39"/>
    <s v="RMBSA IBD LRC Credit Risk Management (Thembi Ngobeni)"/>
    <s v="South Africa"/>
    <s v="RMB"/>
    <s v="77800000SFA RMBSA IBD Credit Analysts"/>
    <s v="Credit Team Lead"/>
    <s v="6 - 10 Years"/>
    <s v="Credit Risk"/>
    <s v="Create Mentorship Event for Danny Ma with Werner Van Oudenhove De St Gery"/>
    <d v="2024-10-01T00:00:00"/>
    <d v="2025-10-01T00:00:00"/>
    <m/>
  </r>
  <r>
    <s v="4632303"/>
    <x v="230"/>
    <s v="RMB Credit mentorship programme"/>
    <s v="Z2-Programme Mentor (HC Managed)"/>
    <s v="Full Time Employee"/>
    <s v="White (South Africa)"/>
    <s v="Male"/>
    <s v="40 - 49"/>
    <s v="RMBSA LRC Credit Risk Management (Thabani Zungu)"/>
    <s v="South Africa"/>
    <s v="RMB"/>
    <s v="77800000CRD RMBSA Credit Risk South Africa Team"/>
    <s v="Credit Executive"/>
    <s v="11 -15 Years"/>
    <s v="Credit Risk"/>
    <s v="5132649"/>
    <x v="341"/>
    <m/>
    <m/>
    <s v="Male"/>
    <s v="30 - 39"/>
    <s v="RMB International Subs (Pankaj Shah [C])"/>
    <s v="India"/>
    <s v="RMB"/>
    <s v="77800000IBH FRSPL India Office"/>
    <s v="Country Analyst"/>
    <s v="6 - 10 Years"/>
    <s v="Credit Risk"/>
    <s v="Create Mentorship Event for Nitesh Khemchandani [C] with J.R. Hume"/>
    <d v="2024-10-01T00:00:00"/>
    <d v="2025-10-01T00:00:00"/>
    <m/>
  </r>
  <r>
    <s v="5186838"/>
    <x v="231"/>
    <s v="As per Grow First PDF"/>
    <s v="Leadership Mentor"/>
    <s v="OBR With Fixed Pay"/>
    <s v="African (South Africa)"/>
    <s v="Male"/>
    <s v="30 - 39"/>
    <s v="FNB Wealth (Daniel Malete)"/>
    <s v="South Africa"/>
    <s v="FNB"/>
    <s v="34100001596 PB&amp;A Sales Solutions Suite"/>
    <s v="Team Leader"/>
    <s v="6 - 10 Years"/>
    <s v="Operations"/>
    <s v="5330475"/>
    <x v="342"/>
    <m/>
    <s v="Indian (South Africa)"/>
    <s v="Male"/>
    <s v="30 - 39"/>
    <m/>
    <s v="South Africa"/>
    <m/>
    <m/>
    <m/>
    <s v="3 - 5 Years"/>
    <m/>
    <s v="Create Mentorship Event for Deepam Gopal (Terminated) with Tsholofelo Mathye"/>
    <d v="2024-10-01T00:00:00"/>
    <d v="2025-06-30T00:00:00"/>
    <m/>
  </r>
  <r>
    <s v="2098423"/>
    <x v="232"/>
    <s v="I would like to learn more about leadership styles"/>
    <s v="Leadership Mentor"/>
    <s v="Full Time Employee"/>
    <s v="Coloured (South Africa)"/>
    <s v="Female"/>
    <s v="50 - 59"/>
    <s v="RMBSA IBD Operations Collateral Management (Marisa Gilbert)"/>
    <s v="South Africa"/>
    <s v="RMB"/>
    <s v="77800000LAC RMBSA IBD Operations Collateral Management"/>
    <s v="Collateral Specialist"/>
    <s v="16 - 20 Years"/>
    <s v="Operations"/>
    <s v="3798305"/>
    <x v="343"/>
    <s v="Full Time Employee"/>
    <s v="Indian (South Africa)"/>
    <s v="Female"/>
    <s v="30 - 39"/>
    <s v="CDO Kernel (Doreen Mnisi)"/>
    <s v="South Africa"/>
    <s v="FNB"/>
    <s v="79000003718 FNB Enablement OCIO PMO"/>
    <s v="Senior Project Manager"/>
    <s v="11 -15 Years"/>
    <s v="Programme and Project Management"/>
    <s v="Create Mentorship Event for Lettisha Sooknannan with Fazia Parker"/>
    <d v="2024-10-22T00:00:00"/>
    <m/>
    <m/>
  </r>
  <r>
    <s v="4735897"/>
    <x v="213"/>
    <s v="RMB Credit mentorship programme"/>
    <s v="Z2-Programme Mentor (HC Managed)"/>
    <s v="Full Time Employee"/>
    <s v="White (South Africa)"/>
    <s v="Male"/>
    <s v="30 - 39"/>
    <s v="RMBSA IBD Legal, Risk and Compliance (Werner Van Oudenhove De St Gery)"/>
    <s v="South Africa"/>
    <s v="RMB"/>
    <s v="77800000SFC RMBSA IBD Structured Credit Analysts"/>
    <s v="Credit Head"/>
    <s v="11 -15 Years"/>
    <s v="Credit Risk"/>
    <s v="5335280"/>
    <x v="330"/>
    <s v="Full Time Employee"/>
    <s v="Indian (South Africa)"/>
    <s v="Female"/>
    <s v="30 - 39"/>
    <s v="RMBSA TTS LRC Credit Risk Management (Bertus Huisman)"/>
    <s v="South Africa"/>
    <s v="RMB"/>
    <s v="77800000SFA RMBSA IBD Credit Analysts"/>
    <s v="Credit Team Lead"/>
    <s v="6 - 10 Years"/>
    <s v="Credit Risk"/>
    <s v="Create Mentorship Event for Bavanisha Varaden with Bertus Huisman"/>
    <d v="2024-10-22T00:00:00"/>
    <d v="2025-10-22T00:00:00"/>
    <m/>
  </r>
  <r>
    <s v="5136628"/>
    <x v="233"/>
    <s v="RMB Credit mentoring programme"/>
    <s v="Z2-Programme Mentor (HC Managed)"/>
    <s v="Full Time Employee"/>
    <s v="Indian (South Africa)"/>
    <s v="Female"/>
    <s v="30 - 39"/>
    <s v="RMBSA IBD LRC Credit Risk Management (Thembi Ngobeni)"/>
    <s v="South Africa"/>
    <s v="RMB"/>
    <s v="77800000SFA RMBSA IBD Credit Analysts"/>
    <s v="Credit Team Lead"/>
    <s v="6 - 10 Years"/>
    <s v="Credit Risk"/>
    <s v="5623391"/>
    <x v="344"/>
    <s v="Full Time Employee"/>
    <s v="Indian (South Africa)"/>
    <s v="Female"/>
    <s v="20 - 29"/>
    <s v="RMBSA TTS Credit Analysts (Bavanisha Varaden)"/>
    <s v="South Africa"/>
    <s v="RMB"/>
    <s v="77800000SFA RMBSA IBD Credit Analysts"/>
    <s v="Credit Analyst"/>
    <s v="2 Years"/>
    <s v="Credit Risk"/>
    <s v="Create Mentorship Event for Ushenka Angath with Mayuri Ravjee"/>
    <d v="2024-10-14T00:00:00"/>
    <d v="2025-09-30T00:00:00"/>
    <m/>
  </r>
  <r>
    <s v="4657810"/>
    <x v="234"/>
    <s v="To help me understand the PMO space better, give advise whilst i study Project Management, help me navigate through this journey."/>
    <s v="Career Mentor"/>
    <s v="Full Time Employee"/>
    <s v="White (South Africa)"/>
    <s v="Male"/>
    <s v="50 - 59"/>
    <s v="FNB Loans (Priscilla Gerber)"/>
    <s v="South Africa"/>
    <s v="FNB"/>
    <s v="69000006171 FNB Retail Enterprise Project Management Office"/>
    <s v="Programme Manager"/>
    <s v="11 -15 Years"/>
    <s v="Programme and Project Management"/>
    <s v="4886658"/>
    <x v="345"/>
    <s v="Full Time Employee"/>
    <s v="Indian (South Africa)"/>
    <s v="Female"/>
    <s v="40 - 49"/>
    <s v="FNB HSL. (Natasha Naidoo)"/>
    <s v="South Africa"/>
    <s v="FNB"/>
    <s v="21200003096 Home Finance Product Department"/>
    <s v="Personal Assistant"/>
    <s v="6 - 10 Years"/>
    <s v="Operations"/>
    <s v="Create Mentorship Event for Vanesa Reid with Coenraad Pretorius"/>
    <d v="2024-11-07T00:00:00"/>
    <d v="2027-12-31T00:00:00"/>
    <m/>
  </r>
  <r>
    <s v="4735897"/>
    <x v="213"/>
    <s v="RMB Credit mentorship programme"/>
    <s v="Z2-Programme Mentor (HC Managed)"/>
    <s v="Full Time Employee"/>
    <s v="White (South Africa)"/>
    <s v="Male"/>
    <s v="30 - 39"/>
    <s v="RMBSA IBD Legal, Risk and Compliance (Werner Van Oudenhove De St Gery)"/>
    <s v="South Africa"/>
    <s v="RMB"/>
    <s v="77800000SFC RMBSA IBD Structured Credit Analysts"/>
    <s v="Credit Head"/>
    <s v="11 -15 Years"/>
    <s v="Credit Risk"/>
    <s v="5185270"/>
    <x v="346"/>
    <s v="Full Time Employee"/>
    <s v="Indian (South Africa)"/>
    <s v="Female"/>
    <s v="30 - 39"/>
    <s v="RMBSA TTS LRC Credit Risk Management (Bertus Huisman)"/>
    <s v="South Africa"/>
    <s v="RMB"/>
    <s v="77800000SFA RMBSA IBD Credit Analysts"/>
    <s v="Credit Team Lead"/>
    <s v="6 - 10 Years"/>
    <s v="Credit Risk"/>
    <s v="Create Mentorship Event for Chetna Patel with Bertus Huisman"/>
    <d v="2024-10-22T00:00:00"/>
    <d v="2025-10-22T00:00:00"/>
    <m/>
  </r>
  <r>
    <s v="5136628"/>
    <x v="233"/>
    <s v="RMB Credit mentorship programme"/>
    <s v="Z2-Programme Mentor (HC Managed)"/>
    <s v="Full Time Employee"/>
    <s v="Indian (South Africa)"/>
    <s v="Female"/>
    <s v="30 - 39"/>
    <s v="RMBSA IBD LRC Credit Risk Management (Thembi Ngobeni)"/>
    <s v="South Africa"/>
    <s v="RMB"/>
    <s v="77800000SFA RMBSA IBD Credit Analysts"/>
    <s v="Credit Team Lead"/>
    <s v="6 - 10 Years"/>
    <s v="Credit Risk"/>
    <s v="5601088"/>
    <x v="347"/>
    <s v="Full Time Employee"/>
    <s v="African (South Africa)"/>
    <s v="Female"/>
    <s v="30 - 39"/>
    <s v="RMBSA IBD Credit Analysts (Danny Ma)"/>
    <s v="South Africa"/>
    <s v="RMB"/>
    <s v="77800000SFA RMBSA IBD Credit Analysts"/>
    <s v="Credit Analyst"/>
    <s v="3 - 5 Years"/>
    <s v="Credit Risk"/>
    <s v="Create Mentorship Event for Nondumiso Blose with Mayuri Ravjee"/>
    <d v="2024-10-01T00:00:00"/>
    <d v="2025-10-01T00:00:00"/>
    <m/>
  </r>
  <r>
    <s v="5184851"/>
    <x v="235"/>
    <s v="To help me grow within my career_x000a_To extract the potential"/>
    <s v="Career Mentor"/>
    <s v="Full Time Employee"/>
    <s v="White (South Africa)"/>
    <s v="Female"/>
    <s v="40 - 49"/>
    <s v="RMBSA Global Markets Technology (Thomas Evje)"/>
    <s v="South Africa"/>
    <s v="RMB"/>
    <s v="77800000BMU RMBSA Global Markets Technology Murex"/>
    <s v="Business Technology Head"/>
    <s v="6 - 10 Years"/>
    <s v="IT Development"/>
    <s v="5660947"/>
    <x v="348"/>
    <s v="Full Time Employee"/>
    <s v="African (South Africa)"/>
    <s v="Male"/>
    <s v="30 - 39"/>
    <s v="RMBSA Global Markets Technology Murex Team C (Lizelle Fouche)"/>
    <s v="South Africa"/>
    <s v="RMB"/>
    <s v="77800000BMU RMBSA Global Markets Technology Murex"/>
    <s v="Murex Specialist"/>
    <s v="2 Years"/>
    <s v="IT Development"/>
    <s v="Create Mentorship Event for Tumelo Mabiletsa with Annanda Basson_x000a__x000a_Edit Mentorship Event for Tumelo Mabiletsa with Annanda Basson"/>
    <d v="2025-08-18T00:00:00"/>
    <m/>
    <m/>
  </r>
  <r>
    <s v="4524136"/>
    <x v="236"/>
    <s v="RMB Credit mentorship programme"/>
    <s v="Z2-Programme Mentor (HC Managed)"/>
    <s v="Full Time Employee"/>
    <s v="White (South Africa)"/>
    <s v="Male"/>
    <s v="40 - 49"/>
    <s v="RMBSA LRC Credit Risk Management South Africa (Pete Cottrell)"/>
    <s v="South Africa"/>
    <s v="RMB"/>
    <s v="77800000CRD RMBSA Credit Risk South Africa Team"/>
    <s v="Credit Head"/>
    <s v="16 - 20 Years"/>
    <s v="Credit Risk"/>
    <s v="5058937"/>
    <x v="349"/>
    <s v="Full Time Employee"/>
    <s v="African (South Africa)"/>
    <s v="Female"/>
    <s v="30 - 39"/>
    <s v="RMB Segment (Marnus Breed)"/>
    <s v="South Africa"/>
    <s v="RMB"/>
    <s v="77800000QTS RMBSA Credit Risk Portfolio Management"/>
    <s v="Credit Quantitative Analyst"/>
    <s v="6 - 10 Years"/>
    <s v="Credit Risk"/>
    <s v="Create Mentorship Event for Tshaimo Seanego with Lambrie Van Straaten"/>
    <d v="2024-10-01T00:00:00"/>
    <d v="2025-10-01T00:00:00"/>
    <m/>
  </r>
  <r>
    <s v="4524136"/>
    <x v="236"/>
    <s v="RMB Credit mentorship programme"/>
    <s v="Z2-Programme Mentor (HC Managed)"/>
    <s v="Full Time Employee"/>
    <s v="White (South Africa)"/>
    <s v="Male"/>
    <s v="40 - 49"/>
    <s v="RMBSA LRC Credit Risk Management South Africa (Pete Cottrell)"/>
    <s v="South Africa"/>
    <s v="RMB"/>
    <s v="77800000CRD RMBSA Credit Risk South Africa Team"/>
    <s v="Credit Head"/>
    <s v="16 - 20 Years"/>
    <s v="Credit Risk"/>
    <s v="5597862"/>
    <x v="350"/>
    <s v="Full Time Employee"/>
    <s v="White (South Africa)"/>
    <s v="Female"/>
    <s v="30 - 39"/>
    <s v="RMBSA IBD Credit Analysts (Senzo Manzini)"/>
    <s v="South Africa"/>
    <s v="RMB"/>
    <s v="77800000SFA RMBSA IBD Credit Analysts"/>
    <s v="Credit Analyst"/>
    <s v="3 - 5 Years"/>
    <s v="Credit Risk"/>
    <s v="Create Mentorship Event for Nina Claasen with Lambrie Van Straaten"/>
    <d v="2024-10-01T00:00:00"/>
    <d v="2025-10-01T00:00:00"/>
    <m/>
  </r>
  <r>
    <s v="3527018"/>
    <x v="237"/>
    <s v="RMB Credit mentoring programme"/>
    <s v="Z2-Programme Mentor (HC Managed)"/>
    <s v="Full Time Employee"/>
    <s v="African (South Africa)"/>
    <s v="Male"/>
    <s v="40 - 49"/>
    <s v="RMBSA LRC Credit Risk Management (Thabani Zungu)"/>
    <s v="South Africa"/>
    <s v="RMB"/>
    <s v="77800000RAX RMBSA Broader Africa Cross-functional Executive Leadership Team"/>
    <s v="Credit Executive"/>
    <s v="11 -15 Years"/>
    <s v="Credit Risk"/>
    <s v="5353793"/>
    <x v="351"/>
    <s v="Full Time Employee"/>
    <s v="African (South Africa)"/>
    <s v="Female"/>
    <s v="30 - 39"/>
    <s v="RMBSA Investment Banking Division (Siyanda Mflathelwa)"/>
    <s v="South Africa"/>
    <s v="RMB"/>
    <s v="77800000IFS RMBSA IBD Infrastructure Finance"/>
    <s v="Transactor"/>
    <s v="3 - 5 Years"/>
    <s v="Investment Banking"/>
    <s v="Create Mentorship Event for Thobi Khumalo with Thabang Moroa"/>
    <d v="2024-10-01T00:00:00"/>
    <d v="2025-10-01T00:00:00"/>
    <m/>
  </r>
  <r>
    <s v="3458652"/>
    <x v="219"/>
    <s v="RMB Credit mentoring programme"/>
    <s v="Z2-Programme Mentor (HC Managed)"/>
    <s v="Full Time Employee"/>
    <s v="African (South Africa)"/>
    <s v="Female"/>
    <s v="40 - 49"/>
    <s v="RMBSA IBD Legal, Risk and Compliance (Werner Van Oudenhove De St Gery)"/>
    <s v="South Africa"/>
    <s v="RMB"/>
    <s v="77800000SFC RMBSA IBD Structured Credit Analysts"/>
    <s v="Credit Head"/>
    <s v="16 - 20 Years"/>
    <s v="Credit Risk"/>
    <s v="4830938"/>
    <x v="352"/>
    <s v="Full Time Employee"/>
    <s v="African (South Africa)"/>
    <s v="Female"/>
    <s v="30 - 39"/>
    <s v="RMBSA Finance (Lunga Boyana)"/>
    <s v="South Africa"/>
    <s v="RMB"/>
    <s v="77800000FPC RMBSA Central Finance Leadership Team"/>
    <s v="Executive Assistant"/>
    <s v="11 -15 Years"/>
    <s v="Administration"/>
    <s v="Create Mentorship Event for Kefiloe Mphatwe with Thembi Ngobeni"/>
    <d v="2024-10-01T00:00:00"/>
    <d v="2025-10-01T00:00:00"/>
    <m/>
  </r>
  <r>
    <s v="3458652"/>
    <x v="219"/>
    <s v="RMB Credit mentoring programme"/>
    <s v="Z2-Programme Mentor (HC Managed)"/>
    <s v="Full Time Employee"/>
    <s v="African (South Africa)"/>
    <s v="Female"/>
    <s v="40 - 49"/>
    <s v="RMBSA IBD Legal, Risk and Compliance (Werner Van Oudenhove De St Gery)"/>
    <s v="South Africa"/>
    <s v="RMB"/>
    <s v="77800000SFC RMBSA IBD Structured Credit Analysts"/>
    <s v="Credit Head"/>
    <s v="16 - 20 Years"/>
    <s v="Credit Risk"/>
    <s v="5368243"/>
    <x v="353"/>
    <s v="Full Time Employee"/>
    <s v="Coloured (South Africa)"/>
    <s v="Male"/>
    <s v="30 - 39"/>
    <s v="RMBSA IBD LRC Credit Risk Management (Thembi Ngobeni)"/>
    <s v="South Africa"/>
    <s v="RMB"/>
    <s v="77800000SFA RMBSA IBD Credit Analysts"/>
    <s v="Credit Team Lead"/>
    <s v="3 - 5 Years"/>
    <s v="Credit Risk"/>
    <s v="Create Mentorship Event for Dayan Du Toit with Thembi Ngobeni"/>
    <d v="2024-10-01T00:00:00"/>
    <d v="2025-10-01T00:00:00"/>
    <m/>
  </r>
  <r>
    <s v="3458652"/>
    <x v="219"/>
    <s v="RMB Credit mentorship programme"/>
    <s v="Z2-Programme Mentor (HC Managed)"/>
    <s v="Full Time Employee"/>
    <s v="African (South Africa)"/>
    <s v="Female"/>
    <s v="40 - 49"/>
    <s v="RMBSA IBD Legal, Risk and Compliance (Werner Van Oudenhove De St Gery)"/>
    <s v="South Africa"/>
    <s v="RMB"/>
    <s v="77800000SFC RMBSA IBD Structured Credit Analysts"/>
    <s v="Credit Head"/>
    <s v="16 - 20 Years"/>
    <s v="Credit Risk"/>
    <s v="5136628"/>
    <x v="354"/>
    <s v="Full Time Employee"/>
    <s v="Indian (South Africa)"/>
    <s v="Female"/>
    <s v="30 - 39"/>
    <s v="RMBSA IBD LRC Credit Risk Management (Thembi Ngobeni)"/>
    <s v="South Africa"/>
    <s v="RMB"/>
    <s v="77800000SFA RMBSA IBD Credit Analysts"/>
    <s v="Credit Team Lead"/>
    <s v="6 - 10 Years"/>
    <s v="Credit Risk"/>
    <s v="Create Mentorship Event for Mayuri Ravjee with Thembi Ngobeni"/>
    <d v="2024-10-22T00:00:00"/>
    <d v="2025-10-22T00:00:00"/>
    <m/>
  </r>
  <r>
    <s v="3725203"/>
    <x v="238"/>
    <s v="To assist to transition to product house after completing short course. I'd like to match the knowledge i'd be acquiring to the actual duties in product house."/>
    <s v="Transition Mentor"/>
    <s v="Full Time Employee"/>
    <s v="African (South Africa)"/>
    <s v="Female"/>
    <s v="40 - 49"/>
    <s v="FNB Personal Core Banking (Thato Bapela)"/>
    <s v="South Africa"/>
    <s v="FNB"/>
    <s v="48100004398 FNB Personal Core Banking Hyper Segments and Niches"/>
    <s v="Product Manager"/>
    <s v="11 -15 Years"/>
    <s v="Product Support, Development and Analysis"/>
    <s v="5397162"/>
    <x v="355"/>
    <s v="Full Time Employee"/>
    <s v="African (South Africa)"/>
    <s v="Female"/>
    <s v="30 - 39"/>
    <s v="FNB Connect and Service Provider (Mondli Cele)"/>
    <s v="South Africa"/>
    <s v="FNB"/>
    <s v="83100005534 FNB Connect Technology"/>
    <s v="Systems Analyst"/>
    <s v="3 - 5 Years"/>
    <s v="Business/Systems Analysis"/>
    <s v="Create Mentorship Event for Laona Dikgole with Smangele Majola"/>
    <d v="2025-01-07T00:00:00"/>
    <d v="2025-12-06T00:00:00"/>
    <m/>
  </r>
  <r>
    <s v="3458652"/>
    <x v="219"/>
    <s v="RMB Credit mentoring programme"/>
    <s v="Z2-Programme Mentor (HC Managed)"/>
    <s v="Full Time Employee"/>
    <s v="African (South Africa)"/>
    <s v="Female"/>
    <s v="40 - 49"/>
    <s v="RMBSA IBD Legal, Risk and Compliance (Werner Van Oudenhove De St Gery)"/>
    <s v="South Africa"/>
    <s v="RMB"/>
    <s v="77800000SFC RMBSA IBD Structured Credit Analysts"/>
    <s v="Credit Head"/>
    <s v="16 - 20 Years"/>
    <s v="Credit Risk"/>
    <s v="3458342"/>
    <x v="356"/>
    <m/>
    <s v="African (South Africa)"/>
    <s v="Male"/>
    <s v="30 - 39"/>
    <m/>
    <s v="South Africa"/>
    <m/>
    <m/>
    <m/>
    <s v="6 - 10 Years"/>
    <m/>
    <s v="Create Mentorship Event for Prince Moloto (Terminated) with Thembi Ngobeni"/>
    <d v="2024-10-01T00:00:00"/>
    <d v="2025-10-01T00:00:00"/>
    <m/>
  </r>
  <r>
    <s v="5163536"/>
    <x v="239"/>
    <s v="Career guidance and Character development"/>
    <s v="Career Mentor"/>
    <s v="Full Time Employee"/>
    <s v="African (South Africa)"/>
    <s v="Male"/>
    <s v="20 - 29"/>
    <s v="CDO Infrastructure and Security Services (Vuyokazi Rozani)"/>
    <s v="South Africa"/>
    <s v="FNB"/>
    <s v="20700008475 CDO Networks and Security Services End User Support"/>
    <s v="IT Support Technician Team Lead"/>
    <s v="6 - 10 Years"/>
    <s v="IT Support"/>
    <s v="5443032"/>
    <x v="357"/>
    <s v="Full Time Employee"/>
    <s v="African (South Africa)"/>
    <s v="Female"/>
    <s v="20 - 29"/>
    <s v="FNB Wealth and Investments (Wicus Potgieter)"/>
    <s v="South Africa"/>
    <s v="FNB"/>
    <s v="31400008459 FNB WI SPM Willowbridge"/>
    <s v="Portfolio Management Assistant"/>
    <s v="&lt;1 Year"/>
    <s v="Asset Management"/>
    <s v="Create Mentorship Event for Ofentse Ditsele with Denis Nhatumbo"/>
    <d v="2024-11-04T00:00:00"/>
    <m/>
    <m/>
  </r>
  <r>
    <s v="3526399"/>
    <x v="240"/>
    <s v="RMB Credit mentorship programme"/>
    <s v="Z2-Programme Mentor (HC Managed)"/>
    <s v="Full Time Employee"/>
    <s v="Coloured (South Africa)"/>
    <s v="Male"/>
    <s v="40 - 49"/>
    <s v="RMBSA LRC Credit Risk Management (Thabani Zungu)"/>
    <s v="South Africa"/>
    <s v="RMB"/>
    <s v="77800000SFC RMBSA IBD Structured Credit Analysts"/>
    <s v="Credit Head"/>
    <s v="11 -15 Years"/>
    <s v="Credit Risk"/>
    <s v="5484898"/>
    <x v="358"/>
    <s v="Full Time Employee"/>
    <s v="African (South Africa)"/>
    <s v="Male"/>
    <s v="30 - 39"/>
    <s v="RMBSA TTS Operations Trade Operations Johannesburg (Chetna Patel)"/>
    <s v="South Africa"/>
    <s v="RMB"/>
    <s v="77800000SFA RMBSA IBD Credit Analysts"/>
    <s v="Credit Analyst"/>
    <s v="3 - 5 Years"/>
    <s v="Credit Risk"/>
    <s v="Create Mentorship Event for Linda Shiba with David Johnson"/>
    <d v="2024-10-01T00:00:00"/>
    <d v="2025-10-01T00:00:00"/>
    <m/>
  </r>
  <r>
    <s v="4522990"/>
    <x v="241"/>
    <s v="RMB Credit mentorship programme"/>
    <s v="Z2-Programme Mentor (HC Managed)"/>
    <s v="Full Time Employee"/>
    <s v="White (South Africa)"/>
    <s v="Male"/>
    <s v="50 - 59"/>
    <s v="RMBSA LRC Credit Risk Management South Africa (Pete Cottrell)"/>
    <s v="South Africa"/>
    <s v="RMB"/>
    <s v="77800000CRD RMBSA Credit Risk South Africa Team"/>
    <s v="Credit Executive"/>
    <s v="&gt;20 Years"/>
    <s v="Credit Risk"/>
    <s v="3526747"/>
    <x v="359"/>
    <s v="Full Time Employee"/>
    <s v="White (South Africa)"/>
    <s v="Male"/>
    <s v="30 - 39"/>
    <s v="RMBSA LRC Credit Risk Portfolio and Capital Management (J.R. Hume)"/>
    <s v="South Africa"/>
    <s v="RMB"/>
    <s v="77800000QTS RMBSA Credit Risk Portfolio Management"/>
    <s v="Credit Quantitative Analytics Head"/>
    <s v="11 -15 Years"/>
    <s v="Credit Risk"/>
    <s v="Create Mentorship Event for Marnus Breed with Colin Struwig"/>
    <d v="2024-10-01T00:00:00"/>
    <d v="2025-10-01T00:00:00"/>
    <m/>
  </r>
  <r>
    <s v="3604721"/>
    <x v="242"/>
    <s v="RMB Credit mentorship programme"/>
    <s v="Z2-Programme Mentor (HC Managed)"/>
    <s v="Full Time Employee"/>
    <s v="Indian (South Africa)"/>
    <s v="Female"/>
    <s v="40 - 49"/>
    <s v="RMBSA LRC Credit Risk Management South Africa (Pete Cottrell)"/>
    <s v="South Africa"/>
    <s v="RMB"/>
    <s v="77800000CRD RMBSA Credit Risk South Africa Team"/>
    <s v="Credit Executive"/>
    <s v="11 -15 Years"/>
    <s v="Credit Risk"/>
    <s v="5465508"/>
    <x v="360"/>
    <s v="Full Time Employee"/>
    <s v="Indian (South Africa)"/>
    <s v="Male"/>
    <s v="30 - 39"/>
    <s v="RMBSA TTS Credit Analysts (Simone Burger)"/>
    <s v="South Africa"/>
    <s v="RMB"/>
    <s v="77800000SFA RMBSA IBD Credit Analysts"/>
    <s v="Credit Analyst"/>
    <s v="3 - 5 Years"/>
    <s v="Credit Risk"/>
    <s v="Create Mentorship Event for Philip Karammel with Natasha Nadasen"/>
    <d v="2024-10-01T00:00:00"/>
    <d v="2025-10-01T00:00:00"/>
    <m/>
  </r>
  <r>
    <s v="3300943"/>
    <x v="243"/>
    <s v="Better integration into a team/business unit_x000a__x000a_Broaden organisational knowledge_x000a__x000a_Learn how to navigate the system"/>
    <s v="Technical Mentor"/>
    <s v="Full Time Employee"/>
    <s v="Indian (South Africa)"/>
    <s v="Male"/>
    <s v="40 - 49"/>
    <s v="FNB Dynamic Decisioning (Leone Van'T Zand)"/>
    <s v="South Africa"/>
    <s v="FNB"/>
    <s v="23900007172 FNB Dynamic Decisioning NLP Conversational AI"/>
    <s v="Data Engineer"/>
    <s v="6 - 10 Years"/>
    <s v="Data Management, Maintenance and Security"/>
    <s v="5570603"/>
    <x v="361"/>
    <s v="Full Time Employee"/>
    <s v="African (South Africa)"/>
    <s v="Male"/>
    <s v="30 - 39"/>
    <s v="FNB Retail Strategic Credit and Analytics (Cornelda Faber)"/>
    <s v="South Africa"/>
    <s v="FNB"/>
    <s v="5910522100 FNB Retail Strategic Credit and Analytics"/>
    <s v="Data Scientist"/>
    <s v="3 - 5 Years"/>
    <s v="Analytics"/>
    <s v="Create Mentorship Event for Fhulufhelo Ramphabana with Nivesh Jivan"/>
    <d v="2024-12-01T00:00:00"/>
    <d v="2025-11-30T00:00:00"/>
    <m/>
  </r>
  <r>
    <s v="5030374"/>
    <x v="244"/>
    <s v="RMB Credit mentorship programme"/>
    <s v="Z2-Programme Mentor (HC Managed)"/>
    <s v="Full Time Employee"/>
    <s v="African (South Africa)"/>
    <s v="Male"/>
    <s v="30 - 39"/>
    <s v="RMBSA IBD Real Estate Team A (Dylan Stevenson)"/>
    <s v="South Africa"/>
    <s v="RMB"/>
    <s v="77800000SFP RMBSA IBD Real Estate"/>
    <s v="Transactor"/>
    <s v="3 - 5 Years"/>
    <s v="Investment Banking"/>
    <s v="8871890"/>
    <x v="362"/>
    <s v="Full Time Employee"/>
    <s v="African (South Africa)"/>
    <s v="Male"/>
    <s v="20 - 29"/>
    <s v="RMBSA Global Markets NBFI Credit Risk (Gareth Viljoen)"/>
    <s v="South Africa"/>
    <s v="RMB"/>
    <s v="77800000BCR RMBSA Global Markets Credit Risk"/>
    <s v="Credit Analyst"/>
    <s v="1 Year"/>
    <s v="Credit Risk"/>
    <s v="Create Mentorship Event for Njabulo Hlophe with Ookame Maruping"/>
    <d v="2024-10-01T00:00:00"/>
    <d v="2025-10-01T00:00:00"/>
    <m/>
  </r>
  <r>
    <s v="4522990"/>
    <x v="241"/>
    <s v="RMB Credit mentorship programme"/>
    <s v="Z2-Programme Mentor (HC Managed)"/>
    <s v="Full Time Employee"/>
    <s v="White (South Africa)"/>
    <s v="Male"/>
    <s v="50 - 59"/>
    <s v="RMBSA LRC Credit Risk Management South Africa (Pete Cottrell)"/>
    <s v="South Africa"/>
    <s v="RMB"/>
    <s v="77800000CRD RMBSA Credit Risk South Africa Team"/>
    <s v="Credit Executive"/>
    <s v="&gt;20 Years"/>
    <s v="Credit Risk"/>
    <s v="5671159"/>
    <x v="363"/>
    <s v="Full Time Employee"/>
    <s v="African (South Africa)"/>
    <s v="Male"/>
    <s v="30 - 39"/>
    <s v="RMBSA IBD Credit Analysts (Senzo Manzini)"/>
    <s v="South Africa"/>
    <s v="RMB"/>
    <s v="77800000SFA RMBSA IBD Credit Analysts"/>
    <s v="Credit Analyst"/>
    <s v="2 Years"/>
    <s v="Credit Risk"/>
    <s v="Create Mentorship Event for Andile Nkohliso with Colin Struwig"/>
    <d v="2025-10-01T00:00:00"/>
    <d v="2025-10-01T00:00:00"/>
    <m/>
  </r>
  <r>
    <s v="4529537"/>
    <x v="245"/>
    <s v="RMB Credit mentorship programme"/>
    <s v="Z2-Programme Mentor (HC Managed)"/>
    <s v="Full Time Employee"/>
    <s v="White (South Africa)"/>
    <s v="Male"/>
    <s v="50 - 59"/>
    <s v="RMBSA LRC Credit Risk Management (Thabani Zungu)"/>
    <s v="South Africa"/>
    <s v="RMB"/>
    <s v="77800000CRD RMBSA Credit Risk South Africa Team"/>
    <s v="Credit Executive"/>
    <s v="16 - 20 Years"/>
    <s v="Credit Risk"/>
    <s v="5267986"/>
    <x v="364"/>
    <s v="Full Time Employee"/>
    <s v="African (South Africa)"/>
    <s v="Male"/>
    <s v="30 - 39"/>
    <s v="RMBSA IBD LRC Credit Risk Management (Thembi Ngobeni)"/>
    <s v="South Africa"/>
    <s v="RMB"/>
    <s v="77800000SFA RMBSA IBD Credit Analysts"/>
    <s v="Credit Team Lead"/>
    <s v="6 - 10 Years"/>
    <s v="Credit Risk"/>
    <s v="Create Mentorship Event for Senzo Manzini with Pete Cottrell"/>
    <d v="2024-10-01T00:00:00"/>
    <d v="2025-10-01T00:00:00"/>
    <m/>
  </r>
  <r>
    <s v="5087112"/>
    <x v="30"/>
    <s v="Career advancement"/>
    <s v="Career Mentor"/>
    <s v="Full Time Employee"/>
    <s v="African (South Africa)"/>
    <s v="Female"/>
    <s v="40 - 49"/>
    <s v="FNB Commercial Merchant Services (Netsai Ngidi)"/>
    <s v="South Africa"/>
    <s v="FNB"/>
    <s v="22800004061 FNB Commercial Merchant Services Product and Solutions"/>
    <s v="Industry Manager"/>
    <s v="6 - 10 Years"/>
    <s v="Client Relationship Management"/>
    <s v="5088844"/>
    <x v="365"/>
    <s v="Full Time Employee"/>
    <s v="African (South Africa)"/>
    <s v="Female"/>
    <s v="40 - 49"/>
    <s v="FNB Dynamic Decisioning (Miranda Ntushelo)"/>
    <s v="South Africa"/>
    <s v="FNB"/>
    <s v="23900006144 FNB Dynamic Decisioning Project Delivery"/>
    <s v="Project Manager"/>
    <s v="6 - 10 Years"/>
    <s v="Programme and Project Management"/>
    <s v="Create Mentorship Event for Mary Ramodisa with Betty Moabelo"/>
    <d v="2024-04-16T00:00:00"/>
    <d v="2025-01-31T00:00:00"/>
    <m/>
  </r>
  <r>
    <s v="3529924"/>
    <x v="246"/>
    <s v="I am looking for an opportunity where I would be involved in Consolidating and analysing financial data, considering business financial standing. Providing creative alternatives and recommendations to reduce costs and improve financial performance.  Assembling and summarizing data to structure sophisticated reports on financial status and risks."/>
    <s v="Career Mentor"/>
    <m/>
    <s v="African (South Africa)"/>
    <s v="Female"/>
    <s v="30 - 39"/>
    <m/>
    <s v="South Africa"/>
    <m/>
    <m/>
    <m/>
    <s v="6 - 10 Years"/>
    <m/>
    <s v="4943899"/>
    <x v="366"/>
    <s v="Full Time Employee"/>
    <s v="African (South Africa)"/>
    <s v="Male"/>
    <s v="40 - 49"/>
    <s v="FNB Fiduciary (Ralton Leach)"/>
    <s v="South Africa"/>
    <s v="FNB"/>
    <s v="54100008438 FNB WI Fiduciary Deceased Reporting DIV"/>
    <s v="Fiduciary Administrator"/>
    <s v="6 - 10 Years"/>
    <s v="Administration"/>
    <s v="Create Mentorship Event for Tshepo Leroto with Dolly Mphahlele (Terminated)"/>
    <d v="2025-01-01T00:00:00"/>
    <d v="2025-06-30T00:00:00"/>
    <m/>
  </r>
  <r>
    <s v="5171164"/>
    <x v="247"/>
    <m/>
    <s v="Career Mentor"/>
    <s v="Full Time Employee"/>
    <s v="Indian (South Africa)"/>
    <s v="Female"/>
    <s v="30 - 39"/>
    <s v="FNB Commercial TxP (Lauren Deva)"/>
    <s v="South Africa"/>
    <s v="FNB"/>
    <s v="39800004465 FNB Commercial TxP Transact Products"/>
    <s v="Product Manager"/>
    <s v="6 - 10 Years"/>
    <s v="Product Support, Development and Analysis"/>
    <s v="5502357"/>
    <x v="367"/>
    <s v="Full Time Employee"/>
    <s v="Indian (South Africa)"/>
    <s v="Female"/>
    <s v="30 - 39"/>
    <s v="FNB Private Core Banking (Bhavnesh Vallabh)"/>
    <s v="South Africa"/>
    <s v="FNB"/>
    <s v="41200006384 FNB Private Core Banking Self Employed Value Propositions"/>
    <s v="Product Specialist"/>
    <s v="3 - 5 Years"/>
    <s v="Product Support, Development and Analysis"/>
    <s v="Create Mentorship Event for Meera Bhana with Shanice Sunderpersadh"/>
    <d v="2024-10-25T00:00:00"/>
    <m/>
    <m/>
  </r>
  <r>
    <s v="3604675"/>
    <x v="248"/>
    <s v="RMB Credit mentorship programme"/>
    <s v="Z2-Programme Mentor (HC Managed)"/>
    <s v="Full Time Employee"/>
    <s v="White (South Africa)"/>
    <s v="Male"/>
    <s v="30 - 39"/>
    <s v="RMBSA IBD LRC Credit Risk Management (Thembi Ngobeni)"/>
    <s v="South Africa"/>
    <s v="RMB"/>
    <s v="77800000SFA RMBSA IBD Credit Analysts"/>
    <s v="Credit Team Lead"/>
    <s v="11 -15 Years"/>
    <s v="Credit Risk"/>
    <s v="5547253"/>
    <x v="368"/>
    <s v="Full Time Employee"/>
    <s v="Indian (South Africa)"/>
    <s v="Female"/>
    <s v="30 - 39"/>
    <s v="Banking Division (Dayan Du Toit)"/>
    <s v="South Africa"/>
    <s v="RMB"/>
    <s v="77800000SFA RMBSA IBD Credit Analysts"/>
    <s v="Credit Analyst"/>
    <s v="3 - 5 Years"/>
    <s v="Credit Risk"/>
    <s v="Create Mentorship Event for Keziah Aiyer with Cameron Peel"/>
    <d v="2024-10-22T00:00:00"/>
    <d v="2025-10-01T00:00:00"/>
    <m/>
  </r>
  <r>
    <s v="5001439"/>
    <x v="249"/>
    <m/>
    <s v="Career Mentor"/>
    <s v="Full Time Employee"/>
    <s v="Indian (South Africa)"/>
    <s v="Male"/>
    <s v="40 - 49"/>
    <s v="FNB COO Head Office (Dane Liebenberg)"/>
    <s v="South Africa"/>
    <s v="FNB"/>
    <s v="69000005399 FNB Retail Platform Enablement"/>
    <s v="Solutions Platform Manager"/>
    <s v="6 - 10 Years"/>
    <s v="Operations"/>
    <s v="5586585"/>
    <x v="369"/>
    <s v="Full Time Employee"/>
    <m/>
    <s v="Male"/>
    <s v="30 - 39"/>
    <s v="FNB Zambia Operations (Chiti Ndhlovu)"/>
    <s v="Zambia"/>
    <s v="FNB"/>
    <s v="55300003086 FNB Zambia Operations"/>
    <s v="Business Analyst"/>
    <s v="3 - 5 Years"/>
    <s v="Process and Business Analysis"/>
    <s v="Create Mentorship Event for Simbani Banda with Mitesh Makan"/>
    <d v="2024-07-01T00:00:00"/>
    <m/>
    <m/>
  </r>
  <r>
    <s v="3834654"/>
    <x v="250"/>
    <s v="Career guidance - looking to switch careers from Data Analytics to Asset Management."/>
    <s v="Career Mentor"/>
    <s v="Full Time Employee"/>
    <s v="African (South Africa)"/>
    <s v="Female"/>
    <s v="40 - 49"/>
    <s v="FNB Cash Investments (Komal Dhoolab)"/>
    <s v="South Africa"/>
    <s v="FNB"/>
    <s v="65100006551 FNB Premium Cash Investments Liabilities"/>
    <s v="Investment Specialist"/>
    <s v="11 -15 Years"/>
    <s v="Investor Services"/>
    <s v="5429331"/>
    <x v="370"/>
    <s v="Full Time Employee"/>
    <s v="African (South Africa)"/>
    <s v="Male"/>
    <s v="20 - 29"/>
    <s v="FNB Loans (Ben Pillay)"/>
    <s v="South Africa"/>
    <s v="FNB"/>
    <s v="79100009082 FNB Consumer Loans Support Credit"/>
    <s v="Business Intelligence Analyst"/>
    <s v="3 - 5 Years"/>
    <s v="Business Intelligence"/>
    <s v="Create Mentorship Event for Ndivho Mamathuba with Mante Mothiba"/>
    <d v="2024-11-07T00:00:00"/>
    <d v="2025-01-31T00:00:00"/>
    <m/>
  </r>
  <r>
    <s v="3760073"/>
    <x v="251"/>
    <s v="The purpose of this mentorship is to further develop my knowledge and leadership capabilities, while also seeking valuable guidance to support my career progression."/>
    <s v="Career Mentor"/>
    <s v="Full Time Employee"/>
    <s v="Indian (South Africa)"/>
    <s v="Male"/>
    <s v="30 - 39"/>
    <s v="FNB Core Banking Platform (Reuben Pretorius)"/>
    <s v="South Africa"/>
    <s v="FNB"/>
    <s v="59600005611 FNB Personal and Private IT Unsecured Lending IT"/>
    <s v="Technical Team Leader"/>
    <s v="6 - 10 Years"/>
    <s v="IT Development"/>
    <s v="4992903"/>
    <x v="371"/>
    <s v="Full Time Employee"/>
    <s v="Coloured (South Africa)"/>
    <s v="Female"/>
    <s v="30 - 39"/>
    <s v="FNB Core Banking Platform (Zaheer Moosa)"/>
    <s v="South Africa"/>
    <s v="FNB"/>
    <s v="59600005611 FNB Personal and Private IT Unsecured Lending IT"/>
    <s v="Production Support Specialist"/>
    <s v="6 - 10 Years"/>
    <s v="System Design and Administration"/>
    <s v="Create Mentorship Event for Ashante Maitin with Zaheer Moosa"/>
    <d v="2024-11-19T00:00:00"/>
    <d v="2025-12-01T00:00:00"/>
    <m/>
  </r>
  <r>
    <s v="4960351"/>
    <x v="101"/>
    <s v="I would like the guidance of a mentor to assist me navigate my career and other key areas which affect my growth._x000a__x000a_I currently find myself feeling stagnated and I am not certain which direction I should take to move forward and grow."/>
    <s v="Career Mentor"/>
    <s v="Full Time Employee"/>
    <s v="Indian (South Africa)"/>
    <s v="Female"/>
    <s v="40 - 49"/>
    <s v="FirstRand Legal (Virgil McLellan)"/>
    <s v="South Africa"/>
    <s v="FNB"/>
    <s v="39400001347 FirstRand Legal Litigation"/>
    <s v="Segment Litigation Head"/>
    <s v="6 - 10 Years"/>
    <s v="Legal"/>
    <s v="5583136"/>
    <x v="372"/>
    <s v="OBR With Fixed Pay"/>
    <s v="African (South Africa)"/>
    <s v="Male"/>
    <s v="30 - 39"/>
    <s v="FirstRand Short Term Insurance (Harold Thafeni)"/>
    <s v="South Africa"/>
    <s v="FNB"/>
    <s v="79900010214 ST PLOC Claims"/>
    <s v="Paralegal Secretary"/>
    <s v="3 - 5 Years"/>
    <s v="Legal"/>
    <s v="Create Mentorship Event for Oarabile Moshoeu with Yasmin Kadwa"/>
    <d v="2024-11-21T00:00:00"/>
    <d v="2025-12-23T00:00:00"/>
    <m/>
  </r>
  <r>
    <s v="2745232"/>
    <x v="252"/>
    <s v="Hi There,_x000a__x000a_Trust you are well_x000a_I am currently working as a User Experience Writer/Content Analyst, and I’m reaching out to seek your insights into the role of a Sales Specialist, as it aligns with my career aspirations._x000a__x000a_I want to learn from someone who has already achieved success in the field and can guide me to enhance my knowledge._x000a__x000a_With your guidance, I can feel more confident in turning prospects into customers._x000a__x000a_I want to deepen my understanding of the market and industry to become a trusted partner in helping customers thrive._x000a__x000a_I want to grow my network and access opportunities I wouldn’t find on my own._x000a__x000a_I want to accelerate my career growth and prepare myself for leadership in sales."/>
    <s v="Career Mentor"/>
    <s v="Full Time Employee"/>
    <s v="White (South Africa)"/>
    <s v="Male"/>
    <s v="40 - 49"/>
    <s v="FNB Loans (Yaasin Nordien)"/>
    <s v="South Africa"/>
    <s v="FNB"/>
    <s v="79100005608 FNB Consumer Loans Support Operations"/>
    <s v="Client Experience Manager"/>
    <s v="&gt;20 Years"/>
    <s v="Client Experience and Value Management"/>
    <s v="4919157"/>
    <x v="373"/>
    <s v="Full Time Employee"/>
    <s v="Coloured (South Africa)"/>
    <s v="Female"/>
    <s v="30 - 39"/>
    <s v="FNB Personal Segment Advisory and Suites (Meagan De Bruin)"/>
    <s v="South Africa"/>
    <s v="FNB"/>
    <s v="99700015108 DA Scripting"/>
    <s v="User Experience Writer"/>
    <s v="11 -15 Years"/>
    <s v="Process and Business Analysis"/>
    <s v="Close Mentorship Event for Meagan Fisher with John Cronje_x000a__x000a_Create Mentorship Event for Meagan Fisher with John Cronje"/>
    <d v="2024-11-23T00:00:00"/>
    <d v="2025-02-28T00:00:00"/>
    <s v="Mentee Withdrawal - Change in Mentoring Needs"/>
  </r>
  <r>
    <s v="5189365"/>
    <x v="253"/>
    <m/>
    <s v="Career Mentor"/>
    <s v="Full Time Employee"/>
    <s v="White (South Africa)"/>
    <s v="Male"/>
    <s v="30 - 39"/>
    <s v="FNB Private Banking and Advisory (Elaine Knoetsec)"/>
    <s v="South Africa"/>
    <s v="FNB"/>
    <s v="34100007661 PB&amp;A Inland Lowveld Wealth"/>
    <s v="Channel Management Head"/>
    <s v="6 - 10 Years"/>
    <s v="Client Experience and Value Management"/>
    <s v="8876149"/>
    <x v="374"/>
    <s v="Full Time Employee"/>
    <s v="African (South Africa)"/>
    <s v="Male"/>
    <s v="30 - 39"/>
    <s v="FNB Retail COO (Tech Tyatyaza)"/>
    <s v="South Africa"/>
    <s v="FNB"/>
    <s v="69000002201 FNB Retail COO Business Analysis"/>
    <s v="Business Analyst"/>
    <s v="1 Year"/>
    <s v="Process and Business Analysis"/>
    <s v="Create Mentorship Event for Khauhelo Mofokeng with Shaun Caromba"/>
    <d v="2025-01-01T00:00:00"/>
    <m/>
    <m/>
  </r>
  <r>
    <s v="4657810"/>
    <x v="234"/>
    <s v="Good Morning_x000a__x000a_Trust you are well._x000a_I have a strong background in IT Asset Management and System Analysis. As a former IT Asset Management Team Leader, I led a team of 7 direct reports, managing IT assets for over 600 cost centers in both Branch and Support roles. My collaborative work with the BI team, Technology Managers, I&amp;SS, and project managers has significantly improved efficiency across the board. I hold a BCom degree in Supply Chain Management and have always sought opportunities for growth within the business._x000a__x000a_I am looking for a mentor who will teach me more about the organization and teach me new skills._x000a__x000a_Thank You"/>
    <s v="Career Mentor"/>
    <s v="Full Time Employee"/>
    <s v="White (South Africa)"/>
    <s v="Male"/>
    <s v="50 - 59"/>
    <s v="FNB Loans (Priscilla Gerber)"/>
    <s v="South Africa"/>
    <s v="FNB"/>
    <s v="69000006171 FNB Retail Enterprise Project Management Office"/>
    <s v="Programme Manager"/>
    <s v="11 -15 Years"/>
    <s v="Programme and Project Management"/>
    <s v="4749073"/>
    <x v="375"/>
    <s v="Full Time Employee"/>
    <s v="Indian (South Africa)"/>
    <s v="Female"/>
    <s v="30 - 39"/>
    <s v="FNB Points of Presence (Elvira Krishna)"/>
    <s v="South Africa"/>
    <s v="FNB"/>
    <s v="7710441800 FNB POP Data Engineering and Insights"/>
    <s v="Systems Analyst"/>
    <s v="6 - 10 Years"/>
    <s v="Business/Systems Analysis"/>
    <s v="Create Mentorship Event for Farmeena Hoosen with Coenraad Pretorius"/>
    <d v="2025-02-24T00:00:00"/>
    <d v="2025-05-27T00:00:00"/>
    <m/>
  </r>
  <r>
    <s v="4834070"/>
    <x v="254"/>
    <m/>
    <s v="Leadership Mentor"/>
    <m/>
    <s v="White (South Africa)"/>
    <s v="Female"/>
    <s v="50 - 59"/>
    <m/>
    <s v="South Africa"/>
    <m/>
    <m/>
    <m/>
    <s v="6 - 10 Years"/>
    <m/>
    <s v="2856204"/>
    <x v="376"/>
    <s v="Full Time Employee"/>
    <s v="Indian (South Africa)"/>
    <s v="Female"/>
    <s v="40 - 49"/>
    <s v="FNB Commercial Projects and Operations (Natalie Rodrigues)"/>
    <s v="South Africa"/>
    <s v="FNB"/>
    <s v="34200003333 FNB Commercial National Sales Operations"/>
    <s v="National Operations Manager"/>
    <s v="&gt;20 Years"/>
    <s v="Operations"/>
    <s v="Create Mentorship Event for Prabashnee Govender with Jolandi Wassermann (Terminated)"/>
    <d v="2025-01-27T00:00:00"/>
    <d v="2025-12-31T00:00:00"/>
    <m/>
  </r>
  <r>
    <s v="4709179"/>
    <x v="255"/>
    <s v="Career growth (Leadership Development)"/>
    <s v="Leadership Mentor"/>
    <s v="Full Time Employee"/>
    <s v="White (South Africa)"/>
    <s v="Female"/>
    <s v="50 - 59"/>
    <s v="FNB Retail Private Wealth Chief Executive Office (Eric Enslin)"/>
    <s v="South Africa"/>
    <s v="FNB"/>
    <s v="34100003287 PB&amp;A EXCO"/>
    <s v="Regional Head"/>
    <s v="11 -15 Years"/>
    <s v="Sales Management"/>
    <s v="5003520"/>
    <x v="377"/>
    <s v="Full Time Employee"/>
    <s v="African (South Africa)"/>
    <s v="Female"/>
    <s v="30 - 39"/>
    <s v="FNB Private Banking and Advisory (Van Wyk Pienaar)"/>
    <s v="South Africa"/>
    <s v="FNB"/>
    <s v="34100007667 PB&amp;A Inland North West Wealth"/>
    <s v="Sales and Service Manager"/>
    <s v="6 - 10 Years"/>
    <s v="Sales Management"/>
    <s v="Create Mentorship Event for Emelda Ndlovu with Elaine Knoetsec"/>
    <d v="2025-01-22T00:00:00"/>
    <d v="2025-07-31T00:00:00"/>
    <m/>
  </r>
  <r>
    <s v="4784545"/>
    <x v="256"/>
    <s v="To gain insights and advises from experienced leaders"/>
    <s v="Career Mentor"/>
    <s v="Full Time Employee"/>
    <m/>
    <s v="Female"/>
    <s v="30 - 39"/>
    <s v="FNB Botswana Retail (Serwalo Mabotho)"/>
    <s v="Botswana"/>
    <s v="FNB"/>
    <s v="5010292200 FNB Botswana Channels Head Office"/>
    <s v="Service Manager"/>
    <s v="6 - 10 Years"/>
    <s v="Client Experience and Value Management"/>
    <s v="5028337"/>
    <x v="378"/>
    <s v="Full Time Employee"/>
    <m/>
    <s v="Female"/>
    <s v="30 - 39"/>
    <s v="FNB Botswana Channels (Amantle Mphoeng (Inherited))"/>
    <s v="Botswana"/>
    <s v="FNB"/>
    <s v="5010164100 FNB Botswana Call Centre"/>
    <s v="Service Consultant"/>
    <s v="6 - 10 Years"/>
    <s v="Client Experience and Value Management"/>
    <s v="Create Mentorship Event for Elmah Mosipi with Lesego Nkepe"/>
    <d v="2024-12-01T00:00:00"/>
    <d v="2025-12-31T00:00:00"/>
    <m/>
  </r>
  <r>
    <s v="5244552"/>
    <x v="257"/>
    <m/>
    <s v="Career Mentor"/>
    <s v="Full Time Employee"/>
    <s v="Coloured (South Africa)"/>
    <s v="Male"/>
    <s v="40 - 49"/>
    <s v="FNB Customer and Sales Interactions (Donovan Pretorius)"/>
    <s v="South Africa"/>
    <s v="FNB"/>
    <s v="99100007928 FNB Customer and Sales Interactions Analytics"/>
    <s v="Data Scientist"/>
    <s v="11 -15 Years"/>
    <s v="Analytics"/>
    <s v="5604672"/>
    <x v="379"/>
    <s v="Full Time Employee"/>
    <s v="African (South Africa)"/>
    <s v="Female"/>
    <s v="20 - 29"/>
    <s v="FNB Customer and Sales Interactions (Donovan Pretorius)"/>
    <s v="South Africa"/>
    <s v="FNB"/>
    <s v="99100009981 FNB Customer and Sales Interactions Enablement"/>
    <s v="Data Scientist"/>
    <s v="3 - 5 Years"/>
    <s v="Analytics"/>
    <s v="Create Mentorship Event for Rekgethile Maduna with Loren Johnson"/>
    <d v="2024-09-20T00:00:00"/>
    <d v="2025-05-30T00:00:00"/>
    <m/>
  </r>
  <r>
    <s v="2024721"/>
    <x v="207"/>
    <s v="Broaden organisational knowledge_x000a__x000a_Career guidance_x000a__x000a_Develop leadership skills"/>
    <s v="Career Mentor"/>
    <s v="Full Time Employee"/>
    <s v="White (South Africa)"/>
    <s v="Male"/>
    <s v="50 - 59"/>
    <s v="FNB Commercial Chief Information Office (Ismail Sibda)"/>
    <s v="South Africa"/>
    <s v="FNB"/>
    <s v="34200007536 FNB Commercial CJP Exco"/>
    <s v="Business Unit Chief Information Officer"/>
    <s v="11 -15 Years"/>
    <s v="System Design and Administration"/>
    <s v="3821889"/>
    <x v="380"/>
    <s v="Full Time Employee"/>
    <s v="White (South Africa)"/>
    <s v="Female"/>
    <s v="30 - 39"/>
    <s v="FNB Commercial Core Juristic Platform (Bonokwakhe Mbuthu)"/>
    <s v="South Africa"/>
    <s v="FNB"/>
    <s v="34200009023 FNB Commercial CJP Credit Lending IT Architecture"/>
    <s v="Technical Team Leader"/>
    <s v="11 -15 Years"/>
    <s v="IT Development"/>
    <s v="Create Mentorship Event for Carla Blom with Gary Frank"/>
    <d v="2025-01-21T00:00:00"/>
    <m/>
    <m/>
  </r>
  <r>
    <s v="3516377"/>
    <x v="177"/>
    <s v="Throughout my tenure at FNB, I have admired your leadership and the remarkable achievements you have accomplished in the Customer Sales and Interactions space. Your strategic vision and ability to navigate complex challenges have been particularly inspiring to me. As I aspire to grow and make a significant impact in my field, I believe that your guidance and insights would be invaluable._x000a__x000a_I am eager to learn from your experiences and am confident that your mentorship would not only help me enhance my skills but also provide me with the perspective needed to achieve my long-term career goals._x000a__x000a_I am committed to making the most of this opportunity and am open to any format or schedule that suits you best._x000a__x000a_LinkedIn - www.linkedin.com/in/shreyan-pale-24190817b"/>
    <s v="Career Mentor"/>
    <s v="Full Time Employee"/>
    <s v="White (South Africa)"/>
    <s v="Female"/>
    <s v="30 - 39"/>
    <s v="FNB Personal Segment (Lytania Johnson)"/>
    <s v="South Africa"/>
    <s v="FNB"/>
    <s v="5910107040 FNB Personal Exco"/>
    <s v="Executive Head"/>
    <s v="16 - 20 Years"/>
    <s v="Operations"/>
    <s v="5569982"/>
    <x v="381"/>
    <s v="Full Time Employee"/>
    <s v="Indian (South Africa)"/>
    <s v="Male"/>
    <s v="30 - 39"/>
    <s v="FNB Retail Legal Risk and Compliance (Naas Du Toit)"/>
    <s v="South Africa"/>
    <s v="FNB"/>
    <s v="85500008236 FNB Retail Legal Risk and Compliance"/>
    <s v="Risk Manager"/>
    <s v="3 - 5 Years"/>
    <s v="Operational Risk"/>
    <s v="Create Mentorship Event for Shreyan Pale with Maryke Venter"/>
    <d v="2025-01-01T00:00:00"/>
    <m/>
    <m/>
  </r>
  <r>
    <s v="5590949"/>
    <x v="258"/>
    <s v="Broaden organisational knowledge_x000a__x000a_Career guidance_x000a__x000a_Develop leadership skills_x000a__x000a_LinkedIN Profile link:_x000a_https://secure-web.cisco.com/1MomCdubGzNKq5aG_sarpVGhFjZxagcK9m5Lvscag-7YwiXg8KWC126cQAYHAJYivXv3O2PX9VA2S8oVQiggkOuIgv2F5hADIiYRhcazgZ2oOb7IZe_irVpPlz5YOiKR2AfJLhclJT3jmtrgYUHdqkb9eSIrZAoR6gKlnPG1QAKQe2jISUOxvxJvI2IkfQrOlg979yxdtuOpdG-qGo_sFe4OHnP_c4l9vsfCWgfR9fBcynoXrkUfJihsUPZYRmyN_eiXeOFKtkjPurPPYt_KRYB8J0kwIioZh4xQ3eXcADDywdoQIMxirzqRCReTjsrpZJsAnsMKdFloE1amtc3vDVg/https%3A%2F%2Fwww.linkedin.com%2Fin%2Fshingai-faith-chikoko-65043425%3Futm_source%3Dshare%26utm_campaign%3Dshare_via%26utm_content%3Dprofile%26utm_medium%3Dios_app"/>
    <s v="Leadership Mentor"/>
    <s v="Full Time Employee"/>
    <s v="African (South Africa)"/>
    <s v="Male"/>
    <s v="40 - 49"/>
    <s v="FR Ashburton (Mduduzi Ndlovu)"/>
    <s v="South Africa"/>
    <s v="RMB"/>
    <s v="77400000OHO Ashburton Operations Management Team"/>
    <s v="Chief Operating Officer"/>
    <s v="3 - 5 Years"/>
    <s v="Operations"/>
    <s v="5617839"/>
    <x v="382"/>
    <s v="Full Time Employee"/>
    <s v="African (South Africa)"/>
    <s v="Female"/>
    <s v="40 - 49"/>
    <s v="RMBSA Global Markets Operations GSS Custody (Nthabiseng Sehlapelo)"/>
    <s v="South Africa"/>
    <s v="RMB"/>
    <s v="77800000OPQ RMBSA Global Markets Operations Corporate Actions"/>
    <s v="Custody Operations Manager"/>
    <s v="2 Years"/>
    <s v="Operations"/>
    <s v="Create Mentorship Event for Shingai Chikoko with Mill Makanda"/>
    <d v="2024-11-01T00:00:00"/>
    <m/>
    <m/>
  </r>
  <r>
    <s v="4535286"/>
    <x v="35"/>
    <s v="Require assistance to evolve and thrive in information management"/>
    <s v="Career Mentor"/>
    <s v="Full Time Employee"/>
    <s v="White (South Africa)"/>
    <s v="Female"/>
    <s v="50 - 59"/>
    <s v="FNB Commercial Analytics Insights Data (Patrick Motshweni)"/>
    <s v="South Africa"/>
    <s v="FNB"/>
    <s v="34300005518 FNB Commercial Data Office"/>
    <s v="Information Architect Head"/>
    <s v="11 -15 Years"/>
    <s v="Data Management, Maintenance and Security"/>
    <s v="5023157"/>
    <x v="277"/>
    <s v="Full Time Employee"/>
    <s v="Indian (South Africa)"/>
    <s v="Female"/>
    <s v="30 - 39"/>
    <s v="RMBSA CDAO Data, Analytics and Business Intelligence (Narisha Govender)"/>
    <s v="South Africa"/>
    <s v="RMB"/>
    <s v="77800000FZM FZM - CB Finance FIM"/>
    <s v="Data Solutionist"/>
    <s v="11 -15 Years"/>
    <s v="Business Intelligence"/>
    <s v="Create Mentorship Event for Kuvashni Krishna with Athena Botha"/>
    <d v="2024-11-25T00:00:00"/>
    <d v="2025-12-31T00:00:00"/>
    <m/>
  </r>
  <r>
    <s v="5149584"/>
    <x v="259"/>
    <s v="Obtain relevant practical experience within the Fiduciary environment due to career change."/>
    <s v="Career Mentor"/>
    <s v="Full Time Employee"/>
    <s v="Indian (South Africa)"/>
    <s v="Female"/>
    <s v="30 - 39"/>
    <s v="FNB Fiduciary (David Lovett)"/>
    <s v="South Africa"/>
    <s v="FNB"/>
    <s v="30300008732 FNB WI Fiduciary Administration DBN"/>
    <s v="Administrator"/>
    <s v="6 - 10 Years"/>
    <s v="Administration"/>
    <s v="5169402"/>
    <x v="302"/>
    <s v="Full Time Employee"/>
    <s v="African (South Africa)"/>
    <s v="Female"/>
    <s v="30 - 39"/>
    <s v="FNB Commercial Chief Executive Officer Structured Lending Solutions (Jan Baard)"/>
    <s v="South Africa"/>
    <s v="FNB"/>
    <s v="33900009123 FNB Commercial Leveraged Finance Head Office"/>
    <s v="Personal Assistant"/>
    <s v="6 - 10 Years"/>
    <s v="Operations"/>
    <s v="Create Mentorship Event for Mapule Mpoko with Nadira Umraw"/>
    <d v="2024-10-01T00:00:00"/>
    <d v="2024-10-31T00:00:00"/>
    <m/>
  </r>
  <r>
    <s v="5612217"/>
    <x v="260"/>
    <s v="I am an application developer who started my career in insurance brokers. I've been with the team for 4-5 year where I have been promoted to a senior developer. I feel the need for a new journey as I no longer feel technically challenged. However, I find it difficult to look for new opportunities with the experience I have. I also find it difficult on knowing which technology I need to focus on, as there is so many to choose from. I would like to be full stack developer, but I feel stuck and need a sense of direction."/>
    <s v="Technical Mentor"/>
    <s v="Full Time Employee"/>
    <s v="White (South Africa)"/>
    <s v="Female"/>
    <s v="50 - 59"/>
    <s v="FNB eBucks (Meshaan Ramgadhu (Inherited))"/>
    <s v="South Africa"/>
    <s v="FNB"/>
    <s v="25600005667 FNB eBucks Technology"/>
    <s v="Developer"/>
    <s v="3 - 5 Years"/>
    <s v="IT Development"/>
    <s v="5335450"/>
    <x v="383"/>
    <s v="Full Time Employee"/>
    <s v="Coloured (South Africa)"/>
    <s v="Female"/>
    <s v="20 - 29"/>
    <s v="First Risk and Advisory Services (Cynthia Mashego (Inherited))"/>
    <s v="South Africa"/>
    <s v="FNB"/>
    <s v="16900010758 First Risk and Advisory Services IT"/>
    <s v="Applications Developer"/>
    <s v="6 - 10 Years"/>
    <s v="IT Development"/>
    <s v="Create Mentorship Event for Esronique Du Plessis with Barbara Engle"/>
    <d v="2024-12-09T00:00:00"/>
    <d v="2025-12-15T00:00:00"/>
    <m/>
  </r>
  <r>
    <s v="4674308"/>
    <x v="261"/>
    <s v="having Jacqueline Becker as a Mentor will assist me greatly. This is a step into achieving my career goal of understanding Smart Trade and business better .i love analyzing and understanding Processes /things to details._x000a__x000a_i have watched her grow and excel in this particular role and always admired how she helps by contributing towards the busines.so with all that i believe having her to guide me in this career journey with her personal experiences will be of great help with me becoming the person i want to be."/>
    <s v="Career Mentor"/>
    <s v="Full Time Employee"/>
    <s v="White (South Africa)"/>
    <s v="Female"/>
    <s v="40 - 49"/>
    <s v="FNB REMS Management Property (Vanessa Brooks)"/>
    <s v="South Africa"/>
    <s v="FNB"/>
    <s v="22300001562 REMS Bankcity Catering"/>
    <s v="Client Experience Manager"/>
    <s v="11 -15 Years"/>
    <s v="Client Experience and Value Management"/>
    <s v="4811992"/>
    <x v="384"/>
    <s v="Full Time Employee"/>
    <s v="African (South Africa)"/>
    <s v="Female"/>
    <s v="30 - 39"/>
    <s v="FNB Real Estate Management Services (Yvette Eva Mkhatshwa)"/>
    <s v="South Africa"/>
    <s v="FNB"/>
    <s v="22300009629 REMS Fairland Catering"/>
    <s v="Events Coordinator"/>
    <s v="6 - 10 Years"/>
    <s v="Sponsorships and Events"/>
    <s v="Create Mentorship Event for Victory Mukhuwana with Jacqueline Becker"/>
    <d v="2024-11-01T00:00:00"/>
    <d v="2025-12-19T00:00:00"/>
    <m/>
  </r>
  <r>
    <s v="8020797"/>
    <x v="262"/>
    <s v="To help facilitate my personal and professional growth by providing guidance, support, and knowledge transfer from experienced mentors to mentees."/>
    <s v="Career Mentor"/>
    <s v="Full Time Employee"/>
    <s v="Indian (South Africa)"/>
    <s v="Female"/>
    <s v="50 - 59"/>
    <s v="FRCC RRM FR Group Compliance (Rozanne Gany)"/>
    <s v="South Africa"/>
    <s v="FirstRand Corporate Centre"/>
    <s v="20200007959 FRCC RRM FR Group Compliance"/>
    <s v="Compliance Manager"/>
    <s v="6 - 10 Years"/>
    <s v="Compliance"/>
    <s v="5557305"/>
    <x v="385"/>
    <s v="Full Time Employee"/>
    <s v="Indian (South Africa)"/>
    <s v="Female"/>
    <s v="40 - 49"/>
    <s v="FNB International SA (Nosikhumbuzo Mbelu Nxumalo)"/>
    <s v="South Africa"/>
    <s v="FNB"/>
    <s v="83200009892 FNB International SA Risk"/>
    <s v="Compliance Specialist"/>
    <s v="3 - 5 Years"/>
    <s v="Compliance"/>
    <s v="Create Mentorship Event for Covani Govender with Thirumala Pillay"/>
    <d v="2024-12-10T00:00:00"/>
    <d v="2025-12-10T00:00:00"/>
    <m/>
  </r>
  <r>
    <s v="3458555"/>
    <x v="263"/>
    <s v="RMB Credit mentoring programme"/>
    <s v="Z2-Programme Mentor (HC Managed)"/>
    <s v="Full Time Employee"/>
    <s v="African (South Africa)"/>
    <s v="Male"/>
    <s v="40 - 49"/>
    <s v="RMB South Africa (Emrie Brown)"/>
    <s v="South Africa"/>
    <s v="RMB"/>
    <s v="77800000HOF RMBSA Executive Committee"/>
    <s v="Chief Credit Officer"/>
    <s v="16 - 20 Years"/>
    <s v="Credit Risk"/>
    <s v="5389992"/>
    <x v="386"/>
    <s v="Full Time Employee"/>
    <s v="African (South Africa)"/>
    <s v="Female"/>
    <s v="30 - 39"/>
    <s v="RMBSA IBD Credit Analysts (Senzo Manzini)"/>
    <s v="South Africa"/>
    <s v="RMB"/>
    <s v="77800000SFA RMBSA IBD Credit Analysts"/>
    <s v="Credit Analyst"/>
    <s v="3 - 5 Years"/>
    <s v="Credit Risk"/>
    <s v="Create Mentorship Event for Thato Diko with Thabani Zungu"/>
    <d v="2024-10-01T00:00:00"/>
    <d v="2025-10-01T00:00:00"/>
    <m/>
  </r>
  <r>
    <s v="3458555"/>
    <x v="263"/>
    <s v="RMB Credit mentoring programme"/>
    <s v="Z2-Programme Mentor (HC Managed)"/>
    <s v="Full Time Employee"/>
    <s v="African (South Africa)"/>
    <s v="Male"/>
    <s v="40 - 49"/>
    <s v="RMB South Africa (Emrie Brown)"/>
    <s v="South Africa"/>
    <s v="RMB"/>
    <s v="77800000HOF RMBSA Executive Committee"/>
    <s v="Chief Credit Officer"/>
    <s v="16 - 20 Years"/>
    <s v="Credit Risk"/>
    <s v="5030374"/>
    <x v="387"/>
    <s v="Full Time Employee"/>
    <s v="African (South Africa)"/>
    <s v="Male"/>
    <s v="30 - 39"/>
    <s v="RMBSA IBD Real Estate Team A (Dylan Stevenson)"/>
    <s v="South Africa"/>
    <s v="RMB"/>
    <s v="77800000SFP RMBSA IBD Real Estate"/>
    <s v="Transactor"/>
    <s v="3 - 5 Years"/>
    <s v="Investment Banking"/>
    <s v="Create Mentorship Event for Ookame Maruping with Thabani Zungu"/>
    <d v="2024-10-01T00:00:00"/>
    <d v="2025-10-01T00:00:00"/>
    <m/>
  </r>
  <r>
    <s v="4612590"/>
    <x v="186"/>
    <s v="Guidance through my professional development by offering insights, advice and support based on my own experiences."/>
    <s v="Career Mentor"/>
    <s v="Full Time Employee"/>
    <s v="African (South Africa)"/>
    <s v="Male"/>
    <s v="50 - 59"/>
    <s v="FNB Enterprise Chief Executive Office (Mike Naidoo)"/>
    <s v="South Africa"/>
    <s v="FNB"/>
    <s v="34400006518 FNB Commercial EXCO"/>
    <s v="Provincial Head"/>
    <s v="&gt;20 Years"/>
    <s v="Operations"/>
    <s v="5078660"/>
    <x v="388"/>
    <s v="Full Time Employee"/>
    <s v="African (South Africa)"/>
    <s v="Male"/>
    <s v="30 - 39"/>
    <s v="FNB Connect and Service Provider (Ashwin Gobind (Inherited))"/>
    <s v="South Africa"/>
    <s v="FNB"/>
    <s v="83100005537 FNB Connect Customer Support"/>
    <s v="User Experience Designer"/>
    <s v="3 - 5 Years"/>
    <s v="System Design and Administration"/>
    <s v="Create Mentorship Event for Tom Seleka with Themba Mabizela"/>
    <d v="2025-01-27T00:00:00"/>
    <m/>
    <m/>
  </r>
  <r>
    <s v="2285681"/>
    <x v="13"/>
    <s v="Career growth."/>
    <s v="Career Mentor"/>
    <s v="Full Time Employee"/>
    <s v="White (South Africa)"/>
    <s v="Male"/>
    <s v="50 - 59"/>
    <s v="FNB International SA (Tsholofelo Mosito)"/>
    <s v="South Africa"/>
    <s v="FNB"/>
    <s v="83200009889 FNB International SA Learning and Development"/>
    <s v="Learning Consultant"/>
    <s v="&gt;20 Years"/>
    <s v="Experience Architecting"/>
    <s v="5294258"/>
    <x v="389"/>
    <s v="OBR With Fixed Pay"/>
    <s v="Indian (South Africa)"/>
    <s v="Male"/>
    <s v="30 - 39"/>
    <s v="FNB HSL (Adila Katz)"/>
    <s v="South Africa"/>
    <s v="FNB"/>
    <s v="21200004026 HSL Servicing and Collections Arrears Pre Legal"/>
    <s v="Collections Advisor"/>
    <s v="6 - 10 Years"/>
    <s v="Collections and Recoveries"/>
    <s v="Create Mentorship Event for Sufyaan Beg with Eddie Roodt"/>
    <d v="2025-02-01T00:00:00"/>
    <d v="2026-02-28T00:00:00"/>
    <m/>
  </r>
  <r>
    <s v="4751795"/>
    <x v="264"/>
    <s v="RMB Credit mentorship programme"/>
    <s v="Z2-Programme Mentor (HC Managed)"/>
    <s v="Full Time Employee"/>
    <s v="African (South Africa)"/>
    <s v="Male"/>
    <s v="30 - 39"/>
    <s v="RMBSA LRC Credit Risk Management (Noah Ngcobo)"/>
    <s v="South Africa"/>
    <s v="RMB"/>
    <s v="77800000GCP RMBSA Broader Africa Credit Risk Management Team"/>
    <s v="Credit Head"/>
    <s v="11 -15 Years"/>
    <s v="Credit Risk"/>
    <s v="5669189"/>
    <x v="390"/>
    <s v="Full Time Employee"/>
    <s v="African (South Africa)"/>
    <s v="Male"/>
    <s v="30 - 39"/>
    <s v="RMBSA IBD Credit Analysts (Danny Ma)"/>
    <s v="South Africa"/>
    <s v="RMB"/>
    <s v="77800000SFA RMBSA IBD Credit Analysts"/>
    <s v="Credit Analyst"/>
    <s v="2 Years"/>
    <s v="Credit Risk"/>
    <s v="Create Mentorship Event for Luyanda Koni with Molai Mothejoa"/>
    <d v="2024-10-01T00:00:00"/>
    <d v="2025-10-01T00:00:00"/>
    <m/>
  </r>
  <r>
    <s v="4751795"/>
    <x v="264"/>
    <s v="RMB Credit mentorship programme"/>
    <s v="Z2-Programme Mentor (HC Managed)"/>
    <s v="Full Time Employee"/>
    <s v="African (South Africa)"/>
    <s v="Male"/>
    <s v="30 - 39"/>
    <s v="RMBSA LRC Credit Risk Management (Noah Ngcobo)"/>
    <s v="South Africa"/>
    <s v="RMB"/>
    <s v="77800000GCP RMBSA Broader Africa Credit Risk Management Team"/>
    <s v="Credit Head"/>
    <s v="11 -15 Years"/>
    <s v="Credit Risk"/>
    <s v="5379830"/>
    <x v="391"/>
    <s v="Full Time Employee"/>
    <s v="African (South Africa)"/>
    <s v="Male"/>
    <s v="30 - 39"/>
    <s v="RMBSA Broader Africa Country Risk (Gunther Kuschke)"/>
    <s v="South Africa"/>
    <s v="RMB"/>
    <s v="77800000EMS RMBSA Broader Africa Country Risk"/>
    <s v="Country Analyst"/>
    <s v="3 - 5 Years"/>
    <s v="Credit Risk"/>
    <s v="Create Mentorship Event for Caleb Qoyo with Molai Mothejoa"/>
    <d v="2024-10-01T00:00:00"/>
    <d v="2025-10-01T00:00:00"/>
    <m/>
  </r>
  <r>
    <s v="5546885"/>
    <x v="210"/>
    <s v="Good day,_x000a_As an FNB employee who is employed as a Universal Advisor. As a recent graduate i possess a Bachelor of Commerce degree in Accounting and Finance , i would like mentorship in the finance sector as i am very passionate about the world of Finance."/>
    <s v="Career Mentor"/>
    <s v="Full Time Employee"/>
    <s v="African (South Africa)"/>
    <s v="Male"/>
    <s v="30 - 39"/>
    <s v="FNB Commercial TxP (Phillip Mthimunye)"/>
    <s v="South Africa"/>
    <s v="FNB"/>
    <s v="39800003339 FNB Commercial TxP Finance"/>
    <s v="Financial Manager"/>
    <s v="3 - 5 Years"/>
    <s v="Financial Management"/>
    <s v="8877032"/>
    <x v="392"/>
    <s v="Full Time Employee"/>
    <s v="African (South Africa)"/>
    <s v="Male"/>
    <s v="20 - 29"/>
    <s v="FNB Points of Presence (Tebogo Mahanke)"/>
    <s v="South Africa"/>
    <s v="FNB"/>
    <s v="7710109800 FNB POP Branch Delivery Sunninghill"/>
    <s v="Universal Advisor"/>
    <s v="1 Year"/>
    <s v="Client Experience and Value Management"/>
    <s v="Create Mentorship Event for Obakeng Mokalapa with Mongezi Mahlangu"/>
    <d v="2025-01-15T00:00:00"/>
    <d v="2025-03-15T00:00:00"/>
    <m/>
  </r>
  <r>
    <s v="5414032"/>
    <x v="189"/>
    <s v="I have done my research on Helen and have heard very good testimonials on how she helps young professionals in Investment Banking navigate the new environment and helps and supports them reaching their full potential career-wise._x000a_Being in Loan Capital Markets Solutions, I am sure Helen can advise me on the growth areas for a new Credit Analyst in the Retail and Consumer space, who is open to learning and see how different areas of the bank interact."/>
    <s v="Career Mentor"/>
    <s v="Full Time Employee"/>
    <s v="African (South Africa)"/>
    <s v="Female"/>
    <s v="40 - 49"/>
    <s v="RMBSA Investment Banking Division (IBD) (Rob Leon)"/>
    <s v="South Africa"/>
    <s v="RMB"/>
    <s v="77800000DTR RMBSA IBD Loan Capital Markets &amp; Syndications"/>
    <s v="Loan Capital Market Solutions Head"/>
    <s v="3 - 5 Years"/>
    <s v="Investment Banking"/>
    <s v="5354595"/>
    <x v="393"/>
    <s v="Full Time Employee"/>
    <s v="African (South Africa)"/>
    <s v="Male"/>
    <s v="30 - 39"/>
    <s v="RMBSA TTS Credit Analysts (Bavanisha Varaden)"/>
    <s v="South Africa"/>
    <s v="RMB"/>
    <s v="77800000SFA RMBSA IBD Credit Analysts"/>
    <s v="Credit Analyst"/>
    <s v="1 Year"/>
    <s v="Credit Risk"/>
    <s v="Create Mentorship Event for Tebogo Moloanyana with Helen Mkhize"/>
    <d v="2025-01-07T00:00:00"/>
    <d v="2026-07-07T00:00:00"/>
    <m/>
  </r>
  <r>
    <s v="3678482"/>
    <x v="187"/>
    <s v="As a recent graduate with a diploma in Information Technology (Software Development), I am eager to transition from my current role in the cash floor to a career in IT, where I can build and refine my coding skills. To achieve this, I plan to strengthen my existing knowledge by focusing on core programming languages such as Python, JavaScript, and Java, while learning new technologies and frameworks. I will leverage online platforms like Codecademy, freeCodeCamp, and Coursera to take structured courses and work on interactive coding challenges through LeetCode and HackerRank. Hands-on practice will be crucial, so I plan to build personal projects, contribute to open-source initiatives, and create a portfolio on GitHub to showcase my work. Additionally, I will network with professionals in the IT field via LinkedIn and attend meetups or webinars to stay informed about industry trends and best practices. I will also look for entry-level positions, internships, or even internal opportunities within my current company to gain practical experience. Through continuous learning, persistence, and the completion of real-world projects, I am confident that I will successfully transition into the IT field and begin building the experience necessary for a long-term career in software development."/>
    <s v="Technical Mentor"/>
    <s v="Full Time Employee"/>
    <s v="Coloured (South Africa)"/>
    <s v="Male"/>
    <s v="30 - 39"/>
    <s v="FNB Commercial Cash (Andries Vermaak)"/>
    <s v="South Africa"/>
    <s v="FNB"/>
    <s v="25200006132 FNB Commercial IT Application Development Cash"/>
    <s v="Data Analyst"/>
    <s v="11 -15 Years"/>
    <s v="Data Management, Maintenance and Security"/>
    <s v="8870969"/>
    <x v="394"/>
    <s v="Full Time Employee"/>
    <s v="African (South Africa)"/>
    <s v="Male"/>
    <s v="20 - 29"/>
    <s v="FNB Commercial Cash Centre Pretoria (Elias Thamaga)"/>
    <s v="South Africa"/>
    <s v="FNB"/>
    <s v="76100000967 FNB Commercial Cash Centre Pretoria"/>
    <s v="Teller"/>
    <s v="1 Year"/>
    <s v="Client Services Support and Delivery"/>
    <s v="Create Mentorship Event for Nkosinathi Nwamba with Jermaine Varnicker"/>
    <d v="2025-01-09T00:00:00"/>
    <d v="2026-01-07T00:00:00"/>
    <m/>
  </r>
  <r>
    <s v="2962233"/>
    <x v="265"/>
    <s v="I am a motivated individual eager to expand my technical skills and deepen my understanding of software development life cycles (SDLC) and solutions architecture processes. My goal is to gain insight into how these frameworks drive innovation and deliver value. I am excited about the opportunity to collaborate, learn from experienced professionals, and contribute to meaningful projects as part of this journey"/>
    <s v="Technical Mentor"/>
    <s v="Full Time Employee"/>
    <s v="White (South Africa)"/>
    <s v="Male"/>
    <s v="50 - 59"/>
    <s v="FNB Core Banking Platform (Sandy Pillay)"/>
    <s v="South Africa"/>
    <s v="FNB"/>
    <s v="59600005436 FNB Personal and Private IT HR"/>
    <s v="Learning and Development Manager"/>
    <s v="16 - 20 Years"/>
    <s v="Experience Architecting"/>
    <s v="5430496"/>
    <x v="395"/>
    <s v="Full Time Employee"/>
    <s v="African (South Africa)"/>
    <s v="Female"/>
    <s v="30 - 39"/>
    <s v="FNB Chief Risk Office Interactions and Risk Analytics (Kholofelo Napo)"/>
    <s v="South Africa"/>
    <s v="FNB"/>
    <s v="39400003184 FNB Chief Risk Office Interactions and Risk Analytics"/>
    <s v="Data Scientist"/>
    <s v="3 - 5 Years"/>
    <s v="Analytics"/>
    <s v="Create Mentorship Event for Itumeleng Mothapo with Grant Pentelow"/>
    <d v="2025-02-01T00:00:00"/>
    <d v="2025-12-12T00:00:00"/>
    <m/>
  </r>
  <r>
    <s v="3459519"/>
    <x v="266"/>
    <s v="Career guidance_x000a__x000a_Manage a career transition_x000a__x000a_Relationship building and networking"/>
    <s v="Career Mentor"/>
    <s v="Full Time Employee"/>
    <s v="Indian (South Africa)"/>
    <s v="Male"/>
    <s v="30 - 39"/>
    <s v="FNB Private Banking and Advisory (Tshepiso Martin)"/>
    <s v="South Africa"/>
    <s v="FNB"/>
    <s v="34100008332 PB&amp;A Cape Peninsula Affluent"/>
    <s v="Sales and Service Manager"/>
    <s v="16 - 20 Years"/>
    <s v="Sales Management"/>
    <s v="5113741"/>
    <x v="396"/>
    <s v="OBR With Fixed Pay"/>
    <s v="African (South Africa)"/>
    <s v="Female"/>
    <s v="30 - 39"/>
    <s v="FNB Private Banking and Advisory (Deolin Govender)"/>
    <s v="South Africa"/>
    <s v="FNB"/>
    <s v="34100008332 PB&amp;A Cape Peninsula Affluent"/>
    <s v="Private Banking Analyst Private Clients"/>
    <s v="6 - 10 Years"/>
    <s v="Client Relationship Management"/>
    <s v="Create Mentorship Event for Phelela Majikijela with Deolin Govender"/>
    <d v="2025-02-15T00:00:00"/>
    <m/>
    <m/>
  </r>
  <r>
    <s v="2862212"/>
    <x v="161"/>
    <m/>
    <s v="Leadership Mentor"/>
    <s v="Full Time Employee"/>
    <s v="African (South Africa)"/>
    <s v="Male"/>
    <s v="40 - 49"/>
    <s v="FNB Commercial Forex CVM (Cindy-Lee Mayes)"/>
    <s v="South Africa"/>
    <s v="FNB"/>
    <s v="81800006277 FNB Commercial Forex Growth"/>
    <s v="National Sales Head"/>
    <s v="&gt;20 Years"/>
    <s v="Sales Management"/>
    <s v="5056853"/>
    <x v="397"/>
    <s v="Full Time Employee"/>
    <s v="African (South Africa)"/>
    <s v="Female"/>
    <s v="30 - 39"/>
    <s v="FNB Commercial Forex Strategy (Scholtz Molipa)"/>
    <s v="South Africa"/>
    <s v="FNB"/>
    <s v="81800007681 FNB Commercial Forex Advisory Desk"/>
    <s v="Client Service Consultant"/>
    <s v="6 - 10 Years"/>
    <s v="Client Experience and Value Management"/>
    <s v="Create Mentorship Event for Rebotile Tisani with Reginald Mothubakgang"/>
    <d v="2025-02-04T00:00:00"/>
    <d v="2025-06-27T00:00:00"/>
    <m/>
  </r>
  <r>
    <s v="5151058"/>
    <x v="267"/>
    <m/>
    <s v="Technical Mentor"/>
    <s v="Full Time Employee"/>
    <s v="African (South Africa)"/>
    <s v="Male"/>
    <s v="30 - 39"/>
    <s v="RMB TTS Client Groups (Kevin Ssemwogerere)"/>
    <s v="South Africa"/>
    <s v="RMB"/>
    <s v="77800000TXS RMBSA TTS Transactional Banking Sales"/>
    <s v="Business Development Strategist"/>
    <s v="6 - 10 Years"/>
    <s v="Business Development"/>
    <s v="8875474"/>
    <x v="398"/>
    <s v="Full Time Employee"/>
    <s v="African (South Africa)"/>
    <s v="Female"/>
    <s v="30 - 39"/>
    <s v="RMBSA TTS Client Group Sales Enablement (Alcinda Moezelaar)"/>
    <s v="South Africa"/>
    <s v="RMB"/>
    <s v="77800000SON RMBSA TTS Client Group Sales Enablement"/>
    <s v="TTS Client Intelligence Portfolio Analyst"/>
    <s v="1 Year"/>
    <s v="Market Research and Analytics"/>
    <s v="Create Mentorship Event for Yama Mathobo with Zukisani Dyasi"/>
    <d v="2025-01-01T00:00:00"/>
    <d v="2025-12-31T00:00:00"/>
    <m/>
  </r>
  <r>
    <s v="5334187"/>
    <x v="268"/>
    <s v="RMB Credit mentoring programme"/>
    <s v="Z2-Programme Mentor (HC Managed)"/>
    <s v="Full Time Employee"/>
    <s v="White (South Africa)"/>
    <s v="Male"/>
    <s v="20 - 29"/>
    <s v="RMBSA IBD Leverage Finance Team A (Duncan Smith)"/>
    <s v="South Africa"/>
    <s v="RMB"/>
    <s v="77800000AQN RMBSA IBD Leverage Finance"/>
    <s v="Transactor"/>
    <s v="6 - 10 Years"/>
    <s v="Investment Banking"/>
    <s v="5354595"/>
    <x v="393"/>
    <s v="Full Time Employee"/>
    <s v="African (South Africa)"/>
    <s v="Male"/>
    <s v="30 - 39"/>
    <s v="RMBSA TTS Credit Analysts (Bavanisha Varaden)"/>
    <s v="South Africa"/>
    <s v="RMB"/>
    <s v="77800000SFA RMBSA IBD Credit Analysts"/>
    <s v="Credit Analyst"/>
    <s v="1 Year"/>
    <s v="Credit Risk"/>
    <s v="Create Mentorship Event for Tebogo Moloanyana with Steven Harris"/>
    <d v="2024-10-01T00:00:00"/>
    <d v="2025-10-01T00:00:00"/>
    <m/>
  </r>
  <r>
    <s v="5645840"/>
    <x v="269"/>
    <s v="Good Day Tebatso_x000a__x000a_I hope this message finds you well. I am reaching out to seek your guidance and support as I transition into a career in software development. I believe that your mentorship would be invaluable during this pivotal time in my career._x000a_As I embark on this journey, I am eager to learn not only the technical skills required but also the best practices, industry insights, and strategies that can help me navigate this field effectively. I am particularly interested in [specific areas of software development, such as web development, mobile applications, etc.], and I would greatly appreciate your advice on resources, learning paths, or any projects you think would be beneficial for me._x000a_I am committed to putting in the effort and would be grateful for any time you could spare for discussions or guidance. Thank you for considering my request. Your mentorship could make a significant difference in my professional growth._x000a_Looking forward to hearing from you._x000a_Best regards,_x000a__x000a_Sello Precias Masango"/>
    <s v="Transition Mentor"/>
    <s v="Full Time Employee"/>
    <s v="African (South Africa)"/>
    <s v="Male"/>
    <s v="30 - 39"/>
    <s v="CDO Payments Corporate and Acquiring (Isabel Abelho)"/>
    <s v="South Africa"/>
    <s v="FNB"/>
    <s v="79000006202 CDO Payments Settlement and Swift"/>
    <s v="Java Developer"/>
    <s v="2 Years"/>
    <s v="IT Development"/>
    <s v="4980654"/>
    <x v="399"/>
    <s v="Full Time Employee"/>
    <s v="African (South Africa)"/>
    <s v="Female"/>
    <s v="30 - 39"/>
    <s v="CDO Infrastructure and Security Services (Callista Adams)"/>
    <s v="South Africa"/>
    <s v="FNB"/>
    <s v="20700007237 CDO Infrastructure and Security Services End User Service Desk"/>
    <s v="IT Help Desk Technician"/>
    <s v="6 - 10 Years"/>
    <s v="IT Support"/>
    <s v="Create Mentorship Event for Sello Masango with Tebatso Mokgokolo"/>
    <d v="2025-02-10T00:00:00"/>
    <m/>
    <m/>
  </r>
  <r>
    <s v="5150175"/>
    <x v="102"/>
    <s v="To foster personal and professional growth by creating meaningful connections between experienced mentors and myself, providing guidance, support and knowledge-sharing."/>
    <s v="Technical Mentor"/>
    <s v="Full Time Employee"/>
    <s v="White (South Africa)"/>
    <s v="Male"/>
    <s v="40 - 49"/>
    <s v="FRG Data and Analytics Office (Lian Van Oudheusden)"/>
    <s v="South Africa"/>
    <s v="FNB"/>
    <s v="39400010972 FNB Chief Risk Office Credit Risk and Reporting"/>
    <s v="Information Architecture Head"/>
    <s v="16 - 20 Years"/>
    <s v="Architecture"/>
    <s v="8877581"/>
    <x v="400"/>
    <m/>
    <s v="N/A (Ghana)"/>
    <s v="Male"/>
    <s v="20 - 29"/>
    <m/>
    <s v="Ghana"/>
    <m/>
    <m/>
    <m/>
    <s v="&lt;1 Year"/>
    <m/>
    <s v="Create Mentorship Event for Gibson Friar (Terminated) with Andre Olivier"/>
    <d v="2025-01-20T00:00:00"/>
    <d v="2025-02-20T00:00:00"/>
    <m/>
  </r>
  <r>
    <s v="5414032"/>
    <x v="189"/>
    <s v="I am currently in Finance as part of the Finance partner team for the corporate and investment department. I want to learn move about Corporate and investment finance and well as treasury so i can give me best to the team. I aim is to be a treasury accountant. I hope you will take me as a mantee to coach me. i am willing and readily available to avail myself to be mentored."/>
    <s v="Career Mentor"/>
    <s v="Full Time Employee"/>
    <s v="African (South Africa)"/>
    <s v="Female"/>
    <s v="40 - 49"/>
    <s v="RMBSA Investment Banking Division (IBD) (Rob Leon)"/>
    <s v="South Africa"/>
    <s v="RMB"/>
    <s v="77800000DTR RMBSA IBD Loan Capital Markets &amp; Syndications"/>
    <s v="Loan Capital Market Solutions Head"/>
    <s v="3 - 5 Years"/>
    <s v="Investment Banking"/>
    <s v="5353610"/>
    <x v="401"/>
    <s v="Full Time Employee"/>
    <s v="N/A (Ghana)"/>
    <s v="Male"/>
    <s v="30 - 39"/>
    <s v="Ghana Support Functions (Eric Brenyah Anane)"/>
    <s v="Ghana"/>
    <s v="FNB"/>
    <s v="55400003872 FNB Ghana Business AGRI"/>
    <s v="Accountant"/>
    <s v="6 - 10 Years"/>
    <s v="Systems Accounting and Financial Operations"/>
    <s v="Create Mentorship Event for Michael Mac-Kittah with Helen Mkhize"/>
    <d v="2024-10-01T00:00:00"/>
    <d v="2025-07-31T00:00:00"/>
    <m/>
  </r>
  <r>
    <s v="3847764"/>
    <x v="270"/>
    <s v="Strategic gain against data and business development."/>
    <s v="Leadership Mentor"/>
    <s v="Full Time Employee"/>
    <s v="Coloured (South Africa)"/>
    <s v="Male"/>
    <s v="30 - 39"/>
    <s v="FNB Customer and Sales Interactions (Laura Irving)"/>
    <s v="South Africa"/>
    <s v="FNB"/>
    <s v="99100009981 FNB Customer and Sales Interactions Enablement"/>
    <s v="Solution Strategist"/>
    <s v="11 -15 Years"/>
    <s v="Operations"/>
    <s v="4968700"/>
    <x v="402"/>
    <s v="Full Time Employee"/>
    <s v="African (South Africa)"/>
    <s v="Female"/>
    <s v="30 - 39"/>
    <s v="FNB Customer and Sales Interactions (Lizelle Van Der Walt)"/>
    <s v="South Africa"/>
    <s v="FNB"/>
    <s v="99100009981 FNB Customer and Sales Interactions Enablement"/>
    <s v="Business Intelligence Analyst"/>
    <s v="6 - 10 Years"/>
    <s v="Business Intelligence"/>
    <s v="Create Mentorship Event for Lillian Kalenzi with Duane Ryan"/>
    <d v="2025-01-01T00:00:00"/>
    <d v="2025-12-31T00:00:00"/>
    <m/>
  </r>
  <r>
    <s v="4979133"/>
    <x v="271"/>
    <m/>
    <s v="Transition Mentor"/>
    <m/>
    <s v="African (South Africa)"/>
    <s v="Female"/>
    <s v="60 - 64"/>
    <m/>
    <s v="South Africa"/>
    <m/>
    <m/>
    <m/>
    <s v="&lt;1 Year"/>
    <m/>
    <s v="5591988"/>
    <x v="403"/>
    <s v="Full Time Employee"/>
    <s v="Indian (South Africa)"/>
    <s v="Male"/>
    <s v="30 - 39"/>
    <s v="FNB Commercial Property Finance (Lourens Swanepoel)"/>
    <s v="South Africa"/>
    <s v="FNB"/>
    <s v="33900009242 FNB Commercial Leveraged Finance Inland"/>
    <s v="Deal Maker"/>
    <s v="3 - 5 Years"/>
    <s v="Direct Sales"/>
    <s v="Create Mentorship Event for Adeel Amod with Phepsile Dlamini (Terminated)"/>
    <d v="2024-01-01T00:00:00"/>
    <m/>
    <m/>
  </r>
  <r>
    <s v="4506367"/>
    <x v="272"/>
    <s v="RMB Credit mentoring programme"/>
    <s v="Z2-Programme Mentor (HC Managed)"/>
    <s v="Full Time Employee"/>
    <s v="White (South Africa)"/>
    <s v="Male"/>
    <s v="50 - 59"/>
    <s v="RMBSA Global Markets Credit Risk (Keith Flemmer)"/>
    <s v="South Africa"/>
    <s v="RMB"/>
    <s v="77800000BCR RMBSA Global Markets Credit Risk"/>
    <s v="Credit Head"/>
    <s v="&gt;20 Years"/>
    <s v="Credit Risk"/>
    <s v="5632935"/>
    <x v="404"/>
    <s v="Full Time Employee"/>
    <s v="African (South Africa)"/>
    <s v="Male"/>
    <s v="20 - 29"/>
    <s v="RMBSA IBD Credit Analysts (Senzo Manzini)"/>
    <s v="South Africa"/>
    <s v="RMB"/>
    <s v="77800000SFA RMBSA IBD Credit Analysts"/>
    <s v="Credit Analyst"/>
    <s v="2 Years"/>
    <s v="Credit Risk"/>
    <s v="Create Mentorship Event for Axolile Majola with Willem Van Der Westhuizen"/>
    <d v="2024-10-01T00:00:00"/>
    <d v="2025-10-01T00:00:00"/>
    <m/>
  </r>
  <r>
    <s v="4776690"/>
    <x v="273"/>
    <s v="I am requesting mentorship to advance my career in cybersecurity. I have acquired skills in this field that have increased my knowledge, and I believe a mentor can help me further develop my expertise and career trajectory."/>
    <s v="Career Mentor"/>
    <s v="Full Time Employee"/>
    <s v="White (South Africa)"/>
    <s v="Female"/>
    <s v="40 - 49"/>
    <s v="CDO Infrastructure and Security Services (Eugene Pretorius)"/>
    <s v="South Africa"/>
    <s v="FNB"/>
    <s v="20700005429 CDO Infrastructure and Security Services CRM"/>
    <s v="Business Unit Chief Information Officer"/>
    <s v="11 -15 Years"/>
    <s v="System Design and Administration"/>
    <s v="5183340"/>
    <x v="405"/>
    <s v="Full Time Employee"/>
    <s v="African (South Africa)"/>
    <s v="Male"/>
    <s v="30 - 39"/>
    <s v="CDO Infrastructure and Security Services (Denis Nhatumbo)"/>
    <s v="South Africa"/>
    <s v="FNB"/>
    <s v="20700008475 CDO Networks and Security Services End User Support"/>
    <s v="Desktop Support Technician"/>
    <s v="6 - 10 Years"/>
    <s v="IT Support"/>
    <s v="Create Mentorship Event for Siphiwe Sitwayi with Caryn Bell"/>
    <d v="2025-02-12T00:00:00"/>
    <d v="2025-12-31T00:00:00"/>
    <m/>
  </r>
  <r>
    <s v="5242444"/>
    <x v="274"/>
    <s v="My purpose is to become a dialer administrator and I already posses a NQF 5 and 6 in Business Analysis, but with your skills and experience I hope to become one or just know what the role is about"/>
    <s v="Technical Mentor"/>
    <s v="Full Time Employee"/>
    <s v="Indian (South Africa)"/>
    <s v="Female"/>
    <s v="30 - 39"/>
    <s v="DirectAxis (Jean-Pierre Crook)"/>
    <s v="South Africa"/>
    <s v="FNB"/>
    <s v="99700015118 DA Business Optimisation"/>
    <s v="Dialer Administrator"/>
    <s v="6 - 10 Years"/>
    <s v="Operations"/>
    <s v="5233003"/>
    <x v="406"/>
    <s v="Full Time Employee"/>
    <s v="Coloured (South Africa)"/>
    <s v="Male"/>
    <s v="30 - 39"/>
    <s v="DirectAxis (Shamiela Mohammed)"/>
    <s v="South Africa"/>
    <s v="FNB"/>
    <s v="99700015137 DA IT Operations"/>
    <s v="Application Support Analyst"/>
    <s v="6 - 10 Years"/>
    <s v="IT Development"/>
    <s v="Create Mentorship Event for Giovanno Sheppard with Afreen Kumandan"/>
    <d v="2025-02-18T00:00:00"/>
    <d v="2025-03-28T00:00:00"/>
    <m/>
  </r>
  <r>
    <s v="5309409"/>
    <x v="275"/>
    <s v="To set up structure on how we're going to go about with our sessions."/>
    <s v="Career Mentor"/>
    <s v="Full Time Employee"/>
    <s v="White (South Africa)"/>
    <s v="Male"/>
    <s v="30 - 39"/>
    <s v="FNB Core Banking Platform (Farieda Mayet)"/>
    <s v="South Africa"/>
    <s v="FNB"/>
    <s v="59600007235 FNB Personal and Private IT Home Loans IT Systems"/>
    <s v="User Experience Manager"/>
    <s v="6 - 10 Years"/>
    <s v="Architecture"/>
    <s v="3106675"/>
    <x v="407"/>
    <s v="Full Time Employee"/>
    <s v="African (South Africa)"/>
    <s v="Male"/>
    <s v="40 - 49"/>
    <s v="FNB Core Banking Platform (Grant Pentelow)"/>
    <s v="South Africa"/>
    <s v="FNB"/>
    <s v="59600005436 FNB Personal and Private IT HR"/>
    <s v="Learning Consultant"/>
    <s v="16 - 20 Years"/>
    <s v="Experience Architecting"/>
    <s v="Create Mentorship Event for Colin Makwe with Bjorn Coetzee"/>
    <d v="2025-02-25T00:00:00"/>
    <m/>
    <m/>
  </r>
  <r>
    <s v="5385571"/>
    <x v="276"/>
    <s v="To better understand my work path"/>
    <s v="Career Mentor"/>
    <s v="Full Time Employee"/>
    <m/>
    <s v="Female"/>
    <s v="40 - 49"/>
    <s v="FNB Zambia Chief Executive Office (Kapumpe Chola)"/>
    <s v="Zambia"/>
    <s v="FNB"/>
    <s v="55300003061 FNB Zambia Retail Segment"/>
    <s v="Retail Head"/>
    <s v="3 - 5 Years"/>
    <s v="Direct Sales"/>
    <s v="8871992"/>
    <x v="408"/>
    <s v="Full Time Employee"/>
    <s v="N/A (Zambia)"/>
    <s v="Male"/>
    <s v="20 - 29"/>
    <s v="FNB Zambia Retail Segment (Brenda Mukuka Musonda)"/>
    <s v="Zambia"/>
    <s v="FNB"/>
    <s v="55300005792 FNB Zambia Luanshya Branch"/>
    <s v="Multi Skilled Consultant"/>
    <s v="1 Year"/>
    <s v="Client Experience and Value Management"/>
    <s v="Create Mentorship Event for Alex Mulenga with Mwamba Musambo"/>
    <d v="2025-03-24T00:00:00"/>
    <d v="2025-06-27T00:00:00"/>
    <m/>
  </r>
  <r>
    <s v="4535286"/>
    <x v="35"/>
    <s v="Good day Athena,_x000a__x000a_Trust you are well._x000a__x000a_Please kindly consider me for the opportunity of being your mentee. I am humbly requesting your mentorship as I have witnessed you thrive, be very impactful and knowledgeable about Data Management topics._x000a__x000a_While I already delivery in one of the Data Management knowledge areas, I would like to ask for your mentorship in order to help me with guided implementation and delivery of my work, especially for optimum stakeholder enablement, all of which will contribute to the development of my knowledge._x000a__x000a_With this opportunity I intend to utilize my professional skills, soft skills, and gain more technical and leadership skills in order to be proactive and excel on requirements. By integrating my passion for Data Management with the learnings I will gain from you and additional training opportunities to further advance my skills, I intend to grow in my career and ultimately add measurable and valuable contributions to the business._x000a__x000a_I have recently completed the DMF training and will be writing towards my certification soon. I have plans to further specialize in Data Governance and possibly Data Quality, while also expanding my knowledge across the Data Management knowledge areas._x000a__x000a_Kind regards,_x000a_Ntokozo"/>
    <s v="Career Mentor"/>
    <s v="Full Time Employee"/>
    <s v="White (South Africa)"/>
    <s v="Female"/>
    <s v="50 - 59"/>
    <s v="FNB Commercial Analytics Insights Data (Patrick Motshweni)"/>
    <s v="South Africa"/>
    <s v="FNB"/>
    <s v="34300005518 FNB Commercial Data Office"/>
    <s v="Information Architect Head"/>
    <s v="11 -15 Years"/>
    <s v="Data Management, Maintenance and Security"/>
    <s v="5575486"/>
    <x v="409"/>
    <s v="Full Time Employee"/>
    <s v="African (South Africa)"/>
    <s v="Female"/>
    <s v="30 - 39"/>
    <s v="FNB Commercial Analytics Insights Data (Zama Ntuli Zama)"/>
    <s v="South Africa"/>
    <s v="FNB"/>
    <s v="34300005518 FNB Commercial Data Office"/>
    <s v="Information Management Specialist"/>
    <s v="3 - 5 Years"/>
    <s v="Data Governance and Information Management"/>
    <s v="Create Mentorship Event for Ntokozo Mdluli with Athena Botha"/>
    <d v="2025-02-24T00:00:00"/>
    <m/>
    <m/>
  </r>
  <r>
    <s v="4662458"/>
    <x v="277"/>
    <s v="To gain support for my personal and professional development. Through guidance, sharing experiences, and offering."/>
    <s v="Leadership Mentor"/>
    <s v="Full Time Employee"/>
    <s v="African (South Africa)"/>
    <s v="Male"/>
    <s v="40 - 49"/>
    <s v="RMBSA Technology (Christiaan Du Preez)"/>
    <s v="South Africa"/>
    <s v="RMB"/>
    <s v="77800000BTL RMBSA IBD Technology Team"/>
    <s v="Chief Information Officer Sponsor and IBD"/>
    <s v="3 - 5 Years"/>
    <s v="IT Development"/>
    <s v="5388783"/>
    <x v="410"/>
    <s v="Full Time Employee"/>
    <s v="African (South Africa)"/>
    <s v="Male"/>
    <s v="30 - 39"/>
    <s v="FNB Commercial Analytics Insights Data (Axolile Daniel)"/>
    <s v="South Africa"/>
    <s v="FNB"/>
    <s v="34300005518 FNB Commercial Data Office"/>
    <s v="Data Engineer"/>
    <s v="3 - 5 Years"/>
    <s v="Data Management, Maintenance and Security"/>
    <s v="Create Mentorship Event for Ramafa Makhafola with Kgotso Buys"/>
    <d v="2025-02-25T00:00:00"/>
    <m/>
    <m/>
  </r>
  <r>
    <s v="5107547"/>
    <x v="278"/>
    <s v="To guide and provide exposure to the design culture and methods practiced/used within the FNB design space."/>
    <s v="Career Mentor"/>
    <s v="Full Time Employee"/>
    <s v="African (South Africa)"/>
    <s v="Female"/>
    <s v="30 - 39"/>
    <s v="FNB COO Head Office (Mareli Benn)"/>
    <s v="South Africa"/>
    <s v="FNB"/>
    <s v="69000004783 FNB COO - Communications"/>
    <s v="Communications Manager"/>
    <s v="6 - 10 Years"/>
    <s v="Communication and Public Relations"/>
    <s v="5049059"/>
    <x v="411"/>
    <s v="Full Time Employee"/>
    <s v="African (South Africa)"/>
    <s v="Male"/>
    <s v="30 - 39"/>
    <s v="FNB Personal Segment Advisory and Suites (Ayanda Mlangeni)"/>
    <s v="South Africa"/>
    <s v="FNB"/>
    <s v="97200005296 PSAS Premier Chat"/>
    <s v="Service and Sales Advisor"/>
    <s v="6 - 10 Years"/>
    <s v="Client Services Support and Delivery"/>
    <s v="Create Mentorship Event for Jason Meyer with Nolu Hlwatika"/>
    <d v="2025-02-19T00:00:00"/>
    <m/>
    <m/>
  </r>
  <r>
    <s v="4804325"/>
    <x v="182"/>
    <s v="Data Science Mentorship"/>
    <s v="Career Mentor"/>
    <s v="Full Time Employee"/>
    <s v="African (South Africa)"/>
    <s v="Male"/>
    <s v="30 - 39"/>
    <s v="FNB Chief Risk Office Interactions and Risk Analytics (Godfrey Kgoedi)"/>
    <s v="South Africa"/>
    <s v="FNB"/>
    <s v="39400003184 FNB Chief Risk Office Interactions and Risk Analytics"/>
    <s v="Data Science Manager"/>
    <s v="11 -15 Years"/>
    <s v="Analytics"/>
    <s v="5595371"/>
    <x v="412"/>
    <s v="Full Time Employee"/>
    <s v="African (South Africa)"/>
    <s v="Female"/>
    <s v="30 - 39"/>
    <s v="RMBSA Systems Accounting and Financial Controls Team (Munawwara Ebrahim)"/>
    <s v="South Africa"/>
    <s v="RMB"/>
    <s v="77800000RNP RMBSA Systems Accounting and Financial Controls Team"/>
    <s v="Financial Data Quality Analyst"/>
    <s v="3 - 5 Years"/>
    <s v="Data Management, Maintenance and Security"/>
    <s v="Create Mentorship Event for Ontlametse Activia Selobile with Kholofelo Napo"/>
    <d v="2025-02-10T00:00:00"/>
    <d v="2025-07-31T00:00:00"/>
    <m/>
  </r>
  <r>
    <s v="3301834"/>
    <x v="279"/>
    <s v="To grow within Data Analytical space"/>
    <s v="Leadership Mentor"/>
    <s v="Full Time Employee"/>
    <s v="African (South Africa)"/>
    <s v="Male"/>
    <s v="40 - 49"/>
    <s v="FNB Commercial Chief Data and Analytics (Ryan Prozesky)"/>
    <s v="South Africa"/>
    <s v="FNB"/>
    <s v="34300005518 FNB Commercial Data Office"/>
    <s v="Data Head"/>
    <s v="16 - 20 Years"/>
    <s v="Data Management, Maintenance and Security"/>
    <s v="5057884"/>
    <x v="413"/>
    <s v="Full Time Employee"/>
    <s v="African (South Africa)"/>
    <s v="Female"/>
    <s v="40 - 49"/>
    <s v="FNB Commercial Merchant Services (Carrie Anne Feldman)"/>
    <s v="South Africa"/>
    <s v="FNB"/>
    <s v="22800008303 FNB Commercial Merchant Services Pricing Analytics"/>
    <s v="Records Manager"/>
    <s v="6 - 10 Years"/>
    <s v="Data Governance and Information Management"/>
    <s v="Create Mentorship Event for Martha Mafisa with Patrick Motshweni"/>
    <d v="2025-02-18T00:00:00"/>
    <d v="2027-12-31T00:00:00"/>
    <m/>
  </r>
  <r>
    <s v="5527066"/>
    <x v="280"/>
    <s v="Good day Michelle._x000a_I hope this message finds you well. My name is Kgomotso Makhananesa, and I am currently working in the sales department for FNB CCXC. I have graduated with a Diploma in Public Relations and Communications and have developed a strong interest in transitioning into the marketing and communication space._x000a_I believe that under your mentorship, I could gain invaluable knowledge and skills that would help me make a successful transition into marketing and communication space. _x000a_I am committed to learning and am eager to contribute to any projects or initiatives you may be working on. I am confident that with your guidance, I can develop the necessary skills to excel in this field._x000a__x000a_I hope to hear from you._x000a__x000a_regards,_x000a__x000a_K"/>
    <s v="Career Mentor"/>
    <s v="Full Time Employee"/>
    <s v="Coloured (South Africa)"/>
    <s v="Female"/>
    <s v="40 - 49"/>
    <s v="FNB Retail Marketing Pillar (Tanya Weitz)"/>
    <s v="South Africa"/>
    <s v="FNB"/>
    <s v="85500006598 FNB Retail Marketing"/>
    <s v="Marketing Portfolio Manager"/>
    <s v="3 - 5 Years"/>
    <s v="Marketing, Advertising and Media (incl. digital)"/>
    <s v="4768612"/>
    <x v="414"/>
    <s v="Full Time Employee"/>
    <s v="African (South Africa)"/>
    <s v="Female"/>
    <s v="30 - 39"/>
    <s v="FNB Central Finance (Nicolene Peens (Inherited))"/>
    <s v="South Africa"/>
    <s v="FNB"/>
    <s v="39400005848 FNB Central Finance PMO"/>
    <s v="Communication Assistant"/>
    <s v="6 - 10 Years"/>
    <s v="Communication and Public Relations"/>
    <s v="Create Mentorship Event for Kgomotso Makhananesa with Michelle Ashen"/>
    <d v="2025-02-19T00:00:00"/>
    <d v="2025-06-19T00:00:00"/>
    <m/>
  </r>
  <r>
    <s v="3799379"/>
    <x v="281"/>
    <s v="Broaden organisational knowledge_x000a__x000a_Career guidance_x000a__x000a_Develop leadership skills_x000a__x000a_Manage a career transition_x000a__x000a_Relationship building and networking"/>
    <s v="Career Mentor"/>
    <s v="Full Time Employee"/>
    <s v="African (South Africa)"/>
    <s v="Male"/>
    <s v="30 - 39"/>
    <s v="FNB iCustomer (Sajiv Bhikha)"/>
    <s v="South Africa"/>
    <s v="FNB"/>
    <s v="39400005972 FNB iCustomer Customer Data Management"/>
    <s v="Data Privacy Officer"/>
    <s v="11 -15 Years"/>
    <s v="Data Management, Maintenance and Security"/>
    <s v="5308046"/>
    <x v="415"/>
    <s v="Full Time Employee"/>
    <s v="Indian (South Africa)"/>
    <s v="Female"/>
    <s v="40 - 49"/>
    <s v="DirectAxis (Asterico Adams)"/>
    <s v="South Africa"/>
    <s v="FNB"/>
    <s v="99700015137 DA IT Operations"/>
    <s v="Information Management Specialist"/>
    <s v="3 - 5 Years"/>
    <s v="Data Governance and Information Management"/>
    <s v="Create Mentorship Event for Sunitha Govender with Vukile Sikhakhane"/>
    <d v="2025-02-26T00:00:00"/>
    <d v="2025-12-26T00:00:00"/>
    <m/>
  </r>
  <r>
    <s v="5004608"/>
    <x v="29"/>
    <s v="Deal with diversity and inclusion challenges_x000a__x000a_Develop leadership skills_x000a__x000a_Learn how to navigate the system"/>
    <s v="Leadership Mentor"/>
    <s v="Full Time Employee"/>
    <s v="African (Lesotho)"/>
    <s v="Female"/>
    <s v="30 - 39"/>
    <s v="FNB Lesotho (Daniel Mohau)"/>
    <s v="Lesotho"/>
    <s v="FNB"/>
    <s v="51800001852 FNB Lesotho OPC"/>
    <s v="Team Leader Back Office"/>
    <s v="6 - 10 Years"/>
    <s v="Operations"/>
    <s v="5035597"/>
    <x v="416"/>
    <s v="Full Time Employee"/>
    <s v="African (South Africa)"/>
    <s v="Male"/>
    <s v="30 - 39"/>
    <s v="FR Hyphen Technology (Vishal Ramnath)"/>
    <s v="South Africa"/>
    <s v="RMB"/>
    <s v="23300002344 FR Hyphen Information Technology"/>
    <s v="IT Test Manager"/>
    <s v="6 - 10 Years"/>
    <s v="IT Testing"/>
    <s v="Create Mentorship Event for Christopher Thabane with Maleseli Lorraine Chefa"/>
    <d v="2025-03-07T00:00:00"/>
    <d v="2025-07-31T00:00:00"/>
    <m/>
  </r>
  <r>
    <s v="4613430"/>
    <x v="193"/>
    <s v="Assist with upskilling from a system analyst to a system analyst lead"/>
    <s v="Leadership Mentor"/>
    <s v="Full Time Employee"/>
    <s v="Indian (South Africa)"/>
    <s v="Female"/>
    <s v="50 - 59"/>
    <s v="CDO Kernel Decisioning IT (Debashree Naidoo)"/>
    <s v="South Africa"/>
    <s v="FNB"/>
    <s v="79000005193 CDO Kernel Decisioning IT"/>
    <s v="Business Analyst Manager"/>
    <s v="&gt;20 Years"/>
    <s v="Process and Business Analysis"/>
    <s v="8872029"/>
    <x v="315"/>
    <s v="Full Time Employee"/>
    <s v="Indian (South Africa)"/>
    <s v="Female"/>
    <s v="30 - 39"/>
    <s v="Chief Digital Office Kernel (Patience Malumba)"/>
    <s v="South Africa"/>
    <s v="FNB"/>
    <s v="79000005193 CDO Kernel Decisioning IT"/>
    <s v="Systems Analyst"/>
    <s v="1 Year"/>
    <s v="Business/Systems Analysis"/>
    <s v="Create Mentorship Event for Kaahsifa Ahmed with Shetal Bhoola"/>
    <d v="2025-02-24T00:00:00"/>
    <d v="2027-01-31T00:00:00"/>
    <m/>
  </r>
  <r>
    <s v="5448255"/>
    <x v="282"/>
    <s v="To equip myself with necessary skills in the space of Machine Learning. This will enable me to build ML models and assist business going forward."/>
    <s v="Technical Mentor"/>
    <s v="Full Time Employee"/>
    <s v="African (South Africa)"/>
    <s v="Male"/>
    <s v="30 - 39"/>
    <s v="FNB Integrated Advice (Ermi Du Plessis)"/>
    <s v="South Africa"/>
    <s v="FNB"/>
    <s v="85500004971 FNB Sustainability &amp; ESG Solutions"/>
    <s v="Data Scientist"/>
    <s v="1 Year"/>
    <s v="Analytics"/>
    <s v="5604389"/>
    <x v="272"/>
    <s v="Full Time Employee"/>
    <s v="African (South Africa)"/>
    <s v="Male"/>
    <s v="20 - 29"/>
    <s v="FNB Customer and Sales Interactions (Christiaan Paulsen)"/>
    <s v="South Africa"/>
    <s v="FNB"/>
    <s v="21200001751 Home Finance Credit Strategic Credit and Pricing"/>
    <s v="Data Scientist"/>
    <s v="3 - 5 Years"/>
    <s v="Analytics"/>
    <s v="Create Mentorship Event for Siyabonga Mthethwa with Humbulani Colbert Nekhumbe"/>
    <d v="2025-03-10T00:00:00"/>
    <m/>
    <m/>
  </r>
  <r>
    <s v="3301834"/>
    <x v="279"/>
    <s v="To grow within Analytical and information management space"/>
    <s v="Career Mentor"/>
    <s v="Full Time Employee"/>
    <s v="African (South Africa)"/>
    <s v="Male"/>
    <s v="40 - 49"/>
    <s v="FNB Commercial Chief Data and Analytics (Ryan Prozesky)"/>
    <s v="South Africa"/>
    <s v="FNB"/>
    <s v="34300005518 FNB Commercial Data Office"/>
    <s v="Data Head"/>
    <s v="16 - 20 Years"/>
    <s v="Data Management, Maintenance and Security"/>
    <s v="5057884"/>
    <x v="413"/>
    <s v="Full Time Employee"/>
    <s v="African (South Africa)"/>
    <s v="Female"/>
    <s v="40 - 49"/>
    <s v="FNB Commercial Merchant Services (Carrie Anne Feldman)"/>
    <s v="South Africa"/>
    <s v="FNB"/>
    <s v="22800008303 FNB Commercial Merchant Services Pricing Analytics"/>
    <s v="Records Manager"/>
    <s v="6 - 10 Years"/>
    <s v="Data Governance and Information Management"/>
    <s v="Create Mentorship Event for Martha Mafisa with Patrick Motshweni"/>
    <d v="2025-02-18T00:00:00"/>
    <d v="2028-12-30T00:00:00"/>
    <m/>
  </r>
  <r>
    <s v="4662458"/>
    <x v="277"/>
    <m/>
    <s v="Leadership Mentor"/>
    <s v="Full Time Employee"/>
    <s v="African (South Africa)"/>
    <s v="Male"/>
    <s v="40 - 49"/>
    <s v="RMBSA Technology (Christiaan Du Preez)"/>
    <s v="South Africa"/>
    <s v="RMB"/>
    <s v="77800000BTL RMBSA IBD Technology Team"/>
    <s v="Chief Information Officer Sponsor and IBD"/>
    <s v="3 - 5 Years"/>
    <s v="IT Development"/>
    <s v="5151120"/>
    <x v="417"/>
    <s v="Full Time Employee"/>
    <s v="African (South Africa)"/>
    <s v="Male"/>
    <s v="30 - 39"/>
    <s v="RMBSA TTS LRC Operational Risk Management (Vedanti Applesamy)"/>
    <s v="South Africa"/>
    <s v="RMB"/>
    <s v="77800000CRO RMBSA TTS Operational Risk"/>
    <s v="Operational Risk Analyst"/>
    <s v="6 - 10 Years"/>
    <s v="Operational Risk"/>
    <s v="Create Mentorship Event for Dakalo Mulaudzi with Kgotso Buys"/>
    <d v="2025-01-01T00:00:00"/>
    <d v="2025-12-31T00:00:00"/>
    <m/>
  </r>
  <r>
    <s v="4991583"/>
    <x v="283"/>
    <s v="I hope you are doing well. I am reaching out to express my interest in learning from your expertise in Business Analysis. I have recently completed an NQF Level 5 Business Analysis certification and have been actively job shadowing with FNB Commercial TXP for the past two years, gaining experience in requirement gathering, stakeholder engagement, and process improvement._x000a_As I work towards transitioning into a Business Analyst role, I would greatly appreciate the opportunity to learn from your insights and guidance. Your expertise in [mention any specific skills or achievements of the mentor] is inspiring, and I believe your mentorship would be invaluable in helping me refine my skills, navigate challenges, and grow in this field._x000a_I understand your time is valuable, and I would be grateful for the chance to connect at your convenience, whether through a brief call, a coffee chat, or periodic check-ins. Please let me know if you would be open to this, and I would be happy to accommodate your schedule._x000a_Thank you for your time and consideration—I look forward to the possibility of learning from you._x000a_Best regards,"/>
    <s v="Career Mentor"/>
    <s v="Full Time Employee"/>
    <s v="African (South Africa)"/>
    <s v="Female"/>
    <s v="40 - 49"/>
    <s v="FNB Commercial Projects and Operations (Shari Taaibosch)"/>
    <s v="South Africa"/>
    <s v="FNB"/>
    <s v="34200009245 FNB Commercial Fulfilment Support"/>
    <s v="Platform Enablement Lead"/>
    <s v="6 - 10 Years"/>
    <s v="Business/Systems Analysis"/>
    <s v="4679253"/>
    <x v="418"/>
    <s v="Full Time Employee"/>
    <s v="African (South Africa)"/>
    <s v="Female"/>
    <s v="40 - 49"/>
    <s v="FNB Business CXC (Lerato Senne)"/>
    <s v="South Africa"/>
    <s v="FNB"/>
    <s v="34300008508 FNB Business CXC Card Authorisations"/>
    <s v="Client Service Specialist"/>
    <s v="6 - 10 Years"/>
    <s v="Client Experience and Value Management"/>
    <s v="Close Mentorship Event for Lebogang Serache with Thandiwe Mkalipi_x000a__x000a_Create Mentorship Event for Lebogang Serache with Thandiwe Mkalipi"/>
    <d v="2025-03-07T00:00:00"/>
    <d v="2025-07-31T00:00:00"/>
    <s v="Mentee Withdrawal - Difficulty Connecting"/>
  </r>
  <r>
    <s v="0079332"/>
    <x v="284"/>
    <s v="2x Years in Leadership. Guidance with challenges experiencing"/>
    <s v="Leadership Mentor"/>
    <s v="Full Time Employee"/>
    <s v="White (South Africa)"/>
    <s v="Female"/>
    <s v="50 - 59"/>
    <s v="WB Motor Operations (Kreelan Chetty)"/>
    <s v="South Africa"/>
    <s v="WesBank"/>
    <s v="30100007371 WB WesBank Way"/>
    <s v="Consultant Coaching for Effectiveness"/>
    <s v="&gt;20 Years"/>
    <s v="Operations"/>
    <s v="5086078"/>
    <x v="419"/>
    <s v="Full Time Employee"/>
    <s v="Coloured (South Africa)"/>
    <s v="Female"/>
    <s v="40 - 49"/>
    <s v="FNB Retail Judgemental Credit (Joshni Narotam)"/>
    <s v="South Africa"/>
    <s v="FNB"/>
    <s v="85500005752 RJC Inland"/>
    <s v="Retail Judgemental Credit Specialist"/>
    <s v="6 - 10 Years"/>
    <s v="Credit Risk"/>
    <s v="Create Mentorship Event for Racquel Nelson with Sue-Lynn Sheldon"/>
    <d v="2025-03-03T00:00:00"/>
    <d v="2026-01-31T00:00:00"/>
    <m/>
  </r>
  <r>
    <s v="5612217"/>
    <x v="260"/>
    <s v="personal growth and development, i want to improve my coding skills and learn best practices from someone with more experience and expand my knowledge in specific areas._x000a_I want to also improve my communication skills and learn how to effectively collaborate with team members above all, I'm motivated to learn and grow as a developer."/>
    <s v="Technical Mentor"/>
    <s v="Full Time Employee"/>
    <s v="White (South Africa)"/>
    <s v="Female"/>
    <s v="50 - 59"/>
    <s v="FNB eBucks (Meshaan Ramgadhu (Inherited))"/>
    <s v="South Africa"/>
    <s v="FNB"/>
    <s v="25600005667 FNB eBucks Technology"/>
    <s v="Developer"/>
    <s v="3 - 5 Years"/>
    <s v="IT Development"/>
    <s v="4985621"/>
    <x v="420"/>
    <s v="Full Time Employee"/>
    <s v="African (South Africa)"/>
    <s v="Female"/>
    <s v="30 - 39"/>
    <s v="FNB ConnectMe IT (Verushka Naidoo)"/>
    <s v="South Africa"/>
    <s v="FNB"/>
    <s v="84900009691 FNB ConnectMe IT Catalysts"/>
    <s v="JAVA Developer"/>
    <s v="6 - 10 Years"/>
    <s v="IT Development"/>
    <s v="Create Mentorship Event for Andiswa Tini with Barbara Engle"/>
    <d v="2025-03-07T00:00:00"/>
    <d v="2026-03-06T00:00:00"/>
    <m/>
  </r>
  <r>
    <s v="3377326"/>
    <x v="38"/>
    <s v="developing skills and knowledge in risk and compliance within banking sector"/>
    <s v="Career Mentor"/>
    <s v="Full Time Employee"/>
    <s v="Racially disadvantaged (Namibia)"/>
    <s v="Female"/>
    <s v="50 - 59"/>
    <s v="FNB Namibia Limited (Emmanuel Murwira)"/>
    <s v="Namibia"/>
    <s v="FNB"/>
    <s v="846000004213 Ashburton Investment Managers (Pty) Ltd"/>
    <s v="Compliance Head"/>
    <s v="6 - 10 Years"/>
    <s v="Compliance"/>
    <s v="3389855"/>
    <x v="421"/>
    <s v="Full Time Employee"/>
    <s v="Racially disadvantaged (Namibia)"/>
    <s v="Female"/>
    <s v="30 - 39"/>
    <s v="FNB Namibia Limited (Carlo Gertze)"/>
    <s v="Namibia"/>
    <s v="FNB"/>
    <s v="302000001683 FNB Namibia Group Risk"/>
    <s v="Administrator"/>
    <s v="11 -15 Years"/>
    <s v="Administration"/>
    <s v="Create Mentorship Event for Jo-Ann Nels with Yamillah Katjirua"/>
    <d v="2025-03-01T00:00:00"/>
    <m/>
    <m/>
  </r>
  <r>
    <s v="4754557"/>
    <x v="285"/>
    <s v="I hope you are doing well. I am reaching out to express my interest in learning from your expertise in Business Analysis. I have recently completed an NQF Level 5 Business Analysis certification and have been actively job shadowing with FNB Commercial TXP for the past two years, gaining experience in requirement gathering, stakeholder engagement, and process improvement._x000a_As I work towards transitioning into a Business Analyst role, I would greatly appreciate the opportunity to learn from your insights and guidance. Your expertise in is inspiring, and I believe your mentorship would be invaluable in helping me refine my skills, navigate challenges, and grow in this field._x000a_I understand your time is valuable, and I would be grateful for the chance to connect at your convenience, whether through a brief call, a coffee chat, or periodic check-ins. Please let me know if you would be open to this, and I would be happy to accommodate your schedule._x000a_Thank you for your time and consideration—I look forward to the possibility of learning from you._x000a_Best regards,"/>
    <s v="Career Mentor"/>
    <s v="Full Time Employee"/>
    <s v="African (South Africa)"/>
    <s v="Female"/>
    <s v="30 - 39"/>
    <s v="CDO Kernel iNterfaceX (Kefilwe Megalane)"/>
    <s v="South Africa"/>
    <s v="FNB"/>
    <s v="21800009856 CDO Kernel iNterfaceX Online Banking Business Analysis"/>
    <s v="Business Analyst"/>
    <s v="6 - 10 Years"/>
    <s v="Process and Business Analysis"/>
    <s v="4679253"/>
    <x v="418"/>
    <s v="Full Time Employee"/>
    <s v="African (South Africa)"/>
    <s v="Female"/>
    <s v="40 - 49"/>
    <s v="FNB Business CXC (Lerato Senne)"/>
    <s v="South Africa"/>
    <s v="FNB"/>
    <s v="34300008508 FNB Business CXC Card Authorisations"/>
    <s v="Client Service Specialist"/>
    <s v="6 - 10 Years"/>
    <s v="Client Experience and Value Management"/>
    <s v="Close Mentorship Event for Lebogang Serache with Zanele Seshoka_x000a__x000a_Create Mentorship Event for Lebogang Serache with Zanele Seshoka"/>
    <d v="2025-03-07T00:00:00"/>
    <d v="2025-07-31T00:00:00"/>
    <s v="Mentee Withdrawal - Difficulty Connecting"/>
  </r>
  <r>
    <s v="4997751"/>
    <x v="159"/>
    <s v="I am deeply passionate about building a successful career in Banking and I am eager to learn from experienced professionals who can guide me in navigating the industry. A mentor's insights, expertise and advice would be invaluable in helping me develop the technical skills, strategic mindset and leadership qualities required to excel. I am committed to continuous growth and believe that mentorship will accelerate my ability to make meaningful contributions, overcome challenges and achieve my long-term career goals in Banking._x000a_Thank you"/>
    <s v="Career Mentor"/>
    <s v="Full Time Employee"/>
    <m/>
    <s v="Female"/>
    <s v="40 - 49"/>
    <s v="FNB Rand Merchant Bank Botswana (Harriet Mlalazi)"/>
    <s v="Botswana"/>
    <s v="FNB"/>
    <s v="5010160660 FNB Botswana Service Centre"/>
    <s v="Service Head"/>
    <s v="6 - 10 Years"/>
    <s v="Client Experience and Value Management"/>
    <s v="8876991"/>
    <x v="422"/>
    <s v="Full Time Employee"/>
    <s v="African (Botswana)"/>
    <s v="Female"/>
    <s v="20 - 29"/>
    <s v="FNB Botswana Channels (Lebelelang Mabeo)"/>
    <s v="Botswana"/>
    <s v="FNB"/>
    <s v="5010164100 FNB Botswana Call Centre"/>
    <s v="Sales Consultant"/>
    <s v="&lt;1 Year"/>
    <s v="Direct Sales"/>
    <s v="Create Mentorship Event for Katlego Bogopa with Caroline Kepaletswe"/>
    <d v="2025-03-03T00:00:00"/>
    <m/>
    <m/>
  </r>
  <r>
    <s v="5056837"/>
    <x v="286"/>
    <s v="I hope you are doing well. I am reaching out to express my interest in learning from your expertise in Business Analysis. I have recently completed an NQF Level 5 Business Analysis certification and have been actively job shadowing with FNB Commercial TXP for the past two years, gaining experience in requirement gathering, stakeholder engagement, and process improvement._x000a_As I work towards transitioning into a Business Analyst role, I would greatly appreciate the opportunity to learn from your insights and guidance. Your expertise in [mention any specific skills or achievements of the mentor] is inspiring, and I believe your mentorship would be invaluable in helping me refine my skills, navigate challenges, and grow in this field._x000a_I understand your time is valuable, and I would be grateful for the chance to connect at your convenience, whether through a brief call, a coffee chat, or periodic check-ins. Please let me know if you would be open to this, and I would be happy to accommodate your schedule._x000a_Thank you for your time and consideration—I look forward to the possibility of learning from you._x000a_Best regards,"/>
    <s v="Career Mentor"/>
    <s v="Full Time Employee"/>
    <s v="African (South Africa)"/>
    <s v="Female"/>
    <s v="30 - 39"/>
    <s v="WB IT Business Enablement (Thokozile Khobane)"/>
    <s v="South Africa"/>
    <s v="WesBank"/>
    <s v="30100002006 WB IT Business Analysis"/>
    <s v="Business Analyst"/>
    <s v="6 - 10 Years"/>
    <s v="Process and Business Analysis"/>
    <s v="4679253"/>
    <x v="418"/>
    <s v="Full Time Employee"/>
    <s v="African (South Africa)"/>
    <s v="Female"/>
    <s v="40 - 49"/>
    <s v="FNB Business CXC (Lerato Senne)"/>
    <s v="South Africa"/>
    <s v="FNB"/>
    <s v="34300008508 FNB Business CXC Card Authorisations"/>
    <s v="Client Service Specialist"/>
    <s v="6 - 10 Years"/>
    <s v="Client Experience and Value Management"/>
    <s v="Close Mentorship Event for Lebogang Serache with Tshepho Rasemphe_x000a__x000a_Create Mentorship Event for Lebogang Serache with Tshepho Rasemphe"/>
    <d v="2025-03-07T00:00:00"/>
    <d v="2025-07-31T00:00:00"/>
    <s v="Mentee Withdrawal - Change in Mentoring Needs"/>
  </r>
  <r>
    <s v="3794687"/>
    <x v="287"/>
    <s v="Dear Aileen , _x000a__x000a_I hope this message finds you well._x000a_My name is Marcelo Coutinho , and I am currently working as a Desktop technician at FNB . I have been looking for a mentor to help me grow my IT and security Career in FNB ._x000a__x000a_I am excited to expand my knowledge and skills in It and Security at FNB, and I believe that your guidance and mentorship would be invaluable in helping me achieve my professional goals. I am eager to learn from your experience and insights, and I am committed to putting in the effort required to grow and succeed in this area._x000a__x000a_I would be honored if you could consider mentoring me as I navigate this path. Your mentorship would greatly contribute to my development and help me make meaningful contributions to FNB and also my IT Career. _x000a__x000a_Thank you for considering my request. I am looking forward to the possibility of learning from you._x000a_Best regards,_x000a_Marcelo Coutinho"/>
    <s v="Career Mentor"/>
    <s v="Full Time Employee"/>
    <s v="White (South Africa)"/>
    <s v="Female"/>
    <s v="50 - 59"/>
    <s v="RMBSA Technology  IT Security and Access (Angela Henry)"/>
    <s v="South Africa"/>
    <s v="RMB"/>
    <s v="77800000BTZ BTZ-RMB IT Security and Access"/>
    <s v="Information Security Architect"/>
    <s v="11 -15 Years"/>
    <s v="IT Security"/>
    <s v="5391466"/>
    <x v="423"/>
    <s v="Full Time Employee"/>
    <s v="White (South Africa)"/>
    <s v="Male"/>
    <s v="20 - 29"/>
    <s v="CDO Infrastructure and Security Services (Manny Stathakis)"/>
    <s v="South Africa"/>
    <s v="FNB"/>
    <s v="20700006377 CDO Networks and Security Services Desktop and Mobile Technology"/>
    <s v="Desktop Support Technician"/>
    <s v="3 - 5 Years"/>
    <s v="IT Support"/>
    <s v="Create Mentorship Event for Marcelo Coutinho with Aileen Spanier-Marson"/>
    <d v="2025-03-17T00:00:00"/>
    <m/>
    <m/>
  </r>
  <r>
    <s v="5134358"/>
    <x v="288"/>
    <s v="The purpose of this mentorship is to map out a career path, gain insights into various roles, apply and prepare for potential roles which may become available."/>
    <s v="Career Mentor"/>
    <s v="Full Time Employee"/>
    <s v="Coloured (South Africa)"/>
    <s v="Female"/>
    <s v="30 - 39"/>
    <s v="FR Life Assurance (Jabulile Sigasa)"/>
    <s v="South Africa"/>
    <s v="FNB"/>
    <s v="61500010272 FR Life Marketing"/>
    <s v="Client Experience Manager"/>
    <s v="6 - 10 Years"/>
    <s v="Client Experience and Value Management"/>
    <s v="5532302"/>
    <x v="424"/>
    <s v="Full Time Employee"/>
    <s v="Coloured (South Africa)"/>
    <s v="Female"/>
    <s v="40 - 49"/>
    <s v="FNB Private Banking and Advisory (Maheshwarie Naidu)"/>
    <s v="South Africa"/>
    <s v="FNB"/>
    <s v="34100003238 PB&amp;A Admin and System Access"/>
    <s v="Business Support Specialist"/>
    <s v="2 Years"/>
    <s v="Operations"/>
    <s v="Create Mentorship Event for Janine Hartley with Nicole Dooling"/>
    <d v="2024-11-19T00:00:00"/>
    <m/>
    <m/>
  </r>
  <r>
    <s v="5430577"/>
    <x v="289"/>
    <s v="I am seeking a mentor to advise me on my career development. My long-term ambition is to take on a leadership role within this field, and I believe having a mentor will provide valuable insights on the skills and competencies necessary to achieve this goal. Additionally, I am eager to learn from a mentor's experience, gain perspective on navigating challenges. Another key reason for my interest in mentorship is to foster meaningful professional relationships and expand my network, which I believe will contribute to my continued success and development within the industry."/>
    <s v="Career Mentor"/>
    <s v="Full Time Employee"/>
    <s v="African (South Africa)"/>
    <s v="Male"/>
    <s v="40 - 49"/>
    <s v="RMBSA Global Markets Technical Risk Advisory Projects (Michelle Verwey)"/>
    <s v="South Africa"/>
    <s v="RMB"/>
    <s v="77800000EQS RMBSA Global Markets Operational Risk"/>
    <s v="Risk Programme Manager"/>
    <s v="3 - 5 Years"/>
    <s v="Operational Risk"/>
    <s v="8873619"/>
    <x v="425"/>
    <s v="Full Time Employee"/>
    <s v="African (South Africa)"/>
    <s v="Male"/>
    <s v="30 - 39"/>
    <s v="FNB Chief Risk Office Interactions and Risk Analytics (Chantelle Pretorius (Inherited))"/>
    <s v="South Africa"/>
    <s v="FNB"/>
    <s v="39400003184 FNB Chief Risk Office Interactions and Risk Analytics"/>
    <s v="Data Scientist"/>
    <s v="1 Year"/>
    <s v="Analytics"/>
    <s v="Create Mentorship Event for Lee-Roy Yonga with Jones Mabapa"/>
    <d v="2025-03-25T00:00:00"/>
    <m/>
    <m/>
  </r>
  <r>
    <s v="3336182"/>
    <x v="290"/>
    <s v="With a BA Hons in Psychology and a major in Organizational Psychology, coupled with my experience in FNB Sales (Retail &amp; Commercial), I am eager to leverage my background to contribute to and learn from your esteemed team._x000a_My academic and professional journey (been with the bank since 2014) have afforded me an opportunity to develop a deep understanding of human behavior, motivation, and organizational dynamics. My studies in psychology have equipped me with the skills to analyze and understand the complexities of human interactions within a workplace._x000a_Although I am currently in a Sales role, my passion lies in the field of Human Capital. I am particularly interested in how organizations can optimize their workforce, foster a positive work culture, and implement effective talent management strategies._x000a_I believe that my background in psychology &amp; contact center experience could provide the organization with a unique perspective that can contribute to innovative solutions in human capital management."/>
    <s v="Career Mentor"/>
    <s v="Expatriate - In"/>
    <s v="N/A (Eswatini)"/>
    <s v="Female"/>
    <s v="40 - 49"/>
    <s v="FNB Eswatini FCC (Thokozani Dlamini)"/>
    <s v="Eswatini"/>
    <s v="FNB"/>
    <s v="5020466400 FNB Eswatini FCC"/>
    <s v="Director Human Resources"/>
    <s v="16 - 20 Years"/>
    <s v="Business Human Capital"/>
    <s v="4789482"/>
    <x v="426"/>
    <s v="Full Time Employee"/>
    <s v="African (South Africa)"/>
    <s v="Female"/>
    <s v="30 - 39"/>
    <s v="FNB Business CXC (Conrad Julius)"/>
    <s v="South Africa"/>
    <s v="FNB"/>
    <s v="34300006546 FNB Business CXC New to Bank Sales"/>
    <s v="Sales Consultant"/>
    <s v="6 - 10 Years"/>
    <s v="Direct Sales"/>
    <s v="Create Mentorship Event for Thandeka Makhanya with Veronica Ntshalintshali"/>
    <d v="2025-04-01T00:00:00"/>
    <m/>
    <m/>
  </r>
  <r>
    <s v="4754557"/>
    <x v="285"/>
    <s v="My name is Tebogo, and I am currently working as an external sales and service consultant. I hold a postgraduate diploma in Management Information Systems, specialising in Business and Systems Analysis, along with a Bachelor of Business Administration._x000a_As I look to advance my career, I am seeking to deepen my knowledge and understanding of business analysis. I am particularly interested in learning about best practices, required skills, and the evolving landscape of the field. Your expertise and experience in this area have inspired me, and I believe that your guidance would be incredibly valuable as I navigate this transition._x000a_I would be grateful for the opportunity to connect with you for a brief chat or meeting, where I can gain insights into your career journey and gather advice on how I might enhance my skills in business analysis."/>
    <s v="Career Mentor"/>
    <s v="Full Time Employee"/>
    <s v="African (South Africa)"/>
    <s v="Female"/>
    <s v="30 - 39"/>
    <s v="CDO Kernel iNterfaceX (Kefilwe Megalane)"/>
    <s v="South Africa"/>
    <s v="FNB"/>
    <s v="21800009856 CDO Kernel iNterfaceX Online Banking Business Analysis"/>
    <s v="Business Analyst"/>
    <s v="6 - 10 Years"/>
    <s v="Process and Business Analysis"/>
    <s v="8878703"/>
    <x v="427"/>
    <s v="OBR With Fixed Pay"/>
    <s v="African (South Africa)"/>
    <s v="Female"/>
    <s v="30 - 39"/>
    <s v="FNB Points of Presence (Pinky Duiker)"/>
    <s v="South Africa"/>
    <s v="FNB"/>
    <s v="7710305600 FNB PoP Branch Delivery External Mobile Team"/>
    <s v="External Sales and Service Advisor OBR"/>
    <s v="1 Year"/>
    <s v="Direct Sales"/>
    <s v="Create Mentorship Event for TEBOGO KOMANE with Zanele Seshoka"/>
    <d v="2025-03-24T00:00:00"/>
    <m/>
    <m/>
  </r>
  <r>
    <s v="5391458"/>
    <x v="222"/>
    <s v="My name is Tebogo, and I am currently working as an external sales and service consultant. I hold a postgraduate diploma in Management Information Systems, specializing in Business and Systems Analysis, along with a Bachelor of Business Administration._x000a_As I look to advance my career, I am seeking to deepen my knowledge and understanding of business analysis. I am particularly interested in learning about best practices, required skills, and the evolving landscape of the field. Your expertise and experience in this area have inspired me, and I believe that your guidance would be incredibly valuable as I navigate this transition._x000a_I would be grateful for the opportunity to connect with you for a brief chat or meeting, where I can gain insights into your career journey and gather advice on how I might enhance my skills in business analysis."/>
    <s v="Career Mentor"/>
    <s v="Full Time Employee"/>
    <s v="African (South Africa)"/>
    <s v="Male"/>
    <s v="30 - 39"/>
    <s v="FNB Commercial Merchant Services (Ashley Jacobs)"/>
    <s v="South Africa"/>
    <s v="FNB"/>
    <s v="22800008224 FNB Commercial Merchant Services Projects"/>
    <s v="Business Analyst"/>
    <s v="3 - 5 Years"/>
    <s v="Process and Business Analysis"/>
    <s v="8878703"/>
    <x v="427"/>
    <s v="OBR With Fixed Pay"/>
    <s v="African (South Africa)"/>
    <s v="Female"/>
    <s v="30 - 39"/>
    <s v="FNB Points of Presence (Pinky Duiker)"/>
    <s v="South Africa"/>
    <s v="FNB"/>
    <s v="7710305600 FNB PoP Branch Delivery External Mobile Team"/>
    <s v="External Sales and Service Advisor OBR"/>
    <s v="1 Year"/>
    <s v="Direct Sales"/>
    <s v="Create Mentorship Event for TEBOGO KOMANE with Cuthbert (Sedutla) Sekgotodi"/>
    <d v="2025-03-25T00:00:00"/>
    <m/>
    <m/>
  </r>
  <r>
    <s v="5112575"/>
    <x v="291"/>
    <s v="To get support with professional development through guidance, sharing experiences, and offering."/>
    <s v="Career Mentor"/>
    <s v="Full Time Employee"/>
    <s v="White (South Africa)"/>
    <s v="Male"/>
    <s v="50 - 59"/>
    <s v="RMBSA Technology (Christiaan Du Preez)"/>
    <s v="South Africa"/>
    <s v="RMB"/>
    <s v="77800000RNJ RMB RNJ RMB Client Tech"/>
    <s v="Chief Information Officer Client Coverage"/>
    <s v="6 - 10 Years"/>
    <s v="IT Development"/>
    <s v="5388783"/>
    <x v="410"/>
    <s v="Full Time Employee"/>
    <s v="African (South Africa)"/>
    <s v="Male"/>
    <s v="30 - 39"/>
    <s v="FNB Commercial Analytics Insights Data (Axolile Daniel)"/>
    <s v="South Africa"/>
    <s v="FNB"/>
    <s v="34300005518 FNB Commercial Data Office"/>
    <s v="Data Engineer"/>
    <s v="3 - 5 Years"/>
    <s v="Data Management, Maintenance and Security"/>
    <s v="Create Mentorship Event for Ramafa Makhafola with Jurgens Van Rooyen"/>
    <d v="2025-02-24T00:00:00"/>
    <m/>
    <m/>
  </r>
  <r>
    <s v="5391458"/>
    <x v="222"/>
    <s v="To build my skills, career guidance, Relationship building and networking"/>
    <s v="Career Mentor"/>
    <s v="Full Time Employee"/>
    <s v="African (South Africa)"/>
    <s v="Male"/>
    <s v="30 - 39"/>
    <s v="FNB Commercial Merchant Services (Ashley Jacobs)"/>
    <s v="South Africa"/>
    <s v="FNB"/>
    <s v="22800008224 FNB Commercial Merchant Services Projects"/>
    <s v="Business Analyst"/>
    <s v="3 - 5 Years"/>
    <s v="Process and Business Analysis"/>
    <s v="5262135"/>
    <x v="428"/>
    <s v="Full Time Employee"/>
    <s v="African (South Africa)"/>
    <s v="Male"/>
    <s v="30 - 39"/>
    <s v="FR Life Assurance (Ramarara Maponyane)"/>
    <s v="South Africa"/>
    <s v="FNB"/>
    <s v="61500010283 FR Life Ops Claims"/>
    <s v="Claims Administrator"/>
    <s v="3 - 5 Years"/>
    <s v="Administration"/>
    <s v="Create Mentorship Event for Collen Skosana with Cuthbert (Sedutla) Sekgotodi"/>
    <d v="2025-06-03T00:00:00"/>
    <d v="2025-11-15T00:00:00"/>
    <m/>
  </r>
  <r>
    <s v="2778041"/>
    <x v="117"/>
    <s v="Key objectives :_x000a__x000a__x000a_Better integration into a team/business unit_x000a__x000a_Bridging the gap for graduates and first-time joiners to the workplace_x000a__x000a_Broaden organisational knowledge_x000a__x000a_Career guidance_x000a__x000a_Deal with diversity and inclusion challenges_x000a__x000a_Develop leadership skills_x000a__x000a_Disruptive technologies_x000a__x000a_Innovation_x000a__x000a_Learn how to navigate the system_x000a__x000a_Manage a career transition_x000a__x000a_Relationship building and networking"/>
    <s v="Leadership Mentor"/>
    <s v="Full Time Employee"/>
    <s v="Indian (South Africa)"/>
    <s v="Male"/>
    <s v="50 - 59"/>
    <s v="FNB Commercial Lend Pillar Head Office (Nainesh Desai)"/>
    <s v="South Africa"/>
    <s v="FNB"/>
    <s v="34200004627 FNB Commercial Lend Head Office"/>
    <s v="Business Solutions Specialist"/>
    <s v="&gt;20 Years"/>
    <s v="Operations"/>
    <s v="4727479"/>
    <x v="429"/>
    <s v="Full Time Employee"/>
    <s v="Indian (South Africa)"/>
    <s v="Female"/>
    <s v="30 - 39"/>
    <s v="FNB Wealth (Dickson Naidoo)"/>
    <s v="South Africa"/>
    <s v="FNB"/>
    <s v="34100007232 PB&amp;A Service Suite Advisor Engagement"/>
    <s v="Team Leader"/>
    <s v="11 -15 Years"/>
    <s v="Operations"/>
    <s v="Create Mentorship Event for Shonise Naidoo with Mervyn Moodley"/>
    <d v="2025-04-01T00:00:00"/>
    <d v="2025-05-31T00:00:00"/>
    <m/>
  </r>
  <r>
    <s v="3829073"/>
    <x v="292"/>
    <s v="Career mentoring"/>
    <s v="Career Mentor"/>
    <s v="Full Time Employee"/>
    <s v="Indian (South Africa)"/>
    <s v="Male"/>
    <s v="40 - 49"/>
    <s v="FNB Core Banking Platform (Krishen Rangappa (Inherited))"/>
    <s v="South Africa"/>
    <s v="FNB"/>
    <s v="59600010101 FNB Personal and Private IT WB Service Management"/>
    <s v="IT Service Operations Manager"/>
    <s v="11 -15 Years"/>
    <s v="IT Support"/>
    <s v="3675653"/>
    <x v="430"/>
    <s v="Full Time Employee"/>
    <s v="Indian (South Africa)"/>
    <s v="Male"/>
    <s v="30 - 39"/>
    <s v="FNB Commercial Core Juristic Platform (Gumani Sibeli)"/>
    <s v="South Africa"/>
    <s v="FNB"/>
    <s v="34200010083 FNB Commercial CJP FML IT"/>
    <s v="Systems and Support Analyst"/>
    <s v="11 -15 Years"/>
    <s v="IT Development"/>
    <s v="Create Mentorship Event for Nevashin Govindasamy with Christopher Pillay"/>
    <d v="2024-07-01T00:00:00"/>
    <m/>
    <m/>
  </r>
  <r>
    <s v="0079332"/>
    <x v="284"/>
    <s v="Provide leadership insights and challenge my thinking."/>
    <s v="Leadership Mentor"/>
    <s v="Full Time Employee"/>
    <s v="White (South Africa)"/>
    <s v="Female"/>
    <s v="50 - 59"/>
    <s v="WB Motor Operations (Kreelan Chetty)"/>
    <s v="South Africa"/>
    <s v="WesBank"/>
    <s v="30100007371 WB WesBank Way"/>
    <s v="Consultant Coaching for Effectiveness"/>
    <s v="&gt;20 Years"/>
    <s v="Operations"/>
    <s v="2970295"/>
    <x v="431"/>
    <s v="Full Time Employee"/>
    <s v="White (South Africa)"/>
    <s v="Male"/>
    <s v="50 - 59"/>
    <s v="Segment Chief Information Officer (Allen Pillay)"/>
    <s v="South Africa"/>
    <s v="FNB"/>
    <s v="59600005369 FNB Personal and Private IT Exco"/>
    <s v="Project Management Office Head"/>
    <s v="6 - 10 Years"/>
    <s v="Programme and Project Management"/>
    <s v="Create Mentorship Event for Marius Lombard with Sue-Lynn Sheldon"/>
    <d v="2025-04-01T00:00:00"/>
    <d v="2025-09-30T00:00:00"/>
    <m/>
  </r>
  <r>
    <s v="5604389"/>
    <x v="293"/>
    <s v="Advance my technical skills."/>
    <s v="Technical Mentor"/>
    <s v="Full Time Employee"/>
    <s v="African (South Africa)"/>
    <s v="Male"/>
    <s v="20 - 29"/>
    <s v="FNB Customer and Sales Interactions (Christiaan Paulsen)"/>
    <s v="South Africa"/>
    <s v="FNB"/>
    <s v="21200001751 Home Finance Credit Strategic Credit and Pricing"/>
    <s v="Data Scientist"/>
    <s v="3 - 5 Years"/>
    <s v="Analytics"/>
    <s v="8877103"/>
    <x v="432"/>
    <s v="Full Time Employee"/>
    <s v="African (South Africa)"/>
    <s v="Male"/>
    <s v="20 - 29"/>
    <s v="FNB International SA (Pretash Bhoola)"/>
    <s v="South Africa"/>
    <s v="FNB"/>
    <s v="83200005888 FNB International SA Retail Credit"/>
    <s v="Graduate Programme"/>
    <s v="1 Year"/>
    <s v="Specialised Development Programs (Graduate/ Trainee)"/>
    <s v="Create Mentorship Event for Nkulani Moshaba with Siyabonga Mthethwa"/>
    <d v="2025-03-01T00:00:00"/>
    <m/>
    <m/>
  </r>
  <r>
    <s v="2746573"/>
    <x v="27"/>
    <m/>
    <s v="Career Mentor"/>
    <s v="Full Time Employee"/>
    <s v="Indian (South Africa)"/>
    <s v="Male"/>
    <s v="40 - 49"/>
    <s v="FNB Private Segment (Sizwe Nxedlana)"/>
    <s v="South Africa"/>
    <s v="FNB"/>
    <s v="85500008551 FNB Retail Exco"/>
    <s v="Chief Executive Officer Cash Investments Retail"/>
    <s v="16 - 20 Years"/>
    <s v="Operations"/>
    <s v="8876776"/>
    <x v="433"/>
    <s v="Full Time Employee"/>
    <s v="White (South Africa)"/>
    <s v="Male"/>
    <s v="20 - 29"/>
    <s v="FNB Connect and Service Provider (Marlon Joel)"/>
    <s v="South Africa"/>
    <s v="FNB"/>
    <s v="83100002439 FNB Connect BI"/>
    <s v="Data Scientist"/>
    <s v="1 Year"/>
    <s v="Analytics"/>
    <s v="Create Mentorship Event for Rohan Schoeman with Himal Parbhoo"/>
    <d v="2025-04-01T00:00:00"/>
    <m/>
    <m/>
  </r>
  <r>
    <s v="5546885"/>
    <x v="210"/>
    <s v="Hi Mongezi,_x000a__x000a_I trust this is received well._x000a__x000a_I am working towards growing within my career, I would like my next career step to become a financial manager. To learn good leadership skills and also need to know what I need to do to grow professionally. I would really appreciate it if you can set up time so we can chat to see how you can hold my hand in me achieving my objective."/>
    <s v="Leadership Mentor"/>
    <s v="Full Time Employee"/>
    <s v="African (South Africa)"/>
    <s v="Male"/>
    <s v="30 - 39"/>
    <s v="FNB Commercial TxP (Phillip Mthimunye)"/>
    <s v="South Africa"/>
    <s v="FNB"/>
    <s v="39800003339 FNB Commercial TxP Finance"/>
    <s v="Financial Manager"/>
    <s v="3 - 5 Years"/>
    <s v="Financial Management"/>
    <s v="5276098"/>
    <x v="275"/>
    <s v="PHI Benefit"/>
    <s v="African (South Africa)"/>
    <s v="Female"/>
    <s v="30 - 39"/>
    <s v="FNB Core Banking Platform (Ashley Govender (Inherited))"/>
    <s v="South Africa"/>
    <s v="FNB"/>
    <s v="59600003947 FNB Personal and Private IT Finance"/>
    <s v="Financial Accountant"/>
    <s v="6 - 10 Years"/>
    <s v="Systems Accounting and Financial Operations"/>
    <s v="Create Mentorship Event for Thandeka Ntisana with Mongezi Mahlangu"/>
    <d v="2025-04-01T00:00:00"/>
    <d v="2025-11-30T00:00:00"/>
    <m/>
  </r>
  <r>
    <s v="4735897"/>
    <x v="213"/>
    <s v="Hi Bertus,_x000a_I hope that you are well._x000a__x000a_I am Chanelle van Heerden and I am currently a FirstJob Graduate working as a Transaction Manager for the Debt Trade and Solutions team in the Investment Banking Division._x000a__x000a_I am applying for this mentorship program as I seek to leverage guidance, support, and industry insights to accelerate my personal and professional growth. As someone who aims to be a Credit Analyst at some point in my career. I hope this mentorship will help me gain valuable knowledge, develop strategic skills, and expand my network. I want to use this mentorship to learn from an experienced mentor who can offer tailored advice, challenge my perspectives, and empower me to achieve my goals. Ultimately, I believe this mentorship will equip me with the confidence, expertise, and resilience necessary to drive meaningful impact in my career._x000a__x000a_I look forward to meeting you, because I believe you can help me in all stages of my career."/>
    <s v="Career Mentor"/>
    <s v="Full Time Employee"/>
    <s v="White (South Africa)"/>
    <s v="Male"/>
    <s v="30 - 39"/>
    <s v="RMBSA IBD Legal, Risk and Compliance (Werner Van Oudenhove De St Gery)"/>
    <s v="South Africa"/>
    <s v="RMB"/>
    <s v="77800000SFC RMBSA IBD Structured Credit Analysts"/>
    <s v="Credit Head"/>
    <s v="11 -15 Years"/>
    <s v="Credit Risk"/>
    <s v="8874854"/>
    <x v="434"/>
    <s v="Full Time Employee"/>
    <s v="Coloured (South Africa)"/>
    <s v="Female"/>
    <s v="20 - 29"/>
    <s v="RMBSA IBD Operations Transaction Management (Samantha Yena)"/>
    <s v="South Africa"/>
    <s v="RMB"/>
    <s v="77800000IBT RMBSA IBD Operations Transaction Management"/>
    <s v="Transaction Management Specialist"/>
    <s v="&lt;1 Year"/>
    <s v="Operations"/>
    <s v="Create Mentorship Event for Chanelle Van Heerden with Bertus Huisman"/>
    <d v="2025-02-04T00:00:00"/>
    <d v="2025-06-30T00:00:00"/>
    <m/>
  </r>
  <r>
    <s v="3794687"/>
    <x v="287"/>
    <s v="Aileen is a senior member of staff that is A-typical, her expertise in this aspect will aid me in exploring corporate and my ADHD. Her work in introducing LLMs and exploring the benefits or downsides of introducing them to FirstRands programmers."/>
    <s v="Career Mentor"/>
    <s v="Full Time Employee"/>
    <s v="White (South Africa)"/>
    <s v="Female"/>
    <s v="50 - 59"/>
    <s v="RMBSA Technology  IT Security and Access (Angela Henry)"/>
    <s v="South Africa"/>
    <s v="RMB"/>
    <s v="77800000BTZ BTZ-RMB IT Security and Access"/>
    <s v="Information Security Architect"/>
    <s v="11 -15 Years"/>
    <s v="IT Security"/>
    <s v="8878676"/>
    <x v="435"/>
    <s v="Full Time Employee"/>
    <s v="Coloured (South Africa)"/>
    <s v="Male"/>
    <s v="20 - 29"/>
    <s v="Group Finance Accounting (Giselle Ras)"/>
    <s v="South Africa"/>
    <s v="FirstRand Corporate Centre"/>
    <s v="20200003713 FRCC ERM GCR Risk reporting and Training"/>
    <s v="Quantitative Graduate Trainee"/>
    <s v="1 Year"/>
    <s v="Analytics"/>
    <s v="Create Mentorship Event for Caide Lander with Aileen Spanier-Marson"/>
    <d v="2025-03-24T00:00:00"/>
    <d v="2026-03-24T00:00:00"/>
    <m/>
  </r>
  <r>
    <s v="0186767"/>
    <x v="294"/>
    <s v="Dear Nicholas Litton,_x000a__x000a_I hope this message finds you well. My name is Siyaan Davids, and I am currently working as a Client Desirability Analyst within the FNB CRO - Screening Services team. I recently completed my degree, and I am eager to further develop my skills and knowledge in the compliance field._x000a_I am reaching out to you with the hope of establishing a mentorship relationship, as I believe that your guidance would be invaluable as I navigate the early stages of my career._x000a__x000a_Specifically, I am interested in the following areas of mentoring:_x000a_Career Guidance: I would greatly appreciate your insights on how to effectively chart a career path within compliance, including potential opportunities for advancement and the skills that are most critical for success in this field._x000a_Managing a Career Transition: As I transition from my academic background into a professional role, I would like to learn how to adapt my skills and knowledge to meet the demands of the industry. Your advice on overcoming challenges during this transition would be particularly beneficial._x000a_Relationship Building and Networking: I understand the importance of building a strong professional network in compliance. I would like to learn from your experiences on how to cultivate meaningful relationships within the industry and leverage these connections for career growth._x000a__x000a_I am committed to making the most of this mentorship opportunity and I am eager to learn from your expertise. Thank you for considering my request. I look forward to the possibility of working together and gaining your insights._x000a__x000a_Kind regards,_x000a_Siyaan Davids"/>
    <s v="Career Mentor"/>
    <s v="Full Time Employee"/>
    <s v="White (South Africa)"/>
    <s v="Male"/>
    <s v="50 - 59"/>
    <s v="FNB Credit Card Legal Risk and Compliance (Robert Cawse)"/>
    <s v="South Africa"/>
    <s v="FNB"/>
    <s v="39400001973 FNB Chief Risk Office Retail and Commercial Compliance"/>
    <s v="Compliance Practice Lead"/>
    <s v="&gt;20 Years"/>
    <s v="Compliance"/>
    <s v="5001609"/>
    <x v="436"/>
    <s v="Full Time Employee"/>
    <s v="Coloured (South Africa)"/>
    <s v="Female"/>
    <s v="30 - 39"/>
    <s v="FNB Chief Risk Office Client Desirability Risk Management (Prabashnee Naidoo)"/>
    <s v="South Africa"/>
    <s v="FNB"/>
    <s v="39400005345 FNB Chief Risk Office Screening Services AML"/>
    <s v="Client Desirability Analyst"/>
    <s v="6 - 10 Years"/>
    <s v="Fraud Risk"/>
    <s v="Create Mentorship Event for Siyaan Davids with Nicholas Litton"/>
    <d v="2025-05-05T00:00:00"/>
    <m/>
    <m/>
  </r>
  <r>
    <s v="3795373"/>
    <x v="295"/>
    <s v="Exposure to data science field_x000a_Industry Insights_x000a_Practical Experience_x000a_Career Guidance_x000a_Networking"/>
    <s v="Career Mentor"/>
    <s v="Full Time Employee"/>
    <s v="Indian (South Africa)"/>
    <s v="Male"/>
    <s v="30 - 39"/>
    <s v="FNB Commercial Chief Data and Analytics (Ryan Prozesky)"/>
    <s v="South Africa"/>
    <s v="FNB"/>
    <s v="34300003334 FNB Commercial Analytics Insights and Research"/>
    <s v="Data Science Head"/>
    <s v="11 -15 Years"/>
    <s v="Analytics"/>
    <s v="5511097"/>
    <x v="215"/>
    <s v="Full Time Employee"/>
    <s v="African (South Africa)"/>
    <s v="Female"/>
    <s v="20 - 29"/>
    <s v="FNB Commercial Sales Cape (X Gadlela)"/>
    <s v="South Africa"/>
    <s v="FNB"/>
    <s v="34200008675 FNB Commercial Sales Eastern Cape 10 to 60M"/>
    <s v="Relationship Analyst"/>
    <s v="3 - 5 Years"/>
    <s v="Client Relationship Management"/>
    <s v="Create Mentorship Event for Vuyiseka Myeki with Yudhvir Seetharam"/>
    <d v="2025-04-23T00:00:00"/>
    <m/>
    <m/>
  </r>
  <r>
    <s v="2968576"/>
    <x v="296"/>
    <s v="Manage a career transition_x000a__x000a_Relationship building and networking"/>
    <s v="Career Mentor"/>
    <s v="Full Time Employee"/>
    <s v="African (South Africa)"/>
    <s v="Female"/>
    <s v="40 - 49"/>
    <s v="FNB POP Chief Executive Office (Zibuyile Nqala)"/>
    <s v="South Africa"/>
    <s v="FNB"/>
    <s v="7710396500 FNB POP Executives"/>
    <s v="Regional Head"/>
    <s v="11 -15 Years"/>
    <s v="Sales Management"/>
    <s v="3745708"/>
    <x v="437"/>
    <s v="Full Time Employee"/>
    <s v="African (South Africa)"/>
    <s v="Male"/>
    <s v="30 - 39"/>
    <s v="FNB Points of Presence (Musa Vukeya)"/>
    <s v="South Africa"/>
    <s v="FNB"/>
    <s v="7710405800 FNB POP Commercial Collaboration"/>
    <s v="Key Accounts Manager"/>
    <s v="11 -15 Years"/>
    <s v="Client Relationship Management"/>
    <s v="Create Mentorship Event for Sandile Dube with Dima Thaba"/>
    <d v="2025-01-31T00:00:00"/>
    <d v="2026-12-31T00:00:00"/>
    <m/>
  </r>
  <r>
    <s v="5154375"/>
    <x v="297"/>
    <s v="Leeresha was able to guide me and assist me with navigating the code bases"/>
    <s v="Technical Mentor"/>
    <s v="Full Time Employee"/>
    <s v="Indian (South Africa)"/>
    <s v="Female"/>
    <s v="20 - 29"/>
    <s v="CDO Kernel iNterfaceX (Shaimal Bhika)"/>
    <s v="South Africa"/>
    <s v="FNB"/>
    <s v="21800004117 CDO Kernel iNterfaceX Data Science Engineering"/>
    <s v="Systems Analyst"/>
    <s v="6 - 10 Years"/>
    <s v="Business/Systems Analysis"/>
    <s v="5382319"/>
    <x v="438"/>
    <s v="Full Time Employee"/>
    <s v="African (South Africa)"/>
    <s v="Male"/>
    <s v="20 - 29"/>
    <s v="CDO Kernel iNterfaceX (Futhi Mwelase)"/>
    <s v="South Africa"/>
    <s v="FNB"/>
    <s v="21800005249 CDO Kernel iNterfaceX Systems Analysis"/>
    <s v="Systems Analyst"/>
    <s v="1 Year"/>
    <s v="Business/Systems Analysis"/>
    <s v="Close Mentorship Event for Mpho Mosotho with Leeresha Dehaloo_x000a__x000a_Create Mentorship Event for Mpho Mosotho with Leeresha Dehaloo"/>
    <d v="2024-10-01T00:00:00"/>
    <d v="2024-10-31T00:00:00"/>
    <s v="Mentoring Needs Fulfilled"/>
  </r>
  <r>
    <s v="5329132"/>
    <x v="298"/>
    <s v="Assisted with expanding my domain knowledge in IAG. Worked with me to ensure all our Use Cases were up to UML standards."/>
    <s v="Technical Mentor"/>
    <s v="Full Time Employee"/>
    <s v="Indian (South Africa)"/>
    <s v="Male"/>
    <s v="20 - 29"/>
    <s v="FNB eBucks Technology (Kuven Pillay)"/>
    <s v="South Africa"/>
    <s v="FNB"/>
    <s v="25600005667 FNB eBucks Technology"/>
    <s v="Systems Analyst"/>
    <s v="6 - 10 Years"/>
    <s v="Business/Systems Analysis"/>
    <s v="5154375"/>
    <x v="439"/>
    <s v="Full Time Employee"/>
    <s v="Indian (South Africa)"/>
    <s v="Female"/>
    <s v="20 - 29"/>
    <s v="CDO Kernel iNterfaceX (Shaimal Bhika)"/>
    <s v="South Africa"/>
    <s v="FNB"/>
    <s v="21800004117 CDO Kernel iNterfaceX Data Science Engineering"/>
    <s v="Systems Analyst"/>
    <s v="6 - 10 Years"/>
    <s v="Business/Systems Analysis"/>
    <s v="Close Mentorship Event for Leeresha Dehaloo with Nabeel Makkan_x000a__x000a_Create Mentorship Event for Leeresha Dehaloo with Nabeel Makkan"/>
    <d v="2024-01-01T00:00:00"/>
    <d v="2024-08-31T00:00:00"/>
    <s v="Mentoring Needs Fulfilled"/>
  </r>
  <r>
    <s v="5054729"/>
    <x v="299"/>
    <s v="Career growth and guidance with aspirations of becoming a great senior."/>
    <s v="Technical Mentor"/>
    <m/>
    <s v="African (South Africa)"/>
    <s v="Male"/>
    <s v="30 - 39"/>
    <m/>
    <s v="South Africa"/>
    <m/>
    <m/>
    <m/>
    <s v="3 - 5 Years"/>
    <m/>
    <s v="5649528"/>
    <x v="440"/>
    <s v="Full Time Employee"/>
    <s v="African (South Africa)"/>
    <s v="Male"/>
    <s v="30 - 39"/>
    <s v="FNB eBucks (Norma Tshoke)"/>
    <s v="South Africa"/>
    <s v="FNB"/>
    <s v="25600005663 FNB eBucks Business Decision Support"/>
    <s v="Data Engineer"/>
    <s v="2 Years"/>
    <s v="Data Management, Maintenance and Security"/>
    <s v="Create Mentorship Event for Handry Xulu with Linda Hlophe (Terminated)"/>
    <d v="2025-04-07T00:00:00"/>
    <d v="2026-04-07T00:00:00"/>
    <m/>
  </r>
  <r>
    <s v="2913844"/>
    <x v="300"/>
    <s v="I am seeking a mentor within my workplace to guide me in transitioning from my current role as a Learning Architect to a career in Digital Marketing and Brand Media. With my background in content creation, design, and audience engagement, I am eager to apply my skills in a more strategic and impactful way within the marketing space. A mentor would provide invaluable insights into industry best practices, brand positioning, and corporate marketing strategies while helping me navigate the shift within the financial sector. Their guidance would enhance my understanding of digital marketing trends, strengthen my strategic thinking, and ensure a seamless transition into a role where I can contribute meaningfully to the organization’s brand growth and digital presence."/>
    <s v="Career Mentor"/>
    <s v="Full Time Employee"/>
    <s v="African (South Africa)"/>
    <s v="Female"/>
    <s v="50 - 59"/>
    <s v="FNB Corporate Affairs Internal Branding (Jennifer Heeger)"/>
    <s v="South Africa"/>
    <s v="FNB"/>
    <s v="39400005485 FNB Corporate Affairs Internal Branding"/>
    <s v="Digital Communications Manager"/>
    <s v="&gt;20 Years"/>
    <s v="Marketing, Advertising and Media (incl. digital)"/>
    <s v="5568927"/>
    <x v="441"/>
    <s v="Full Time Employee"/>
    <s v="African (South Africa)"/>
    <s v="Male"/>
    <s v="30 - 39"/>
    <s v="FNB Loans (Angelina Semetsi)"/>
    <s v="South Africa"/>
    <s v="FNB"/>
    <s v="79100009676 FNB Consumer Loans Human Resources"/>
    <s v="Learning Architect"/>
    <s v="3 - 5 Years"/>
    <s v="Experience Architecting"/>
    <s v="Create Mentorship Event for Sibusiso Mnisi with Kehiloe Makhele"/>
    <d v="2025-03-25T00:00:00"/>
    <d v="2026-03-25T00:00:00"/>
    <m/>
  </r>
  <r>
    <s v="8872336"/>
    <x v="301"/>
    <s v="Career Mentor"/>
    <s v="Career Mentor"/>
    <s v="Full Time Employee"/>
    <s v="N/A (Eswatini)"/>
    <s v="Male"/>
    <s v="40 - 49"/>
    <s v="FNB Eswatini FCC (Thokozani Dlamini)"/>
    <s v="Eswatini"/>
    <s v="FNB"/>
    <s v="5020466400 FNB Eswatini FCC"/>
    <s v="Chief Information Officer"/>
    <s v="1 Year"/>
    <s v="System Design and Administration"/>
    <s v="5599024"/>
    <x v="442"/>
    <s v="Full Time Employee"/>
    <s v="African (South Africa)"/>
    <s v="Male"/>
    <s v="30 - 39"/>
    <s v="FNB ConnectMe (Rakatsa Pelo)"/>
    <s v="South Africa"/>
    <s v="FNB"/>
    <s v="84900008643 FNB ConnectMe 2nd Level Supp"/>
    <s v="Technical Specialist"/>
    <s v="3 - 5 Years"/>
    <s v="Architecture"/>
    <s v="Create Mentorship Event for Kenneth Mnguni with Dido Wa Kalonji"/>
    <d v="2025-01-02T00:00:00"/>
    <m/>
    <m/>
  </r>
  <r>
    <s v="3868664"/>
    <x v="302"/>
    <s v="Enhancement of strategical-thinking and decision making_x000a_Improve problem solving from operational to long-term focus_x000a_CDAO strategical alignment with retail segments_x000a_Effective resource management"/>
    <s v="Leadership Mentor"/>
    <s v="Full Time Employee"/>
    <s v="African (South Africa)"/>
    <s v="Male"/>
    <s v="30 - 39"/>
    <s v="FNB Personal Exco (Lee Mhlongo)"/>
    <s v="South Africa"/>
    <s v="FNB"/>
    <s v="34100003373 PB&amp;A BI &amp; Data Analytics"/>
    <s v="Business Intelligence Head"/>
    <s v="6 - 10 Years"/>
    <s v="Business Intelligence"/>
    <s v="3366405"/>
    <x v="443"/>
    <s v="Full Time Employee"/>
    <s v="African (South Africa)"/>
    <s v="Male"/>
    <s v="40 - 49"/>
    <s v="FNB HSL (Ariel Eliasov (Inherited))"/>
    <s v="South Africa"/>
    <s v="FNB"/>
    <s v="38500009748 HSL. Business Intelligence"/>
    <s v="Business Intelligence Head"/>
    <s v="16 - 20 Years"/>
    <s v="Business Intelligence"/>
    <s v="Create Mentorship Event for Solomzi Klaas with Tibane Lebese"/>
    <d v="2024-11-01T00:00:00"/>
    <d v="2026-01-31T00:00:00"/>
    <m/>
  </r>
  <r>
    <s v="5154375"/>
    <x v="297"/>
    <s v="To grow my domain knowledge on the different systems, learn how to use applications and tools for the systems analyst role."/>
    <s v="Technical Mentor"/>
    <s v="Full Time Employee"/>
    <s v="Indian (South Africa)"/>
    <s v="Female"/>
    <s v="20 - 29"/>
    <s v="CDO Kernel iNterfaceX (Shaimal Bhika)"/>
    <s v="South Africa"/>
    <s v="FNB"/>
    <s v="21800004117 CDO Kernel iNterfaceX Data Science Engineering"/>
    <s v="Systems Analyst"/>
    <s v="6 - 10 Years"/>
    <s v="Business/Systems Analysis"/>
    <s v="5603595"/>
    <x v="444"/>
    <s v="Full Time Employee"/>
    <s v="Indian (South Africa)"/>
    <s v="Female"/>
    <s v="20 - 29"/>
    <s v="FNB Points of Presence (Agmat Kenny)"/>
    <s v="South Africa"/>
    <s v="FNB"/>
    <s v="7710664100 FNB POP IT Application Development SSD"/>
    <s v="Systems Analyst"/>
    <s v="3 - 5 Years"/>
    <s v="Business/Systems Analysis"/>
    <s v="Close Mentorship Event for Simishka Dasupan with Leeresha Dehaloo_x000a__x000a_Create Mentorship Event for Simishka Dasupan with Leeresha Dehaloo"/>
    <d v="2023-04-03T00:00:00"/>
    <d v="2023-12-08T00:00:00"/>
    <s v="Mentoring Needs Fulfilled"/>
  </r>
  <r>
    <s v="1935275"/>
    <x v="303"/>
    <s v="Mainframe Leadership development."/>
    <s v="Leadership Mentor"/>
    <m/>
    <s v="White (South Africa)"/>
    <s v="Male"/>
    <s v="60 - 64"/>
    <s v="FNB R&amp;C Chief Information Office (La-Cell Mouton)"/>
    <s v="South Africa"/>
    <s v="FNB"/>
    <s v="79000005142 FNB Enablement OCIO Executive"/>
    <s v="Information Technology Head"/>
    <s v="&lt;1 Year"/>
    <s v="IT Development"/>
    <s v="5232813"/>
    <x v="445"/>
    <s v="Full Time Employee"/>
    <s v="White (South Africa)"/>
    <s v="Male"/>
    <s v="30 - 39"/>
    <s v="CDO Infrastructure and Security Services (Ntswaki Lecage)"/>
    <s v="South Africa"/>
    <s v="FNB"/>
    <s v="20700005533 CDO Infrastructure and Security Services Mainframe"/>
    <s v="Software Architect"/>
    <s v="16 - 20 Years"/>
    <s v="Architecture"/>
    <s v="Create Mentorship Event for Cameron Scott with Fernando Moreira [C]"/>
    <d v="2025-03-01T00:00:00"/>
    <d v="2026-02-28T00:00:00"/>
    <m/>
  </r>
  <r>
    <s v="5189543"/>
    <x v="304"/>
    <s v="I am seeking a mentorship opportunity to enhance my digital marketing skills and achieve my goal of becoming a digital marketer. Through this mentoring relationship, I aim to:_x000a_Develop leadership skills: I aspire to take on more leadership roles within digital marketing and improve my ability to lead and inspire marketing teams effectively._x000a_Broaden organizational knowledge: I want to gain a deeper understanding of digital marketing practices across different functions and operations within my company to better align my work with the overall business objectives._x000a_Relationship building and networking: I am keen to build strong professional relationships and expand my network within the digital marketing community to open up new opportunities for collaboration and career advancement._x000a_Ultimately, the purpose of this mentorship is for me to become a digital marketer, where I can leverage my skills and experience to lead successful marketing campaigns and drive positive outcomes for my organization._x000a_I am highly motivated and committed to making the most of this mentorship experience. I believe that with the guidance and support of a mentor, I can achieve my career aspirations and contribute more effectively to my organization."/>
    <s v="Career Mentor"/>
    <s v="Full Time Employee"/>
    <s v="African (South Africa)"/>
    <s v="Female"/>
    <s v="30 - 39"/>
    <s v="FNB Integrated Advice (Ester Ochse)"/>
    <s v="South Africa"/>
    <s v="FNB"/>
    <s v="85500007549 FNB Integrated Advice"/>
    <s v="Business Solutions Specialist"/>
    <s v="6 - 10 Years"/>
    <s v="Operations"/>
    <s v="4968247"/>
    <x v="446"/>
    <s v="Full Time Employee"/>
    <s v="Coloured (South Africa)"/>
    <s v="Female"/>
    <s v="20 - 29"/>
    <s v="FNB Connect and Service Provider (Tebogo Sape)"/>
    <s v="South Africa"/>
    <s v="FNB"/>
    <s v="83100005537 FNB Connect Customer Support"/>
    <s v="Administrator"/>
    <s v="6 - 10 Years"/>
    <s v="Administration"/>
    <s v="Create Mentorship Event for Kelin Van Der Westhuizen with Nolwazi Ndlovu"/>
    <d v="2025-05-01T00:00:00"/>
    <d v="2025-10-01T00:00:00"/>
    <m/>
  </r>
  <r>
    <s v="5391458"/>
    <x v="222"/>
    <s v="I hope you're doing well. I’m reaching out to express my interest in learning from your expertise as I work toward transitioning into a Business Analyst role. _x000a__x000a__x000a_With eight years of experience as a Client Service Specialist, I have developed a strong foundation in problem-solving, stakeholder management, and process improvement. Additionally, I completed a Business Analysis NQF Level 5 certification and gained hands-on experience through a two-year job shadowing program at Commercial TXP._x000a_As I continue refining my skills and preparing for this transition, I would greatly appreciate the opportunity to learn from your insights—whether through guidance, advice, or occasional check-ins. Your experience in [specific area, e.g., business process modeling, stakeholder engagement] would be invaluable in helping me navigate this journey._x000a_If you're open to it, I would love to set up a brief meeting at your convenience to discuss this further. Please let me know a time that works for you._x000a_Thank you for your time and consideration—I truly appreciate it._x000a_Best regards,_x000a_Lebogang Serache"/>
    <s v="Career Mentor"/>
    <s v="Full Time Employee"/>
    <s v="African (South Africa)"/>
    <s v="Male"/>
    <s v="30 - 39"/>
    <s v="FNB Commercial Merchant Services (Ashley Jacobs)"/>
    <s v="South Africa"/>
    <s v="FNB"/>
    <s v="22800008224 FNB Commercial Merchant Services Projects"/>
    <s v="Business Analyst"/>
    <s v="3 - 5 Years"/>
    <s v="Process and Business Analysis"/>
    <s v="4679253"/>
    <x v="418"/>
    <s v="Full Time Employee"/>
    <s v="African (South Africa)"/>
    <s v="Female"/>
    <s v="40 - 49"/>
    <s v="FNB Business CXC (Lerato Senne)"/>
    <s v="South Africa"/>
    <s v="FNB"/>
    <s v="34300008508 FNB Business CXC Card Authorisations"/>
    <s v="Client Service Specialist"/>
    <s v="6 - 10 Years"/>
    <s v="Client Experience and Value Management"/>
    <s v="Create Mentorship Event for Lebogang Serache with Cuthbert (Sedutla) Sekgotodi"/>
    <d v="2025-03-18T00:00:00"/>
    <d v="2025-08-18T00:00:00"/>
    <m/>
  </r>
  <r>
    <s v="5154375"/>
    <x v="297"/>
    <s v="Assisting with code bases and understanding code for Online banking back end, managing codebases/git."/>
    <s v="Technical Mentor"/>
    <s v="Full Time Employee"/>
    <s v="Indian (South Africa)"/>
    <s v="Female"/>
    <s v="20 - 29"/>
    <s v="CDO Kernel iNterfaceX (Shaimal Bhika)"/>
    <s v="South Africa"/>
    <s v="FNB"/>
    <s v="21800004117 CDO Kernel iNterfaceX Data Science Engineering"/>
    <s v="Systems Analyst"/>
    <s v="6 - 10 Years"/>
    <s v="Business/Systems Analysis"/>
    <s v="5329132"/>
    <x v="447"/>
    <s v="Full Time Employee"/>
    <s v="Indian (South Africa)"/>
    <s v="Male"/>
    <s v="20 - 29"/>
    <s v="FNB eBucks Technology (Kuven Pillay)"/>
    <s v="South Africa"/>
    <s v="FNB"/>
    <s v="25600005667 FNB eBucks Technology"/>
    <s v="Systems Analyst"/>
    <s v="6 - 10 Years"/>
    <s v="Business/Systems Analysis"/>
    <s v="Close Mentorship Event for Nabeel Makkan with Leeresha Dehaloo_x000a__x000a_Create Mentorship Event for Nabeel Makkan with Leeresha Dehaloo"/>
    <d v="2024-01-01T00:00:00"/>
    <d v="2024-08-31T00:00:00"/>
    <s v="Mentoring Needs Fulfilled"/>
  </r>
  <r>
    <s v="4527658"/>
    <x v="305"/>
    <s v="My objection is to equip myself with road map to step into a career of my choice (No experience), not necessary to get a job in that field, but to get more insight in that field / get exposure and weigh possibilities._x000a__x000a_In short to assist with career choice / education / networking amongst others."/>
    <s v="Career Mentor"/>
    <s v="Full Time Employee"/>
    <s v="White (South Africa)"/>
    <s v="Male"/>
    <s v="40 - 49"/>
    <s v="FNB Commercial Structured Finance Solutions (Charl Jansen Van Rensburg)"/>
    <s v="South Africa"/>
    <s v="FNB"/>
    <s v="33900009241 FNB Commercial Leveraged Finance Gauteng East"/>
    <s v="Deal Maker Leverage Finance"/>
    <s v="6 - 10 Years"/>
    <s v="Direct Sales"/>
    <s v="5378982"/>
    <x v="448"/>
    <s v="Full Time Employee"/>
    <s v="African (South Africa)"/>
    <s v="Male"/>
    <s v="40 - 49"/>
    <s v="FirstRand Short Term Insurance (Jade Griffin)"/>
    <s v="South Africa"/>
    <s v="FNB"/>
    <s v="79900010208 ST Operations"/>
    <s v="Underwriter"/>
    <s v="3 - 5 Years"/>
    <s v="Operational Risk"/>
    <s v="Create Mentorship Event for Edison Mabanna with Richard Foaden"/>
    <d v="2025-02-01T00:00:00"/>
    <m/>
    <m/>
  </r>
  <r>
    <s v="5329132"/>
    <x v="298"/>
    <s v="Nabeel helped with explaining processes in online banking, showing me how to do use cases, guided me through projects, process mapping, API's and business functions. He also assisted in helping me understand what the roles and responsibilities of being a systems analyst are and how to manage projects. We were assigned in multiple projects together where he showed great collaboration and helped me gather even more domain knowledge."/>
    <s v="Technical Mentor"/>
    <s v="Full Time Employee"/>
    <s v="Indian (South Africa)"/>
    <s v="Male"/>
    <s v="20 - 29"/>
    <s v="FNB eBucks Technology (Kuven Pillay)"/>
    <s v="South Africa"/>
    <s v="FNB"/>
    <s v="25600005667 FNB eBucks Technology"/>
    <s v="Systems Analyst"/>
    <s v="6 - 10 Years"/>
    <s v="Business/Systems Analysis"/>
    <s v="5603595"/>
    <x v="444"/>
    <s v="Full Time Employee"/>
    <s v="Indian (South Africa)"/>
    <s v="Female"/>
    <s v="20 - 29"/>
    <s v="FNB Points of Presence (Agmat Kenny)"/>
    <s v="South Africa"/>
    <s v="FNB"/>
    <s v="7710664100 FNB POP IT Application Development SSD"/>
    <s v="Systems Analyst"/>
    <s v="3 - 5 Years"/>
    <s v="Business/Systems Analysis"/>
    <s v="Create Mentorship Event for Simishka Dasupan with Nabeel Makkan"/>
    <d v="2023-01-16T00:00:00"/>
    <d v="2024-08-02T00:00:00"/>
    <m/>
  </r>
  <r>
    <s v="5154375"/>
    <x v="297"/>
    <s v="Assistance in these projects through my first year being a Systems Analyst. Supported me through meetings, guidance, technical understanding, detailed documentation and presenting_x000a_Passthrough parameters_x000a_EBE Sales Entry Point Enablement_x000a_Account Reactivations_x000a_Zobb seamless reg_x000a_RMB POP Template change_x000a_OBE events into BDP"/>
    <s v="Technical Mentor"/>
    <s v="Full Time Employee"/>
    <s v="Indian (South Africa)"/>
    <s v="Female"/>
    <s v="20 - 29"/>
    <s v="CDO Kernel iNterfaceX (Shaimal Bhika)"/>
    <s v="South Africa"/>
    <s v="FNB"/>
    <s v="21800004117 CDO Kernel iNterfaceX Data Science Engineering"/>
    <s v="Systems Analyst"/>
    <s v="6 - 10 Years"/>
    <s v="Business/Systems Analysis"/>
    <s v="5603595"/>
    <x v="444"/>
    <s v="Full Time Employee"/>
    <s v="Indian (South Africa)"/>
    <s v="Female"/>
    <s v="20 - 29"/>
    <s v="FNB Points of Presence (Agmat Kenny)"/>
    <s v="South Africa"/>
    <s v="FNB"/>
    <s v="7710664100 FNB POP IT Application Development SSD"/>
    <s v="Systems Analyst"/>
    <s v="3 - 5 Years"/>
    <s v="Business/Systems Analysis"/>
    <s v="Close Mentorship Event for Simishka Dasupan with Leeresha Dehaloo_x000a__x000a_Create Mentorship Event for Simishka Dasupan with Leeresha Dehaloo"/>
    <d v="2024-01-22T00:00:00"/>
    <d v="2024-11-29T00:00:00"/>
    <s v="Mentoring Needs Fulfilled"/>
  </r>
  <r>
    <s v="3384292"/>
    <x v="37"/>
    <m/>
    <s v="Career Mentor"/>
    <s v="Full Time Employee"/>
    <s v="Racially disadvantaged (Namibia)"/>
    <s v="Female"/>
    <s v="50 - 59"/>
    <s v="FNB Namibia Limited (Wiann Mans)"/>
    <s v="Namibia"/>
    <s v="FNB"/>
    <s v="302031B9D555 FNB Namibia Human Capital"/>
    <s v="Learning and Development Manager"/>
    <s v="11 -15 Years"/>
    <s v="Experience Architecting"/>
    <s v="5019214"/>
    <x v="449"/>
    <s v="Full Time Employee"/>
    <s v="Racially disadvantaged (Namibia)"/>
    <s v="Female"/>
    <s v="30 - 39"/>
    <s v="FNB Namibia Limited (Andria Liebenberg)"/>
    <s v="Namibia"/>
    <s v="FNB"/>
    <s v="302031B9N510 FNB Namibia Coast and Central North Area Office Walvis Bay"/>
    <s v="Migration Official"/>
    <s v="6 - 10 Years"/>
    <s v="Client Experience and Value Management"/>
    <s v="Create Mentorship Event for Albertina Andowa with Annastasia Williams"/>
    <d v="2025-03-14T00:00:00"/>
    <d v="2025-07-30T00:00:00"/>
    <m/>
  </r>
  <r>
    <s v="4805062"/>
    <x v="45"/>
    <s v="My goal is to get advice and guidance to help me grow both personally and professionally. I want to learn new skills, overcome challenges, and find opportunities that match my ambitions. By working with a mentor, I hope to gain confidence, clarity, and stay motivated while also building connections and expanding my knowledge."/>
    <s v="Career Mentor"/>
    <s v="Full Time Employee"/>
    <s v="Indian (South Africa)"/>
    <s v="Male"/>
    <s v="30 - 39"/>
    <s v="Group Human Capital (Dudu Moloko)"/>
    <s v="South Africa"/>
    <s v="FirstRand Corporate Centre"/>
    <s v="20200007954 FRCC People Governance Learning Compliance"/>
    <s v="Leadership Development Specialist"/>
    <s v="11 -15 Years"/>
    <s v="Experience Architecting"/>
    <s v="5516943"/>
    <x v="450"/>
    <s v="Full Time Employee"/>
    <s v="Coloured (South Africa)"/>
    <s v="Female"/>
    <s v="30 - 39"/>
    <s v="FNB Personal Segment Advisory and Suites (Janine Napier)"/>
    <s v="South Africa"/>
    <s v="FNB"/>
    <s v="97200011062 FNB PSAS Connect Chat"/>
    <s v="Call Centre Agent"/>
    <s v="3 - 5 Years"/>
    <s v="Client Services Support and Delivery"/>
    <s v="Create Mentorship Event for Shantel Lutchman with Zaheer Ismail"/>
    <d v="2025-05-06T00:00:00"/>
    <m/>
    <m/>
  </r>
  <r>
    <s v="5498783"/>
    <x v="306"/>
    <s v="Guidance in my career."/>
    <s v="Technical Mentor"/>
    <s v="Full Time Employee"/>
    <s v="Indian (South Africa)"/>
    <s v="Female"/>
    <s v="30 - 39"/>
    <s v="CDO Kernel iNterfaceX (Chris Bolle)"/>
    <s v="South Africa"/>
    <s v="FNB"/>
    <s v="21800001994 CDO Kernel iNterfaceX Tech App and Mobile Dev App"/>
    <s v="Developer"/>
    <s v="3 - 5 Years"/>
    <s v="IT Development"/>
    <s v="5605164"/>
    <x v="451"/>
    <s v="Full Time Employee"/>
    <s v="Indian (South Africa)"/>
    <s v="Male"/>
    <s v="30 - 39"/>
    <s v="CDO Kernel iNterfaceX (Liam Brodie)"/>
    <s v="South Africa"/>
    <s v="FNB"/>
    <s v="21800001994 CDO Kernel iNterfaceX Tech App and Mobile Dev App"/>
    <s v="Developer"/>
    <s v="3 - 5 Years"/>
    <s v="IT Development"/>
    <s v="Create Mentorship Event for Pashlin Naidoo with Thaveshni Govender"/>
    <d v="2025-04-16T00:00:00"/>
    <m/>
    <m/>
  </r>
  <r>
    <s v="3878414"/>
    <x v="307"/>
    <s v="Hey Lorna, trust you're well._x000a__x000a_I am particularly drawn to you as I can see you're currently in the FNB International area, which is where I'm interested in venturing into that leadership space. I believe that your guidance through mentorship will help me develop essential skills and knowledge. Your mentorship will not only enhance my professional development, but it'll also provide me with a valuable network support system._x000a__x000a_Regards_x000a_Zamo"/>
    <s v="Leadership Mentor"/>
    <s v="Full Time Employee"/>
    <s v="White (South Africa)"/>
    <s v="Female"/>
    <s v="40 - 49"/>
    <s v="FNB International SA (Trevor Kunda)"/>
    <s v="South Africa"/>
    <s v="FNB"/>
    <s v="83200005732 FNB International SA Human Resources"/>
    <s v="Segment Lead Org Development, Design and Transformation"/>
    <s v="11 -15 Years"/>
    <s v="Experience Architecting"/>
    <s v="5516927"/>
    <x v="268"/>
    <s v="Full Time Employee"/>
    <s v="African (South Africa)"/>
    <s v="Female"/>
    <s v="30 - 39"/>
    <s v="FNB Core Banking Platform (Jermaine Remley)"/>
    <s v="South Africa"/>
    <s v="FNB"/>
    <s v="59600005611 FNB Personal and Private IT Unsecured Lending IT"/>
    <s v="Systems Analyst Team Leader"/>
    <s v="3 - 5 Years"/>
    <s v="Business/Systems Analysis"/>
    <s v="Create Mentorship Event for Zamokuhle Ngema with Lorna Reid"/>
    <d v="2025-08-01T00:00:00"/>
    <d v="2025-10-31T00:00:00"/>
    <m/>
  </r>
  <r>
    <s v="5154375"/>
    <x v="297"/>
    <s v="Assisted me with P24/068 - Digital Wallet Registration - Removal of email OTP as verification method (S)"/>
    <s v="Technical Mentor"/>
    <s v="Full Time Employee"/>
    <s v="Indian (South Africa)"/>
    <s v="Female"/>
    <s v="20 - 29"/>
    <s v="CDO Kernel iNterfaceX (Shaimal Bhika)"/>
    <s v="South Africa"/>
    <s v="FNB"/>
    <s v="21800004117 CDO Kernel iNterfaceX Data Science Engineering"/>
    <s v="Systems Analyst"/>
    <s v="6 - 10 Years"/>
    <s v="Business/Systems Analysis"/>
    <s v="5454468"/>
    <x v="452"/>
    <s v="Full Time Employee"/>
    <s v="African (South Africa)"/>
    <s v="Female"/>
    <s v="20 - 29"/>
    <s v="FNB Points of Presence (Agmat Kenny)"/>
    <s v="South Africa"/>
    <s v="FNB"/>
    <s v="7710664100 FNB POP IT Application Development SSD"/>
    <s v="Systems Analyst"/>
    <s v="3 - 5 Years"/>
    <s v="Business/Systems Analysis"/>
    <s v="Create Mentorship Event for Raphaahle Tema with Leeresha Dehaloo"/>
    <d v="2024-07-23T00:00:00"/>
    <d v="2024-09-20T00:00:00"/>
    <m/>
  </r>
  <r>
    <s v="4662458"/>
    <x v="277"/>
    <s v="Leadership mentorship, and career mentorship"/>
    <s v="Leadership Mentor"/>
    <s v="Full Time Employee"/>
    <s v="African (South Africa)"/>
    <s v="Male"/>
    <s v="40 - 49"/>
    <s v="RMBSA Technology (Christiaan Du Preez)"/>
    <s v="South Africa"/>
    <s v="RMB"/>
    <s v="77800000BTL RMBSA IBD Technology Team"/>
    <s v="Chief Information Officer Sponsor and IBD"/>
    <s v="3 - 5 Years"/>
    <s v="IT Development"/>
    <s v="5126215"/>
    <x v="453"/>
    <s v="Full Time Employee"/>
    <s v="African (South Africa)"/>
    <s v="Male"/>
    <s v="30 - 39"/>
    <s v="RMBSA Client Group Technology OCEP (Tyrone Naidoo)"/>
    <s v="South Africa"/>
    <s v="RMB"/>
    <s v="77800000CTJ CTJ-Client Engagement Technology"/>
    <s v="User Experience Manager"/>
    <s v="3 - 5 Years"/>
    <s v="Architecture"/>
    <s v="Create Mentorship Event for Thato Kgalamono with Kgotso Buys"/>
    <d v="2025-05-01T00:00:00"/>
    <d v="2025-11-30T00:00:00"/>
    <m/>
  </r>
  <r>
    <s v="5074258"/>
    <x v="308"/>
    <m/>
    <s v="Career Mentor"/>
    <s v="Full Time Employee"/>
    <s v="White (South Africa)"/>
    <s v="Female"/>
    <s v="30 - 39"/>
    <s v="FNB Central Finance (Cayoom Garrido)"/>
    <s v="South Africa"/>
    <s v="FNB"/>
    <s v="39400004304 FNB Finance Support Legal and Risk"/>
    <s v="Risk Manager"/>
    <s v="6 - 10 Years"/>
    <s v="Operational Risk"/>
    <s v="3903087"/>
    <x v="454"/>
    <s v="Full Time Employee"/>
    <s v="Indian (South Africa)"/>
    <s v="Female"/>
    <s v="30 - 39"/>
    <s v="FNB Finance Business Solutions (Glaicy Dhurgaduth)"/>
    <s v="South Africa"/>
    <s v="FNB"/>
    <s v="32100000214 FNB Finance Business Solutions Finance Operation Centre East Coast"/>
    <s v="Team Leader Administration"/>
    <s v="6 - 10 Years"/>
    <s v="Administration"/>
    <s v="Create Mentorship Event for Simone Dalliah-Pillay with Stacy Jeannes"/>
    <d v="2025-04-22T00:00:00"/>
    <m/>
    <m/>
  </r>
  <r>
    <s v="4612744"/>
    <x v="309"/>
    <s v="Hi there Naeem, hope you're well. I saw that your title is the head of Procurement, and I want to be exactly where you are in future. I'm currently in procurement myself as a requester and I enjoy it and would love to learn the broader aspects of and what your role entails. I have my bachelor's degree in commerce and will soon start my Honours specializing in supply chain. Thank you for your consideration"/>
    <s v="Career Mentor"/>
    <s v="Full Time Employee"/>
    <s v="Indian (South Africa)"/>
    <s v="Male"/>
    <s v="40 - 49"/>
    <s v="FNB Private Chief Financial Office (Yashen Singh)"/>
    <s v="South Africa"/>
    <s v="FNB"/>
    <s v="85500008554 FNB Retail IT Procurement"/>
    <s v="Procurement Head"/>
    <s v="16 - 20 Years"/>
    <s v="Procurement and Supply Chain Management"/>
    <s v="5125928"/>
    <x v="455"/>
    <s v="Full Time Employee"/>
    <s v="Indian (South Africa)"/>
    <s v="Female"/>
    <s v="20 - 29"/>
    <s v="FNB Core Banking Platform (Urshla Jackson)"/>
    <s v="South Africa"/>
    <s v="FNB"/>
    <s v="79000005142 FNB Enablement OCIO Executive"/>
    <s v="Financial Administrator"/>
    <s v="6 - 10 Years"/>
    <s v="Systems Accounting and Financial Operations"/>
    <s v="Create Mentorship Event for Alyssia Pillay with Naeem Motala"/>
    <d v="2025-03-01T00:00:00"/>
    <d v="2025-03-31T00:00:00"/>
    <m/>
  </r>
  <r>
    <s v="4532031"/>
    <x v="181"/>
    <s v="Dear Naomi,_x000a__x000a_I hope this letter finds you in good health :)._x000a__x000a_I am Rivoningo Maphanga, I'm currently a Data Scientist at FNB. My journey so far has been fueled by a deep-seated passion for applying quantitative models to solve complex problems. I’ve spent years analyzing data, improving predictive models, and tackling financial challenges. Now, I find myself drawn to the dynamic world of global markets - a space that blends innovation, strategy, and the fast-paced nature of financial decision-making._x000a__x000a_My specific interest lies in roles like Front Office Quantitative Analyst, Market Risk Analyst, Trading, and Structuring. I am fascinated by how mathematical models and advanced analytics can help anticipate market movements, optimize trading strategies, and manage risks effectively. This intersection of data science and finance excites me because it presents an opportunity to use my technical skills in new ways - shaping market strategies, enhancing risk mitigation tactics, and ultimately driving business success in the global financial landscape._x000a__x000a_While my background has prepared me with a robust foundation in mathematics and data science, I’m aware that the shift to global markets requires a different set of insights and strategic thinking. The landscape is ever-evolving, and I am eager to understand the nuances of this field - be it the intricacies of trading dynamics, the application of advanced risk models, or the real-world pressures that shape financial markets. I am not just looking for advice on how to transition, but rather a mentor who can guide me through the learning curve, challenge my assumptions, and help me refine my skills to excel in this new space._x000a__x000a_My desire for mentorship is driven by a strong commitment to grow, adapt, and push the boundaries of my own potential. I am seeking guidance from an industry expert who can provide me with the knowledge, practical insights, and career strategies to ensure a seamless and successful transition into global markets. Your experience and success in the industry are qualities that I deeply admire, and I am confident that with your mentorship, I can gain the clarity and direction I need to successfully make this shift in my career._x000a__x000a_I have included a link to my LinkedIn profile below for your reference, where you can review my background and experiences in more detail:_x000a_http://linkedin.com/in/rivo-tervin-maphanga-phd-5a27a5193._x000a__x000a_My contact details are as follows:_x000a_Cell Phone: 079 664 3355_x000a_Email Work: rivoningo.maphanga@fnb.co.za and Personal: rivoningo.maphanga@gmail.com_x000a__x000a_I would be highly honored if you can allow us sometime in your busy schedule to meet for a coffee chat. It would also be an honor if you can consider my request, and I will always be excited about the possibility of working together and learning from your expertise. Thank you so much._x000a__x000a_Sincerely,_x000a_Rivoningo Maphanga"/>
    <s v="Career Mentor"/>
    <s v="Full Time Employee"/>
    <s v="African (South Africa)"/>
    <s v="Female"/>
    <s v="40 - 49"/>
    <s v="RMBSA Global Markets Structured Solutions and Trading Enablement (Victor Mofokeng)"/>
    <s v="South Africa"/>
    <s v="RMB"/>
    <s v="77800000BNR RMBSA Global Markets Cross Asset and Financing Trading Book Financing"/>
    <s v="Trading Desk Head"/>
    <s v="16 - 20 Years"/>
    <s v="Financial Markets"/>
    <s v="5471710"/>
    <x v="456"/>
    <m/>
    <s v="African (South Africa)"/>
    <s v="Male"/>
    <s v="20 - 29"/>
    <m/>
    <s v="South Africa"/>
    <m/>
    <m/>
    <m/>
    <s v="3 - 5 Years"/>
    <m/>
    <s v="Create Mentorship Event for Rivoningo Maphanga (Terminated) with Naomi Sekgobela"/>
    <d v="2025-02-04T00:00:00"/>
    <m/>
    <m/>
  </r>
  <r>
    <s v="1935275"/>
    <x v="303"/>
    <s v="Get guidance on how to better fulfill my role as Mainframe Systems Architect."/>
    <s v="Technical Mentor"/>
    <m/>
    <s v="White (South Africa)"/>
    <s v="Male"/>
    <s v="60 - 64"/>
    <s v="FNB R&amp;C Chief Information Office (La-Cell Mouton)"/>
    <s v="South Africa"/>
    <s v="FNB"/>
    <s v="79000005142 FNB Enablement OCIO Executive"/>
    <s v="Information Technology Head"/>
    <s v="&lt;1 Year"/>
    <s v="IT Development"/>
    <s v="2875403"/>
    <x v="457"/>
    <s v="Full Time Employee"/>
    <s v="Indian (South Africa)"/>
    <s v="Male"/>
    <s v="40 - 49"/>
    <s v="CDO Infrastructure and Security Services (Ntswaki Lecage)"/>
    <s v="South Africa"/>
    <s v="FNB"/>
    <s v="20700005533 CDO Infrastructure and Security Services Mainframe"/>
    <s v="Software Architect"/>
    <s v="&gt;20 Years"/>
    <s v="Architecture"/>
    <s v="Create Mentorship Event for Rishi Thulsie with Fernando Moreira [C]"/>
    <d v="2025-04-25T00:00:00"/>
    <d v="2025-12-04T00:00:00"/>
    <m/>
  </r>
  <r>
    <s v="3351068"/>
    <x v="310"/>
    <s v="Dear Melanie,_x000a__x000a_I wanted to express my sincere gratitude for agreeing to mentor me. I am excited to learn from your experience and insights, and I am confident that your guidance will help me to achieve my goals._x000a__x000a_I would like to pursue my career in Project Management. The main purpose of this mentorship is to achieve my short-term goals (1-2 years) and would like to focus on the following under your guidance._x000a__x000a_1. Identify key skills required for desired role and focus on developing them._x000a_2. Pursue relevant certifications or training to enhance my skills and knowledge._x000a_3. Pairing with experienced project managers to understand project management skills and techniques to the real-time projects._x000a__x000a_I will define an action plan and then meet on consistent basis. Thank you again for your time and support, I look forward to our first meeting."/>
    <s v="Career Mentor"/>
    <s v="Full Time Employee"/>
    <s v="Indian (South Africa)"/>
    <s v="Female"/>
    <s v="40 - 49"/>
    <s v="FNB Commercial TxP (Rob Lanning)"/>
    <s v="South Africa"/>
    <s v="FNB"/>
    <s v="39800004193 FNB Commercial Core Transaction Services"/>
    <s v="Project Management Office Portfolio Manager"/>
    <s v="16 - 20 Years"/>
    <s v="Programme and Project Management"/>
    <s v="4965302"/>
    <x v="458"/>
    <s v="Full Time Employee"/>
    <s v="Indian (South Africa)"/>
    <s v="Female"/>
    <s v="40 - 49"/>
    <s v="CDO Banking (Vincent Govender)"/>
    <s v="South Africa"/>
    <s v="FNB"/>
    <s v="79000007752 CDO Banking IDS"/>
    <s v="IT Business Analyst"/>
    <s v="6 - 10 Years"/>
    <s v="Business/Systems Analysis"/>
    <s v="Create Mentorship Event for Sushma Gundala with Melanie Sacks"/>
    <d v="2025-06-04T00:00:00"/>
    <d v="2026-01-07T00:00:00"/>
    <m/>
  </r>
  <r>
    <s v="8020797"/>
    <x v="262"/>
    <s v="Career development_x000a_Guidance on education and professional growth_x000a_Building confidence and decision-making skills_x000a_Networking and Industry insight_x000a_Accountability and support"/>
    <s v="Career Mentor"/>
    <s v="Full Time Employee"/>
    <s v="Indian (South Africa)"/>
    <s v="Female"/>
    <s v="50 - 59"/>
    <s v="FRCC RRM FR Group Compliance (Rozanne Gany)"/>
    <s v="South Africa"/>
    <s v="FirstRand Corporate Centre"/>
    <s v="20200007959 FRCC RRM FR Group Compliance"/>
    <s v="Compliance Manager"/>
    <s v="6 - 10 Years"/>
    <s v="Compliance"/>
    <s v="3344886"/>
    <x v="459"/>
    <s v="Full Time Employee"/>
    <s v="African (South Africa)"/>
    <s v="Female"/>
    <s v="40 - 49"/>
    <s v="FNB Commercial Sales Gauteng North (Ash Naidoo)"/>
    <s v="South Africa"/>
    <s v="FNB"/>
    <s v="34200006523 FNB Commercial Sales Gauteng Sandton 10 to 60M A"/>
    <s v="Business Relationship Manager"/>
    <s v="16 - 20 Years"/>
    <s v="Client Relationship Management"/>
    <s v="Create Mentorship Event for Fikile Zwane with Thirumala Pillay"/>
    <d v="2025-04-16T00:00:00"/>
    <d v="2026-04-30T00:00:00"/>
    <m/>
  </r>
  <r>
    <s v="1935275"/>
    <x v="303"/>
    <s v="To get guidance from Fernando w.r.t Technical skills, Management Skills, Life Skills and career guidance ."/>
    <s v="Technical Mentor"/>
    <m/>
    <s v="White (South Africa)"/>
    <s v="Male"/>
    <s v="60 - 64"/>
    <s v="FNB R&amp;C Chief Information Office (La-Cell Mouton)"/>
    <s v="South Africa"/>
    <s v="FNB"/>
    <s v="79000005142 FNB Enablement OCIO Executive"/>
    <s v="Information Technology Head"/>
    <s v="&lt;1 Year"/>
    <s v="IT Development"/>
    <s v="5238161"/>
    <x v="460"/>
    <s v="Full Time Employee"/>
    <s v="African (South Africa)"/>
    <s v="Male"/>
    <s v="30 - 39"/>
    <s v="CDO Infrastructure and Security Services (Ntswaki Lecage)"/>
    <s v="South Africa"/>
    <s v="FNB"/>
    <s v="20700005355 CDO Infrastructure and Security Services Mainframe Storage"/>
    <s v="Software Architect"/>
    <s v="11 -15 Years"/>
    <s v="Architecture"/>
    <s v="Create Mentorship Event for Geveza Nhlapo with Fernando Moreira [C]"/>
    <d v="2025-05-01T00:00:00"/>
    <m/>
    <m/>
  </r>
  <r>
    <s v="5275032"/>
    <x v="205"/>
    <s v="To have self-confidence and more confident in myself and my work."/>
    <s v="Career Mentor"/>
    <s v="Full Time Employee"/>
    <s v="African (South Africa)"/>
    <s v="Female"/>
    <s v="50 - 59"/>
    <s v="RMBSA Client Group Operations (Helen Wood)"/>
    <s v="South Africa"/>
    <s v="RMB"/>
    <s v="77800000CXD RMBSA Client Experience Design"/>
    <s v="Client Experience Design Head"/>
    <s v="6 - 10 Years"/>
    <s v="Client Experience and Value Management"/>
    <s v="3366782"/>
    <x v="461"/>
    <s v="Full Time Employee"/>
    <s v="African (South Africa)"/>
    <s v="Female"/>
    <s v="40 - 49"/>
    <s v="RMBSA Central Operations Quality Assurance (Portia Orgill)"/>
    <s v="South Africa"/>
    <s v="RMB"/>
    <s v="77800000QLA RMBSA Quality Assurance"/>
    <s v="Quality Assurer"/>
    <s v="16 - 20 Years"/>
    <s v="Quality Assurance"/>
    <s v="Create Mentorship Event for Mantsho Msibi with Mumbi Odame"/>
    <d v="2024-11-04T00:00:00"/>
    <d v="2025-11-04T00:00:00"/>
    <m/>
  </r>
  <r>
    <s v="1935275"/>
    <x v="303"/>
    <s v="Help with relationship building and networking, learn how to navigate the system. Deal with diversity and inclusion challenges."/>
    <s v="Leadership Mentor"/>
    <m/>
    <s v="White (South Africa)"/>
    <s v="Male"/>
    <s v="60 - 64"/>
    <s v="FNB R&amp;C Chief Information Office (La-Cell Mouton)"/>
    <s v="South Africa"/>
    <s v="FNB"/>
    <s v="79000005142 FNB Enablement OCIO Executive"/>
    <s v="Information Technology Head"/>
    <s v="&lt;1 Year"/>
    <s v="IT Development"/>
    <s v="3903508"/>
    <x v="462"/>
    <s v="Full Time Employee"/>
    <s v="Indian (South Africa)"/>
    <s v="Female"/>
    <s v="40 - 49"/>
    <s v="CDO Infrastructure and Security Services (Ntswaki Lecage)"/>
    <s v="South Africa"/>
    <s v="FNB"/>
    <s v="20700005533 CDO Infrastructure and Security Services Mainframe"/>
    <s v="IT Technical Support Manager"/>
    <s v="11 -15 Years"/>
    <s v="IT Support"/>
    <s v="Create Mentorship Event for Fahmeeda Darsot with Fernando Moreira [C]"/>
    <d v="2025-04-04T00:00:00"/>
    <d v="2025-12-12T00:00:00"/>
    <m/>
  </r>
  <r>
    <s v="5323460"/>
    <x v="154"/>
    <s v="I want to learn to build models."/>
    <s v="Technical Mentor"/>
    <s v="Full Time Employee"/>
    <s v="African (South Africa)"/>
    <s v="Male"/>
    <s v="30 - 39"/>
    <s v="FNB Cash Investments (Cornel Du Toit)"/>
    <s v="South Africa"/>
    <s v="FNB"/>
    <s v="65100003691 FNB Cash Investments Pricing &amp; Analytics"/>
    <s v="Data Science Manager"/>
    <s v="6 - 10 Years"/>
    <s v="Analytics"/>
    <s v="5568935"/>
    <x v="463"/>
    <s v="Full Time Employee"/>
    <s v="African (South Africa)"/>
    <s v="Female"/>
    <s v="30 - 39"/>
    <s v="FNB Wealth and Investments (Nkgopoleng Senkoto)"/>
    <s v="South Africa"/>
    <s v="FNB"/>
    <s v="46800004262 FNB WI Data and Analytics"/>
    <s v="Data Scientist"/>
    <s v="3 - 5 Years"/>
    <s v="Analytics"/>
    <s v="Create Mentorship Event for Kabelo Sekgala with Itumeleng Kgoare"/>
    <d v="2025-05-19T00:00:00"/>
    <m/>
    <m/>
  </r>
  <r>
    <s v="3020312"/>
    <x v="98"/>
    <s v="I joined the bank about five months ago and am currently in the process of familiarising myself with the organisational structure and how things are done. As part of my growth, I’m also actively seeking career guidance and opportunities to develop my leadership skills._x000a_One area I’ve been finding particularly challenging is relationship-building and networking, and it’s something I’d really like to grow more confident in"/>
    <s v="Career Mentor"/>
    <s v="Full Time Employee"/>
    <s v="African (South Africa)"/>
    <s v="Female"/>
    <s v="40 - 49"/>
    <s v="FNB Commercial Chief Information Office (Ismail Sibda)"/>
    <s v="South Africa"/>
    <s v="FNB"/>
    <s v="34200007536 FNB Commercial CJP Exco"/>
    <s v="Business Unit Chief Information Officer"/>
    <s v="16 - 20 Years"/>
    <s v="System Design and Administration"/>
    <s v="8877271"/>
    <x v="464"/>
    <s v="Full Time Employee"/>
    <s v="African (South Africa)"/>
    <s v="Female"/>
    <s v="20 - 29"/>
    <s v="FNB Private Core Banking (Diahann Neves)"/>
    <s v="South Africa"/>
    <s v="FNB"/>
    <s v="41200007812 FNB Private Core Banking Transact Account and Facility"/>
    <s v="Customer Experience Specialist"/>
    <s v="1 Year"/>
    <s v="Client Experience and Value Management"/>
    <s v="Create Mentorship Event for Gugu Sogobile with Malebo Phahlamohlaka"/>
    <d v="2025-05-20T00:00:00"/>
    <m/>
    <m/>
  </r>
  <r>
    <s v="3004473"/>
    <x v="216"/>
    <s v="Career growth and progression into a risk role"/>
    <s v="Technical Mentor"/>
    <s v="Full Time Employee"/>
    <s v="Coloured (South Africa)"/>
    <s v="Male"/>
    <s v="40 - 49"/>
    <s v="FNB Retail COO (Sthokozile Zwezwe (Inherited))"/>
    <s v="South Africa"/>
    <s v="FNB"/>
    <s v="69000015126 FNB COO LRC"/>
    <s v="Risk Manager"/>
    <s v="16 - 20 Years"/>
    <s v="Operational Risk"/>
    <s v="4855612"/>
    <x v="465"/>
    <s v="Full Time Employee"/>
    <s v="African (South Africa)"/>
    <s v="Male"/>
    <s v="30 - 39"/>
    <s v="FNB Retail COO (Thalente Teresia Mushayi)"/>
    <s v="South Africa"/>
    <s v="FNB"/>
    <s v="69000002537 FNB Retail COO Fraud"/>
    <s v="Quality Assurer"/>
    <s v="6 - 10 Years"/>
    <s v="Quality Assurance"/>
    <s v="Create Mentorship Event for Rodney Mputla with Raymond Tyler"/>
    <d v="2025-04-01T00:00:00"/>
    <d v="2026-03-31T00:00:00"/>
    <m/>
  </r>
  <r>
    <s v="5020964"/>
    <x v="184"/>
    <m/>
    <s v="Leadership Mentor"/>
    <s v="Full Time Employee"/>
    <s v="White (South Africa)"/>
    <s v="Female"/>
    <s v="30 - 39"/>
    <s v="FNB Personal Core Banking (Christelle Pretorius)"/>
    <s v="South Africa"/>
    <s v="FNB"/>
    <s v="48100002235 FNB Personal Core Banking Personal VISA"/>
    <s v="Partnerships and Growth Head"/>
    <s v="6 - 10 Years"/>
    <s v="Business Development"/>
    <s v="4807200"/>
    <x v="466"/>
    <s v="Full Time Employee"/>
    <s v="Indian (South Africa)"/>
    <s v="Male"/>
    <s v="40 - 49"/>
    <s v="FNB Credit Card (Jason Viljoen)"/>
    <s v="South Africa"/>
    <s v="FNB"/>
    <s v="20300002954 FNB Card Enabler Digital Payments"/>
    <s v="Business Architect"/>
    <s v="11 -15 Years"/>
    <s v="Business/Systems Analysis"/>
    <s v="Create Mentorship Event for Muhammad Seedat with Ashley Saffy"/>
    <d v="2025-06-01T00:00:00"/>
    <d v="2026-01-31T00:00:00"/>
    <m/>
  </r>
  <r>
    <s v="4807200"/>
    <x v="311"/>
    <s v="Hi Muhammad,_x000a__x000a_I hope this message finds you well. My name is Nompumelelo Manzini, and I am currently working as a Systems Analyst in Retail Collections. I am passionate about advancing my career and aspire to become a Business Architect._x000a_I would greatly appreciate your guidance and mentorship to help me achieve this goal. Your expertise and experience in the field would be invaluable to me as I navigate this career path._x000a_Thank you for considering my request. I look forward to the opportunity to learn from you._x000a__x000a_http://www.linkedin.com/in/nompumelelo-manzini-6292b821_x000a__x000a_Best regards,_x000a_Nompumelelo"/>
    <s v="Career Mentor"/>
    <s v="Full Time Employee"/>
    <s v="Indian (South Africa)"/>
    <s v="Male"/>
    <s v="40 - 49"/>
    <s v="FNB Credit Card (Jason Viljoen)"/>
    <s v="South Africa"/>
    <s v="FNB"/>
    <s v="20300002954 FNB Card Enabler Digital Payments"/>
    <s v="Business Architect"/>
    <s v="11 -15 Years"/>
    <s v="Business/Systems Analysis"/>
    <s v="5496667"/>
    <x v="467"/>
    <s v="Full Time Employee"/>
    <s v="African (South Africa)"/>
    <s v="Female"/>
    <s v="50 - 59"/>
    <s v="FNB Core Banking Platform Collections IT (Bongani Msibi)"/>
    <s v="South Africa"/>
    <s v="FNB"/>
    <s v="59600005979 FNB Personal and Private IT Collections IT"/>
    <s v="Systems Analyst"/>
    <s v="3 - 5 Years"/>
    <s v="Business/Systems Analysis"/>
    <s v="Create Mentorship Event for Nompumelelo Manzini with Muhammad Seedat"/>
    <d v="2025-06-02T00:00:00"/>
    <d v="2025-08-30T00:00:00"/>
    <m/>
  </r>
  <r>
    <s v="5012457"/>
    <x v="312"/>
    <s v="To assist with transitioning into leadership and help with career development"/>
    <s v="Career Mentor"/>
    <s v="Full Time Employee"/>
    <s v="Indian (South Africa)"/>
    <s v="Female"/>
    <s v="30 - 39"/>
    <s v="FNB Private Banking &amp; Advisory (Kotane Lekota)"/>
    <s v="South Africa"/>
    <s v="FNB"/>
    <s v="34100003505 PB&amp;A Coverage Wealth"/>
    <s v="Sales and Service Manager"/>
    <s v="6 - 10 Years"/>
    <s v="Sales Management"/>
    <s v="5126827"/>
    <x v="468"/>
    <s v="Full Time Employee"/>
    <s v="Indian (South Africa)"/>
    <s v="Female"/>
    <s v="30 - 39"/>
    <s v="FNB Private Banking and Advisory (Keshir Gokul)"/>
    <s v="South Africa"/>
    <s v="FNB"/>
    <s v="34100003746 PB&amp;A Fairlands South Affluent"/>
    <s v="Sales and Service Manager"/>
    <s v="6 - 10 Years"/>
    <s v="Sales Management"/>
    <s v="Create Mentorship Event for Juhi Sewpersadh with Tejal Daya"/>
    <d v="2025-05-20T00:00:00"/>
    <d v="2026-06-30T00:00:00"/>
    <m/>
  </r>
  <r>
    <s v="2363895"/>
    <x v="313"/>
    <s v="Develop leadership skills_x000a_Better integration into a team/business unit_x000a_Relationship building and networking"/>
    <s v="Leadership Mentor"/>
    <s v="Full Time Employee"/>
    <s v="African (South Africa)"/>
    <s v="Female"/>
    <s v="50 - 59"/>
    <s v="FNB Commercial Sales Gauteng North (Thabang Mafora)"/>
    <s v="South Africa"/>
    <s v="FNB"/>
    <s v="34300006539 FNB Commercial Growth Tshwane South"/>
    <s v="Business Advisor"/>
    <s v="&gt;20 Years"/>
    <s v="Client Experience and Value Management"/>
    <s v="7540361"/>
    <x v="110"/>
    <s v="Full Time Employee"/>
    <s v="African (South Africa)"/>
    <s v="Male"/>
    <s v="40 - 49"/>
    <s v="FNB Points of Presence (Disebo Motsapi)"/>
    <s v="South Africa"/>
    <s v="FNB"/>
    <s v="771012600 FNB POP Branch Delivery Randfontein"/>
    <s v="Customer Experience Advisor"/>
    <s v="3 - 5 Years"/>
    <s v="Client Experience and Value Management"/>
    <s v="Create Mentorship Event for Brian Sithole with Mapule Mahlangu"/>
    <d v="2024-06-28T00:00:00"/>
    <m/>
    <m/>
  </r>
  <r>
    <s v="3878414"/>
    <x v="307"/>
    <s v="Hi Lorna_x000a__x000a_I currently work as a Partner Growth Manager in the FNB eBucks space. I'm considering changing roles at the moment and would appreciate some guidance in navigating this. Having a background in Psychology and having worked in the startup environment and at an agency before, I'm looking for something that is more orientated around people, communication and processes as opposed my role at the moment which is more orientated towards revenue growth, negotiation and analytics. Your profile seems really interesting especially your work around change management."/>
    <s v="Career Mentor"/>
    <s v="Full Time Employee"/>
    <s v="White (South Africa)"/>
    <s v="Female"/>
    <s v="40 - 49"/>
    <s v="FNB International SA (Trevor Kunda)"/>
    <s v="South Africa"/>
    <s v="FNB"/>
    <s v="83200005732 FNB International SA Human Resources"/>
    <s v="Segment Lead Org Development, Design and Transformation"/>
    <s v="11 -15 Years"/>
    <s v="Experience Architecting"/>
    <s v="5534313"/>
    <x v="469"/>
    <s v="Full Time Employee"/>
    <s v="White (South Africa)"/>
    <s v="Female"/>
    <s v="30 - 39"/>
    <s v="FNB eBucks Chief Executive Office (Tilene Narainan)"/>
    <s v="South Africa"/>
    <s v="FNB"/>
    <s v="25600005686 FNB eBucks Relationship Management Retailers"/>
    <s v="Partner Growth Manager"/>
    <s v="3 - 5 Years"/>
    <s v="Client Experience and Value Management"/>
    <s v="Create Mentorship Event for Caitlin Gow with Lorna Reid"/>
    <d v="2025-06-02T00:00:00"/>
    <d v="2025-08-01T00:00:00"/>
    <m/>
  </r>
  <r>
    <s v="4613430"/>
    <x v="193"/>
    <s v="I am a new technical manager. I need help with transitioning to my new role and also help with coaching and a soundboard."/>
    <s v="Leadership Mentor"/>
    <s v="Full Time Employee"/>
    <s v="Indian (South Africa)"/>
    <s v="Female"/>
    <s v="50 - 59"/>
    <s v="CDO Kernel Decisioning IT (Debashree Naidoo)"/>
    <s v="South Africa"/>
    <s v="FNB"/>
    <s v="79000005193 CDO Kernel Decisioning IT"/>
    <s v="Business Analyst Manager"/>
    <s v="&gt;20 Years"/>
    <s v="Process and Business Analysis"/>
    <s v="5304334"/>
    <x v="470"/>
    <s v="Full Time Employee"/>
    <s v="African (South Africa)"/>
    <s v="Female"/>
    <s v="40 - 49"/>
    <s v="CDO Kernel Workflow (Innocent Gumede)"/>
    <s v="South Africa"/>
    <s v="FNB"/>
    <s v="79000006375 CDO Kernel Workflow"/>
    <s v="Systems Analyst Team Leader"/>
    <s v="6 - 10 Years"/>
    <s v="Business/Systems Analysis"/>
    <s v="Create Mentorship Event for Yolanda Xaba with Shetal Bhoola"/>
    <d v="2025-05-13T00:00:00"/>
    <d v="2025-12-12T00:00:00"/>
    <m/>
  </r>
  <r>
    <s v="5448255"/>
    <x v="282"/>
    <m/>
    <s v="Technical Mentor"/>
    <s v="Full Time Employee"/>
    <s v="African (South Africa)"/>
    <s v="Male"/>
    <s v="30 - 39"/>
    <s v="FNB Integrated Advice (Ermi Du Plessis)"/>
    <s v="South Africa"/>
    <s v="FNB"/>
    <s v="85500004971 FNB Sustainability &amp; ESG Solutions"/>
    <s v="Data Scientist"/>
    <s v="1 Year"/>
    <s v="Analytics"/>
    <s v="5558883"/>
    <x v="471"/>
    <s v="Full Time Employee"/>
    <s v="African (South Africa)"/>
    <s v="Female"/>
    <s v="30 - 39"/>
    <s v="FNB Integrated Advice (Raeesa Makda)"/>
    <s v="South Africa"/>
    <s v="FNB"/>
    <s v="85500004896 FNB Private Integrated Advice"/>
    <s v="Data Administrator"/>
    <s v="3 - 5 Years"/>
    <s v="Data Governance and Information Management"/>
    <s v="Create Mentorship Event for Chuene Modikoa with Humbulani Colbert Nekhumbe"/>
    <d v="2025-06-02T00:00:00"/>
    <m/>
    <m/>
  </r>
  <r>
    <s v="5054729"/>
    <x v="299"/>
    <s v="SAS Technical Skills Coaching/Enhancement"/>
    <s v="Technical Mentor"/>
    <m/>
    <s v="African (South Africa)"/>
    <s v="Male"/>
    <s v="30 - 39"/>
    <m/>
    <s v="South Africa"/>
    <m/>
    <m/>
    <m/>
    <s v="3 - 5 Years"/>
    <m/>
    <s v="3664023"/>
    <x v="472"/>
    <s v="Full Time Employee"/>
    <s v="African (South Africa)"/>
    <s v="Female"/>
    <s v="40 - 49"/>
    <s v="FNB eBucks (Norma Tshoke)"/>
    <s v="South Africa"/>
    <s v="FNB"/>
    <s v="25600005663 FNB eBucks Business Decision Support"/>
    <s v="Data Analyst"/>
    <s v="6 - 10 Years"/>
    <s v="Data Management, Maintenance and Security"/>
    <s v="Create Mentorship Event for Keke Msiza with Linda Hlophe (Terminated)"/>
    <d v="2025-06-06T00:00:00"/>
    <d v="2026-06-06T00:00:00"/>
    <m/>
  </r>
  <r>
    <s v="5376963"/>
    <x v="314"/>
    <s v="Career development, technical skill growth and overall guidance."/>
    <s v="Career Mentor"/>
    <s v="Full Time Employee"/>
    <s v="Indian (South Africa)"/>
    <s v="Male"/>
    <s v="20 - 29"/>
    <s v="CDO Kernel iNterfaceX (Direshan Govender)"/>
    <s v="South Africa"/>
    <s v="FNB"/>
    <s v="21800001994 CDO Kernel iNterfaceX Tech App and Mobile Dev App"/>
    <s v="Java Developer"/>
    <s v="3 - 5 Years"/>
    <s v="IT Development"/>
    <s v="5605350"/>
    <x v="473"/>
    <s v="Full Time Employee"/>
    <s v="African (South Africa)"/>
    <s v="Male"/>
    <s v="20 - 29"/>
    <s v="CDO Kernel iNterfaceX (Direshan Govender)"/>
    <s v="South Africa"/>
    <s v="FNB"/>
    <s v="21800001994 CDO Kernel iNterfaceX Tech App and Mobile Dev App"/>
    <s v="Developer"/>
    <s v="3 - 5 Years"/>
    <s v="IT Development"/>
    <s v="Create Mentorship Event for Amokelane Baloyi with Mohammed Abdul Hamid"/>
    <d v="2025-06-12T00:00:00"/>
    <d v="2030-12-31T00:00:00"/>
    <m/>
  </r>
  <r>
    <s v="4776690"/>
    <x v="273"/>
    <s v="Someone once said, &quot;Poor people ought to take rich people out to dinner and listen.&quot; (Networking) Perhaps not rich in terms of net worth, rich can be a broad spectrum._x000a__x000a_That is what I would say is my purpose for this mentoring relationship. Having basically nonexistent professional education my best bet is hard work, continuous learning and charm."/>
    <s v="Career Mentor"/>
    <s v="Full Time Employee"/>
    <s v="White (South Africa)"/>
    <s v="Female"/>
    <s v="40 - 49"/>
    <s v="CDO Infrastructure and Security Services (Eugene Pretorius)"/>
    <s v="South Africa"/>
    <s v="FNB"/>
    <s v="20700005429 CDO Infrastructure and Security Services CRM"/>
    <s v="Business Unit Chief Information Officer"/>
    <s v="11 -15 Years"/>
    <s v="System Design and Administration"/>
    <s v="5228824"/>
    <x v="474"/>
    <s v="Full Time Employee"/>
    <s v="African (South Africa)"/>
    <s v="Male"/>
    <s v="30 - 39"/>
    <s v="FNB Points of Presence (Themba Gova)"/>
    <s v="South Africa"/>
    <s v="FNB"/>
    <s v="7710523500 FNB POP Security Operations"/>
    <s v="Administrator"/>
    <s v="6 - 10 Years"/>
    <s v="Administration"/>
    <s v="Create Mentorship Event for Siyabonga Gumede with Caryn Bell"/>
    <d v="2025-06-12T00:00:00"/>
    <m/>
    <m/>
  </r>
  <r>
    <s v="4698576"/>
    <x v="315"/>
    <s v="Career and Leadership mentorship"/>
    <s v="Leadership Mentor"/>
    <s v="Full Time Employee"/>
    <s v="White (South Africa)"/>
    <s v="Female"/>
    <s v="40 - 49"/>
    <s v="RMBSA IBD Technology Cluster 3 (Bhavesh Desaraj (Inherited))"/>
    <s v="South Africa"/>
    <s v="RMB"/>
    <s v="77800000BXC RMBSA TTS Technology Trade"/>
    <s v="IT Quality Test Manager"/>
    <s v="3 - 5 Years"/>
    <s v="IT Testing"/>
    <s v="4789571"/>
    <x v="475"/>
    <s v="Full Time Employee"/>
    <s v="African (South Africa)"/>
    <s v="Female"/>
    <s v="30 - 39"/>
    <s v="RMBSA IBD Technology Cluster 3 Testing Team (Heidi Coetzee)"/>
    <s v="South Africa"/>
    <s v="RMB"/>
    <s v="77800000BXC RMBSA TTS Technology Trade"/>
    <s v="Test Analyst"/>
    <s v="6 - 10 Years"/>
    <s v="IT Testing"/>
    <s v="Create Mentorship Event for Palesa Phosisi with Heidi Coetzee"/>
    <d v="2025-06-19T00:00:00"/>
    <m/>
    <m/>
  </r>
  <r>
    <s v="2746573"/>
    <x v="27"/>
    <s v="To gain strategic insight and leadership guidance in the area of cash investments and broader treasury functions, helping me connect my analytical foundation (through the CFA and graduate program) with real-world decision-making at an executive level. I hope to learn how to think beyond the numbers—to understand how senior leaders balance liquidity, yield, risk, and stakeholder priorities in a banking context. Ultimately, I aim to develop into a well-rounded investment professional who can contribute meaningfully to both product innovation and client strategy."/>
    <s v="Technical Mentor"/>
    <s v="Full Time Employee"/>
    <s v="Indian (South Africa)"/>
    <s v="Male"/>
    <s v="40 - 49"/>
    <s v="FNB Private Segment (Sizwe Nxedlana)"/>
    <s v="South Africa"/>
    <s v="FNB"/>
    <s v="85500008551 FNB Retail Exco"/>
    <s v="Chief Executive Officer Cash Investments Retail"/>
    <s v="16 - 20 Years"/>
    <s v="Operations"/>
    <s v="8878650"/>
    <x v="476"/>
    <s v="OBR With Fixed Pay"/>
    <s v="African (South Africa)"/>
    <s v="Male"/>
    <s v="20 - 29"/>
    <s v="FNB Private Banking &amp; Advisory (Amanda Meijer)"/>
    <s v="South Africa"/>
    <s v="FNB"/>
    <s v="34100005962 PB&amp;A Sandton Affluent"/>
    <s v="Private Clients Advisor"/>
    <s v="&lt;1 Year"/>
    <s v="Client Relationship Management"/>
    <s v="Create Mentorship Event for Blessing Mpafa with Himal Parbhoo"/>
    <d v="2025-07-01T00:00:00"/>
    <m/>
    <m/>
  </r>
  <r>
    <s v="3209105"/>
    <x v="123"/>
    <s v="I have been awarded learnership for Occupational Certificate: Organizational Risk Practitioner. Therefore, I require guidance and assistance for me to be able to achieve the required objectives and acquire knowledge in the field of Risk Management and to be able to grow into my aspired future role."/>
    <s v="Career Mentor"/>
    <s v="Full Time Employee"/>
    <s v="Indian (South Africa)"/>
    <s v="Female"/>
    <s v="40 - 49"/>
    <s v="FNB Chief Risk Office (Emma Mer)"/>
    <s v="South Africa"/>
    <s v="FNB"/>
    <s v="39400001871 FNB Chief Risk Office Executive"/>
    <s v="Chief Operating Officer"/>
    <s v="16 - 20 Years"/>
    <s v="Operations"/>
    <s v="3105857"/>
    <x v="477"/>
    <s v="Full Time Employee"/>
    <s v="African (South Africa)"/>
    <s v="Female"/>
    <s v="40 - 49"/>
    <s v="FNB Points of Presence (Tshwarelo Malele)"/>
    <s v="South Africa"/>
    <s v="FNB"/>
    <s v="7710110800 FNB POP Branch Delivery Kabokweni Plaza"/>
    <s v="Branch Administrator"/>
    <s v="16 - 20 Years"/>
    <s v="Administration"/>
    <s v="Create Mentorship Event for Nomvula Luphoko with Renusha Moodley"/>
    <d v="2025-07-01T00:00:00"/>
    <d v="2026-07-01T00:00:00"/>
    <m/>
  </r>
  <r>
    <s v="4975278"/>
    <x v="316"/>
    <s v="The reason i would like to have a mentor is because i would like to advance my career in the finance space since i myself am a bachelor of commerce in accounting and finance degree holder. I am very eager to learn from others and also to apply the knowledge i have acquired from the qualification i possess._x000a_Hope to hear from you soon."/>
    <s v="Career Mentor"/>
    <s v="Full Time Employee"/>
    <s v="African (South Africa)"/>
    <s v="Female"/>
    <s v="30 - 39"/>
    <s v="REMS Real Estate Management Services (Lodi Mothiba)"/>
    <s v="South Africa"/>
    <s v="FNB"/>
    <s v="22300006243 REMS Finance"/>
    <s v="Financial Manager"/>
    <s v="6 - 10 Years"/>
    <s v="Financial Management"/>
    <s v="8877032"/>
    <x v="392"/>
    <s v="Full Time Employee"/>
    <s v="African (South Africa)"/>
    <s v="Male"/>
    <s v="20 - 29"/>
    <s v="FNB Points of Presence (Tebogo Mahanke)"/>
    <s v="South Africa"/>
    <s v="FNB"/>
    <s v="7710109800 FNB POP Branch Delivery Sunninghill"/>
    <s v="Universal Advisor"/>
    <s v="1 Year"/>
    <s v="Client Experience and Value Management"/>
    <s v="Create Mentorship Event for Obakeng Mokalapa with Mashudu Matsila"/>
    <d v="2025-07-01T00:00:00"/>
    <m/>
    <m/>
  </r>
  <r>
    <s v="5235049"/>
    <x v="23"/>
    <s v="I recently completed my Postgraduate Diploma in Risk Management, and I would like to broaden my knowledge and skills in risk management. My goal is to go into the risk management field and with the help and guidance of a mentor I believe I will gain a lot of insight."/>
    <s v="Career Mentor"/>
    <s v="Full Time Employee"/>
    <s v="African (South Africa)"/>
    <s v="Female"/>
    <s v="30 - 39"/>
    <s v="FNB Personal Segment Advisory and Suites (Devesh Naidoo)"/>
    <s v="South Africa"/>
    <s v="FNB"/>
    <s v="97200005382 PSAS Stratco"/>
    <s v="Risk Head"/>
    <s v="6 - 10 Years"/>
    <s v="Operational Risk"/>
    <s v="5010349"/>
    <x v="478"/>
    <s v="Full Time Employee"/>
    <s v="African (South Africa)"/>
    <s v="Female"/>
    <s v="30 - 39"/>
    <s v="FNB Private Banking and Advisory (Amanda Nematswerane)"/>
    <s v="South Africa"/>
    <s v="FNB"/>
    <s v="34100008793 PB&amp;A MyFAIS Solutions"/>
    <s v="Quality Assurer"/>
    <s v="6 - 10 Years"/>
    <s v="Quality Assurance"/>
    <s v="Create Mentorship Event for Nondumiso Gumbi with Rialivhuwa Mudau"/>
    <d v="2025-06-02T00:00:00"/>
    <m/>
    <m/>
  </r>
  <r>
    <s v="8020797"/>
    <x v="262"/>
    <s v="Dear Tammy,_x000a__x000a_I hope this message finds you well._x000a__x000a_As previously discussed, I have a keen interest in pursuing a career in Compliance._x000a__x000a_I am reaching out to you because I admire your extensive experience and expertise in the field. I believe that your guidance would be invaluable as I navigate the early stages of my career. I am eager to learn from your insights and experiences, and I am committed to developing my skills in this area._x000a__x000a_Thank you for considering my request. I look forward to hearing from you._x000a__x000a_Warm regards,_x000a_Siyaan"/>
    <s v="Career Mentor"/>
    <s v="Full Time Employee"/>
    <s v="Indian (South Africa)"/>
    <s v="Female"/>
    <s v="50 - 59"/>
    <s v="FRCC RRM FR Group Compliance (Rozanne Gany)"/>
    <s v="South Africa"/>
    <s v="FirstRand Corporate Centre"/>
    <s v="20200007959 FRCC RRM FR Group Compliance"/>
    <s v="Compliance Manager"/>
    <s v="6 - 10 Years"/>
    <s v="Compliance"/>
    <s v="5001609"/>
    <x v="436"/>
    <s v="Full Time Employee"/>
    <s v="Coloured (South Africa)"/>
    <s v="Female"/>
    <s v="30 - 39"/>
    <s v="FNB Chief Risk Office Client Desirability Risk Management (Prabashnee Naidoo)"/>
    <s v="South Africa"/>
    <s v="FNB"/>
    <s v="39400005345 FNB Chief Risk Office Screening Services AML"/>
    <s v="Client Desirability Analyst"/>
    <s v="6 - 10 Years"/>
    <s v="Fraud Risk"/>
    <s v="Create Mentorship Event for Siyaan Davids with Thirumala Pillay"/>
    <d v="2025-07-07T00:00:00"/>
    <m/>
    <m/>
  </r>
  <r>
    <s v="5527171"/>
    <x v="317"/>
    <s v="Good Evening, my name is Kamogelo Moleya, I'm currently in the cash space and would like to move to the Digital Marketing space. I am currently studying Advanced Digital Marketing."/>
    <s v="Career Mentor"/>
    <m/>
    <s v="African (South Africa)"/>
    <s v="Male"/>
    <s v="30 - 39"/>
    <m/>
    <s v="South Africa"/>
    <m/>
    <m/>
    <m/>
    <s v="3 - 5 Years"/>
    <m/>
    <s v="5611172"/>
    <x v="479"/>
    <s v="Full Time Employee"/>
    <s v="African (South Africa)"/>
    <s v="Female"/>
    <s v="20 - 29"/>
    <s v="FNB Commercial Cash Operations Support (Thembisa Mcetywa)"/>
    <s v="South Africa"/>
    <s v="FNB"/>
    <s v="76100000967 FNB Commercial Cash Centre Pretoria"/>
    <s v="Teller"/>
    <s v="2 Years"/>
    <s v="Client Services Support and Delivery"/>
    <s v="Create Mentorship Event for Kamogelo Moleya with Thuba Mthembu (Terminated)"/>
    <d v="2025-07-17T00:00:00"/>
    <d v="2025-12-08T00:00:00"/>
    <m/>
  </r>
  <r>
    <s v="5478960"/>
    <x v="16"/>
    <s v="As a current Quality Assurance (QA) professional and a second year IT student. I am actively working toward a career transition into the broader field of Information Technology, with a specific interest in software development. I am passionate about developing and have already gained experience learning programming languages such as Python, Java, JavaScript._x000a__x000a_I had the opportunity to participate in the 2025 FNB App Academy, which deepened my interest in development and gave me practical exposure to building applications._x000a__x000a_To support my career transition and growth, I am seeking a mentor who can provide:_x000a_Career Guidance: Help me gain clarity on the best development paths within IT, understand industry expectations and advise on certifications and skills to focus on._x000a__x000a_Career Transition Management: Assist me in navigating the shift from QA to development, including leveraging my existing skills, building a strong development portfolio and gaining confidence in new responsibilities._x000a__x000a_Relationship Building and Networking: Guide me on how to build meaningful professional connections within the IT industry and connect with communities and opportunities that support my growth._x000a__x000a_Having a mentor experienced in software development would be invaluable as I work towards building a successful career in IT._x000a__x000a_I would have liked to attach my CV for your reference, but unfortunately, the attachment section does not provide an option to upload documents. If there's an alternative way I can share it with you such as via email or a shared link please let me know and I'd be happy to do so."/>
    <s v="Career Mentor"/>
    <s v="Full Time Employee"/>
    <s v="Coloured (South Africa)"/>
    <s v="Male"/>
    <s v="40 - 49"/>
    <s v="CDO Kernel Customer IT (Craig Coombs)"/>
    <s v="South Africa"/>
    <s v="FNB"/>
    <s v="79000005746 CDO Kernel CIS"/>
    <s v="Application Development Manager"/>
    <s v="3 - 5 Years"/>
    <s v="IT Development"/>
    <s v="5665582"/>
    <x v="480"/>
    <s v="Full Time Employee"/>
    <s v="African (South Africa)"/>
    <s v="Female"/>
    <s v="30 - 39"/>
    <s v="FirstRand Short Term Insurance (Charlotte Sikhakhane)"/>
    <s v="South Africa"/>
    <s v="FNB"/>
    <s v="79900010208 ST Operations"/>
    <s v="Quality Assurer"/>
    <s v="1 Year"/>
    <s v="Quality Assurance"/>
    <s v="Create Mentorship Event for Basetsana Sekaja with Henry Lesar"/>
    <d v="2025-07-14T00:00:00"/>
    <m/>
    <m/>
  </r>
  <r>
    <s v="3086178"/>
    <x v="318"/>
    <m/>
    <s v="Career Mentor"/>
    <s v="Full Time Employee"/>
    <s v="African (South Africa)"/>
    <s v="Male"/>
    <s v="40 - 49"/>
    <s v="FNB Public Relations Office (Sipho Silinda)"/>
    <s v="South Africa"/>
    <s v="FNB"/>
    <s v="84100005287 FNB Commercial Public Sector EXCO"/>
    <s v="Business Solutions Head"/>
    <s v="16 - 20 Years"/>
    <s v="Operations"/>
    <s v="5489814"/>
    <x v="481"/>
    <s v="Full Time Employee"/>
    <s v="African (South Africa)"/>
    <s v="Female"/>
    <s v="20 - 29"/>
    <s v="FNB Commercial Chief Risk Office (Dhaamin Pietersen)"/>
    <s v="South Africa"/>
    <s v="FNB"/>
    <s v="34400008616 FNB Commercial Chief Risk Office Fraud Risk"/>
    <s v="Fraud Analyst"/>
    <s v="1 Year"/>
    <s v="Fraud Risk"/>
    <s v="Create Mentorship Event for Mbali Ndhlovu with Goitsemodimo Melesi"/>
    <d v="2022-09-28T00:00:00"/>
    <m/>
    <m/>
  </r>
  <r>
    <s v="4994868"/>
    <x v="319"/>
    <m/>
    <s v="Career Mentor"/>
    <s v="Full Time Employee"/>
    <s v="Indian (South Africa)"/>
    <s v="Male"/>
    <s v="30 - 39"/>
    <s v="FNB Retail COO (Felicity Dlamini)"/>
    <s v="South Africa"/>
    <s v="FNB"/>
    <s v="69000006171 FNB Retail Enterprise Project Management Office"/>
    <s v="Senior Project Manager"/>
    <s v="6 - 10 Years"/>
    <s v="Programme and Project Management"/>
    <s v="5003229"/>
    <x v="482"/>
    <s v="Full Time Employee"/>
    <s v="Coloured (South Africa)"/>
    <s v="Female"/>
    <s v="20 - 29"/>
    <s v="FNB Connect and Service Provider (Elvira Moses)"/>
    <s v="South Africa"/>
    <s v="FNB"/>
    <s v="83100005572 FNB Connect Operations"/>
    <s v="Business Support Specialist"/>
    <s v="6 - 10 Years"/>
    <s v="Operations"/>
    <s v="Create Mentorship Event for Lezandre Adams with Kavilan Rajagopaul Pillay"/>
    <d v="2025-07-17T00:00:00"/>
    <m/>
    <m/>
  </r>
  <r>
    <s v="5184851"/>
    <x v="235"/>
    <s v="As an aspiring accounting and finance professional seeking to start a career in the global market space, I believe that having your guidance could sharpen my analytical skills, broaden my perspective on market behavior, and help me grow into a well-rounded professional"/>
    <s v="Career Mentor"/>
    <s v="Full Time Employee"/>
    <s v="White (South Africa)"/>
    <s v="Female"/>
    <s v="40 - 49"/>
    <s v="RMBSA Global Markets Technology (Thomas Evje)"/>
    <s v="South Africa"/>
    <s v="RMB"/>
    <s v="77800000BMU RMBSA Global Markets Technology Murex"/>
    <s v="Business Technology Head"/>
    <s v="6 - 10 Years"/>
    <s v="IT Development"/>
    <s v="8877593"/>
    <x v="483"/>
    <s v="Full Time Employee"/>
    <s v="N/A (Ghana)"/>
    <s v="Female"/>
    <s v="20 - 29"/>
    <s v="Ghana Corporate and Investment Banking (Stephen Mordey)"/>
    <s v="Ghana"/>
    <s v="FNB"/>
    <s v="55400006504 Ghana Custody"/>
    <s v="Corporate Actions Specialist"/>
    <s v="&lt;1 Year"/>
    <s v="Operations"/>
    <s v="Create Mentorship Event for Georgette Akua Baah-Danquah with Annanda Basson"/>
    <d v="2025-07-18T00:00:00"/>
    <d v="2025-08-15T00:00:00"/>
    <m/>
  </r>
  <r>
    <s v="4698576"/>
    <x v="315"/>
    <s v="For Job development and analysis improvement"/>
    <s v="Career Mentor"/>
    <s v="Full Time Employee"/>
    <s v="White (South Africa)"/>
    <s v="Female"/>
    <s v="40 - 49"/>
    <s v="RMBSA IBD Technology Cluster 3 (Bhavesh Desaraj (Inherited))"/>
    <s v="South Africa"/>
    <s v="RMB"/>
    <s v="77800000BXC RMBSA TTS Technology Trade"/>
    <s v="IT Quality Test Manager"/>
    <s v="3 - 5 Years"/>
    <s v="IT Testing"/>
    <s v="3516547"/>
    <x v="484"/>
    <s v="Full Time Employee"/>
    <s v="White (South Africa)"/>
    <s v="Female"/>
    <s v="40 - 49"/>
    <s v="CDO Banking (Anette Du Plessis (Inherited))"/>
    <s v="South Africa"/>
    <s v="FNB"/>
    <s v="59600003267 FNB Personal and Private IT CRSA Development"/>
    <s v="Test Analyst"/>
    <s v="11 -15 Years"/>
    <s v="Business/Systems Analysis"/>
    <s v="Create Mentorship Event for Tanya Zackey with Heidi Coetzee"/>
    <d v="2025-08-01T00:00:00"/>
    <m/>
    <m/>
  </r>
  <r>
    <s v="4943384"/>
    <x v="320"/>
    <s v="To guide me by sharing knowledge, best practices, and problem-solving strategies. To also help foster growth, confidence, and technical excellence within the team."/>
    <s v="Technical Mentor"/>
    <s v="Full Time Employee"/>
    <s v="White (South Africa)"/>
    <s v="Male"/>
    <s v="30 - 39"/>
    <s v="CDO Kernel ECM (Lucas Molea)"/>
    <s v="South Africa"/>
    <s v="FNB"/>
    <s v="79000004946 CDO Kernel ECM"/>
    <s v="Technical Team Leader"/>
    <s v="6 - 10 Years"/>
    <s v="IT Development"/>
    <s v="8877067"/>
    <x v="485"/>
    <s v="Fixed Term Contractor"/>
    <s v="African (South Africa)"/>
    <s v="Male"/>
    <s v="20 - 29"/>
    <s v="CDO Kernel ECM (Kaone Leshomo)"/>
    <s v="South Africa"/>
    <s v="FirstRand Corporate Centre"/>
    <s v="78200000INE FRCC INE - India Expenses"/>
    <s v="Learnership"/>
    <s v="1 Year"/>
    <s v="Specialised Development Programs (Graduate/ Trainee)"/>
    <s v="Close Mentorship Event for Xolani Dennis Zwane with Kevin Smith_x000a__x000a_Create Mentorship Event for Xolani Dennis Zwane with Kevin Smith_x000a__x000a_Edit Mentorship Event for Xolani Dennis Zwane with Kevin Smith"/>
    <d v="2025-07-07T00:00:00"/>
    <d v="2025-10-10T00:00:00"/>
    <s v="Mentoring Needs Fulfilled"/>
  </r>
  <r>
    <s v="4943384"/>
    <x v="320"/>
    <m/>
    <s v="Technical Mentor"/>
    <s v="Full Time Employee"/>
    <s v="White (South Africa)"/>
    <s v="Male"/>
    <s v="30 - 39"/>
    <s v="CDO Kernel ECM (Lucas Molea)"/>
    <s v="South Africa"/>
    <s v="FNB"/>
    <s v="79000004946 CDO Kernel ECM"/>
    <s v="Technical Team Leader"/>
    <s v="6 - 10 Years"/>
    <s v="IT Development"/>
    <s v="5385741"/>
    <x v="486"/>
    <s v="Full Time Employee"/>
    <s v="White (South Africa)"/>
    <s v="Male"/>
    <s v="20 - 29"/>
    <s v="CDO Kernel ECM (Kaone Leshomo)"/>
    <s v="South Africa"/>
    <s v="FNB"/>
    <s v="79000004946 CDO Kernel ECM"/>
    <s v="Developer"/>
    <s v="3 - 5 Years"/>
    <s v="IT Development"/>
    <s v="Close Mentorship Event for Matthew West with Kevin Smith_x000a__x000a_Create Mentorship Event for Matthew West with Kevin Smith"/>
    <d v="2025-07-01T00:00:00"/>
    <d v="2025-07-01T00:00:00"/>
    <s v="Mentee Withdrawal - Availability"/>
  </r>
  <r>
    <s v="4994868"/>
    <x v="319"/>
    <s v="Dear Kavilan,_x000a__x000a_I trust you are well. My journey in the volunteer space since 2016 has been partnering with schools specifically Tembisa High School to assist with their challenges, I provide solutions and implementation of these solutions. There are times where the derived goals were a Program or a Project. During my volunteer journey, I have been supported by many Executives within the FirstRand group. Whilst I am truly grateful for the support that I received, I would like to gain the technical support and expertise to assist me further and I believe that with your guidance, this can be achieved._x000a__x000a_Kind regards,_x000a_Logeshnie"/>
    <s v="Technical Mentor"/>
    <s v="Full Time Employee"/>
    <s v="Indian (South Africa)"/>
    <s v="Male"/>
    <s v="30 - 39"/>
    <s v="FNB Retail COO (Felicity Dlamini)"/>
    <s v="South Africa"/>
    <s v="FNB"/>
    <s v="69000006171 FNB Retail Enterprise Project Management Office"/>
    <s v="Senior Project Manager"/>
    <s v="6 - 10 Years"/>
    <s v="Programme and Project Management"/>
    <s v="4611004"/>
    <x v="487"/>
    <s v="OBR With Fixed Pay"/>
    <s v="Indian (South Africa)"/>
    <s v="Female"/>
    <s v="40 - 49"/>
    <s v="FNB Private Banking &amp; Advisory (Wendy Mcfadden)"/>
    <s v="South Africa"/>
    <s v="FNB"/>
    <s v="34100003202 PB&amp;A Sandton Wealth"/>
    <s v="Private Wealth Advisor"/>
    <s v="6 - 10 Years"/>
    <s v="Client Relationship Management"/>
    <s v="Create Mentorship Event for Lu Pillay with Kavilan Rajagopaul Pillay"/>
    <d v="2025-08-01T00:00:00"/>
    <m/>
    <m/>
  </r>
  <r>
    <s v="5597900"/>
    <x v="321"/>
    <s v="Getting guidance about what system analyst does as a career_x000a_This for me to understand the functional requirements, technical requirement and business requirement_x000a_getting more knowledge about the business system operations."/>
    <s v="Career Mentor"/>
    <s v="Full Time Employee"/>
    <s v="African (South Africa)"/>
    <s v="Male"/>
    <s v="30 - 39"/>
    <s v="FNB Core Banking Platform (Johan Van Rooyen)"/>
    <s v="South Africa"/>
    <s v="FNB"/>
    <s v="59600005979 FNB Personal and Private IT Collections IT"/>
    <s v="Systems Analyst"/>
    <s v="3 - 5 Years"/>
    <s v="Business/Systems Analysis"/>
    <s v="5281725"/>
    <x v="488"/>
    <s v="Full Time Employee"/>
    <s v="African (South Africa)"/>
    <s v="Female"/>
    <s v="30 - 39"/>
    <s v="FNB Loans (Madelein Greyvensteyn)"/>
    <s v="South Africa"/>
    <s v="FNB"/>
    <s v="79100003305 FNB Consumer Loans Internal Collections"/>
    <s v="Collections Advisor"/>
    <s v="6 - 10 Years"/>
    <s v="Collections and Recoveries"/>
    <s v="Create Mentorship Event for Nonhlanhla Mahlaba with Aobakwe Kgobokoe"/>
    <d v="2025-06-02T00:00:00"/>
    <d v="2025-10-10T00:00:00"/>
    <m/>
  </r>
  <r>
    <s v="0186767"/>
    <x v="294"/>
    <s v="Dear Mr. Litton,_x000a__x000a_I hope this message finds you well. My name is Keamogetse Roberts, and I am an admitted attorney working as a Quality Assurer under Short Term Insurance. While I am grateful for the opportunity to contribute to the bank in this role, I am eager to grow and expand my career within the organization, leveraging both my legal background and my passion for the financial industry._x000a__x000a_However, I must admit I feel a bit uncertain about the best path forward. Having practiced law briefly during my articles before transitioning to FNB, I'm still exploring how to align my qualifications with opportunities available in the banking sector. Currently, I am in the process of writing the RE5 examination and considering pursuing RE1, hoping these certifications will open new possibilities._x000a__x000a_This is where I believe your guidance could make a profound difference. Your experience and insights in the industry would be invaluable as I navigate questions like:_x000a_How can I best leverage my legal training within FNB's ecosystem?_x000a_What skills or certifications (beyond RE1 and RE5) should I prioritize to advance in compliance, risk, or another relevant area?_x000a_Are there specific roles or projects you'd recommend I explore to bridge my legal experience with banking operations?_x000a_I would greatly appreciate the opportunity to learn from your journey and advice. Your mentorship could help me gain clarity, confidence and a strategic direction as I work toward contributing more meaningfully to the bank and my own professional growth._x000a__x000a_Thank you for considering my request. I am happy to accommodate your schedule and would be thrilled to connect at your convenience. I am unable to attach my CV, the system is currently not giving me the option to attach any documents. I would also like to inform you that Talent Conncet have scheduled a meeting with me on Friday to assist me in reviewing both my talent card and CV._x000a__x000a_Please let me know if there is any additional information I can provide._x000a__x000a_Warm regards,_x000a_Keamogetse Roberts"/>
    <s v="Career Mentor"/>
    <s v="Full Time Employee"/>
    <s v="White (South Africa)"/>
    <s v="Male"/>
    <s v="50 - 59"/>
    <s v="FNB Credit Card Legal Risk and Compliance (Robert Cawse)"/>
    <s v="South Africa"/>
    <s v="FNB"/>
    <s v="39400001973 FNB Chief Risk Office Retail and Commercial Compliance"/>
    <s v="Compliance Practice Lead"/>
    <s v="&gt;20 Years"/>
    <s v="Compliance"/>
    <s v="5407699"/>
    <x v="489"/>
    <s v="Full Time Employee"/>
    <s v="African (South Africa)"/>
    <s v="Female"/>
    <s v="30 - 39"/>
    <s v="FirstRand Short Term Insurance (Charlotte Sikhakhane)"/>
    <s v="South Africa"/>
    <s v="FNB"/>
    <s v="79900010208 ST Operations"/>
    <s v="Quality Assurer"/>
    <s v="3 - 5 Years"/>
    <s v="Quality Assurance"/>
    <s v="Create Mentorship Event for Keamogetse Roberts with Nicholas Litton"/>
    <d v="2025-07-14T00:00:00"/>
    <m/>
    <m/>
  </r>
  <r>
    <s v="5150175"/>
    <x v="102"/>
    <s v="Upskilling into Architecture"/>
    <s v="Career Mentor"/>
    <s v="Full Time Employee"/>
    <s v="White (South Africa)"/>
    <s v="Male"/>
    <s v="40 - 49"/>
    <s v="FRG Data and Analytics Office (Lian Van Oudheusden)"/>
    <s v="South Africa"/>
    <s v="FNB"/>
    <s v="39400010972 FNB Chief Risk Office Credit Risk and Reporting"/>
    <s v="Information Architecture Head"/>
    <s v="16 - 20 Years"/>
    <s v="Architecture"/>
    <s v="5247357"/>
    <x v="490"/>
    <s v="Full Time Employee"/>
    <s v="Coloured (South Africa)"/>
    <s v="Male"/>
    <s v="30 - 39"/>
    <s v="FNB Dynamic Decisioning (Zunaid Le Roux)"/>
    <s v="South Africa"/>
    <s v="FNB"/>
    <s v="23900008011 FNB D2 Data Management"/>
    <s v="Information Management Specialist"/>
    <s v="11 -15 Years"/>
    <s v="Data Governance and Information Management"/>
    <s v="Create Mentorship Event for Tariq Ismail with Andre Olivier"/>
    <d v="2025-08-01T00:00:00"/>
    <m/>
    <m/>
  </r>
  <r>
    <s v="8020797"/>
    <x v="262"/>
    <s v="Having successfully completed the Essentials to Compliance course through UCT GetSmarter, I am eager to deepen my practical understanding of compliance frameworks and regulatory environments through structured mentoring. While the course provided a solid theoretical foundation in key areas such as governance, risk management, regulatory compliance, and ethics, I recognize that real-world application is essential to becoming an effective compliance professional. Mentorship can help shape my career path by identifying areas of specialization, building professional networks, and preparing for certification or advancement opportunities in the compliance field ."/>
    <s v="Career Mentor"/>
    <s v="Full Time Employee"/>
    <s v="Indian (South Africa)"/>
    <s v="Female"/>
    <s v="50 - 59"/>
    <s v="FRCC RRM FR Group Compliance (Rozanne Gany)"/>
    <s v="South Africa"/>
    <s v="FirstRand Corporate Centre"/>
    <s v="20200007959 FRCC RRM FR Group Compliance"/>
    <s v="Compliance Manager"/>
    <s v="6 - 10 Years"/>
    <s v="Compliance"/>
    <s v="5566886"/>
    <x v="491"/>
    <s v="OBR With Fixed Pay"/>
    <s v="Indian (South Africa)"/>
    <s v="Female"/>
    <s v="40 - 49"/>
    <s v="FNB Private Banking &amp; Advisory (Janet Dadswell)"/>
    <s v="South Africa"/>
    <s v="FNB"/>
    <s v="34100007662 PB&amp;A Midrand Wealth"/>
    <s v="Banking Advisor Wealth"/>
    <s v="3 - 5 Years"/>
    <s v="Client Relationship Management"/>
    <s v="Create Mentorship Event for Roslyn Govender with Thirumala Pillay"/>
    <d v="2025-08-01T00:00:00"/>
    <d v="2026-02-28T00:00:00"/>
    <m/>
  </r>
  <r>
    <s v="8020797"/>
    <x v="262"/>
    <s v="Workplace agreement for the Occupational Compliance certification course."/>
    <s v="Career Mentor"/>
    <s v="Full Time Employee"/>
    <s v="Indian (South Africa)"/>
    <s v="Female"/>
    <s v="50 - 59"/>
    <s v="FRCC RRM FR Group Compliance (Rozanne Gany)"/>
    <s v="South Africa"/>
    <s v="FirstRand Corporate Centre"/>
    <s v="20200007959 FRCC RRM FR Group Compliance"/>
    <s v="Compliance Manager"/>
    <s v="6 - 10 Years"/>
    <s v="Compliance"/>
    <s v="3537897"/>
    <x v="492"/>
    <s v="Full Time Employee"/>
    <s v="Coloured (South Africa)"/>
    <s v="Female"/>
    <s v="30 - 39"/>
    <s v="FNB Cash Investments (Shaista Sarally)"/>
    <s v="South Africa"/>
    <s v="FNB"/>
    <s v="65100008535 FNB Cash Investments LRC"/>
    <s v="Complaints Manager"/>
    <s v="11 -15 Years"/>
    <s v="Client Experience and Value Management"/>
    <s v="Create Mentorship Event for Shane Damons with Thirumala Pillay"/>
    <d v="2025-07-16T00:00:00"/>
    <d v="2026-07-31T00:00:00"/>
    <m/>
  </r>
  <r>
    <s v="2216191"/>
    <x v="322"/>
    <s v="With a qualification in Communications Management and no prior work experience in the field, this mentorship offers a valuable opportunity to gain industry-specific exposure and strengthen my expertise in marketing and communications within the banking sector"/>
    <s v="Career Mentor"/>
    <s v="Full Time Employee"/>
    <s v="White (South Africa)"/>
    <s v="Female"/>
    <s v="50 - 59"/>
    <s v="FNB Commercial Forex Commercial (Richard Porter (Inherited))"/>
    <s v="South Africa"/>
    <s v="FNB"/>
    <s v="81800008578 FNB Commercial Forex Commercial"/>
    <s v="Solutions Lead"/>
    <s v="1 Year"/>
    <s v="Operations"/>
    <s v="5306469"/>
    <x v="493"/>
    <s v="Full Time Employee"/>
    <s v="African (South Africa)"/>
    <s v="Female"/>
    <s v="20 - 29"/>
    <s v="FNB Commercial Forex Fulfilment (Mosa Dhlamini)"/>
    <s v="South Africa"/>
    <s v="FNB"/>
    <s v="81800008163 FNB Commercial Forex Drafts"/>
    <s v="Client Service Consultant"/>
    <s v="3 - 5 Years"/>
    <s v="Client Experience and Value Management"/>
    <s v="Create Mentorship Event for Ofentse Pitso with Liesel Claase"/>
    <d v="2025-01-27T00:00:00"/>
    <m/>
    <m/>
  </r>
  <r>
    <s v="4960351"/>
    <x v="101"/>
    <s v="I need guidance, support and help to develop legal skills and obtain advice on career growth and new opportunities."/>
    <s v="Career Mentor"/>
    <s v="Full Time Employee"/>
    <s v="Indian (South Africa)"/>
    <s v="Female"/>
    <s v="40 - 49"/>
    <s v="FirstRand Legal (Virgil McLellan)"/>
    <s v="South Africa"/>
    <s v="FNB"/>
    <s v="39400001347 FirstRand Legal Litigation"/>
    <s v="Segment Litigation Head"/>
    <s v="6 - 10 Years"/>
    <s v="Legal"/>
    <s v="5586496"/>
    <x v="494"/>
    <s v="OBR With Fixed Pay"/>
    <s v="African (South Africa)"/>
    <s v="Male"/>
    <s v="30 - 39"/>
    <s v="FirstRand Short Term Insurance (Tshifhiwa Moseta)"/>
    <s v="South Africa"/>
    <s v="FNB"/>
    <s v="79900010214 ST PLOC Claims"/>
    <s v="Legal Advisor Law on Call"/>
    <s v="3 - 5 Years"/>
    <s v="Legal"/>
    <s v="Create Mentorship Event for Caledon Hluyako with Yasmin Kadwa"/>
    <d v="2025-07-17T00:00:00"/>
    <d v="2025-11-06T00:00:00"/>
    <m/>
  </r>
  <r>
    <s v="5159903"/>
    <x v="200"/>
    <m/>
    <s v="Career Mentor"/>
    <s v="Full Time Employee"/>
    <s v="African (South Africa)"/>
    <s v="Female"/>
    <s v="30 - 39"/>
    <s v="RMBSA TTS Client Groups (Tamara D'Onofrio)"/>
    <s v="South Africa"/>
    <s v="RMB"/>
    <s v="77800000SON RMBSA TTS Client Group Sales Enablement"/>
    <s v="Sales Enablement Head"/>
    <s v="6 - 10 Years"/>
    <s v="Sales Management"/>
    <s v="4674200"/>
    <x v="495"/>
    <s v="Full Time Employee"/>
    <s v="African (South Africa)"/>
    <s v="Female"/>
    <s v="30 - 39"/>
    <s v="HYPHEN (Cathy Davis)"/>
    <s v="South Africa"/>
    <s v="RMB"/>
    <s v="23300002342 FR Hyphen Payments Distribution Operations"/>
    <s v="PDA Client Service Solutions Specialist"/>
    <s v="11 -15 Years"/>
    <s v="Operations"/>
    <s v="Create Mentorship Event for Viera Macheve with Alcinda Moezelaar"/>
    <d v="2025-07-25T00:00:00"/>
    <d v="2025-12-31T00:00:00"/>
    <m/>
  </r>
  <r>
    <s v="4655249"/>
    <x v="323"/>
    <s v="Leadership, IT Development, Strategy"/>
    <s v="Leadership Mentor"/>
    <s v="Full Time Employee"/>
    <s v="White (South Africa)"/>
    <s v="Female"/>
    <s v="40 - 49"/>
    <s v="Crypto and Decentral Ledger Tech (Rikki Barnes)"/>
    <s v="South Africa"/>
    <s v="FirstRand Corporate Centre"/>
    <s v="20200002408 FRCC Crypto and Decentral Ledger Tech"/>
    <s v="Applications Development Head"/>
    <s v="6 - 10 Years"/>
    <s v="IT Development"/>
    <s v="5508088"/>
    <x v="496"/>
    <s v="Full Time Employee"/>
    <s v="African (South Africa)"/>
    <s v="Male"/>
    <s v="30 - 39"/>
    <s v="FNB Points of Presence (Thato Rampyeshe)"/>
    <s v="South Africa"/>
    <s v="FNB"/>
    <s v="7710616700 FNB POP IT Application Development Branch"/>
    <s v="Java Developer"/>
    <s v="3 - 5 Years"/>
    <s v="IT Development"/>
    <s v="Create Mentorship Event for Nkosinathi Ngwenya with Candice Mesk"/>
    <d v="2025-07-28T00:00:00"/>
    <d v="2026-12-31T00:00:00"/>
    <m/>
  </r>
  <r>
    <s v="5448255"/>
    <x v="282"/>
    <s v="Assisting me with developing my technical skills and understanding end to end processes"/>
    <s v="Technical Mentor"/>
    <s v="Full Time Employee"/>
    <s v="African (South Africa)"/>
    <s v="Male"/>
    <s v="30 - 39"/>
    <s v="FNB Integrated Advice (Ermi Du Plessis)"/>
    <s v="South Africa"/>
    <s v="FNB"/>
    <s v="85500004971 FNB Sustainability &amp; ESG Solutions"/>
    <s v="Data Scientist"/>
    <s v="1 Year"/>
    <s v="Analytics"/>
    <s v="5603730"/>
    <x v="497"/>
    <m/>
    <s v="African (South Africa)"/>
    <s v="Female"/>
    <s v="20 - 29"/>
    <m/>
    <s v="South Africa"/>
    <m/>
    <m/>
    <m/>
    <s v="2 Years"/>
    <m/>
    <s v="Create Mentorship Event for Mbali Mdluli (Terminated) with Humbulani Colbert Nekhumbe"/>
    <d v="2025-07-28T00:00:00"/>
    <d v="2025-12-15T00:00:00"/>
    <m/>
  </r>
  <r>
    <s v="5448255"/>
    <x v="282"/>
    <s v="guidance with python coding"/>
    <s v="Career Mentor"/>
    <s v="Full Time Employee"/>
    <s v="African (South Africa)"/>
    <s v="Male"/>
    <s v="30 - 39"/>
    <s v="FNB Integrated Advice (Ermi Du Plessis)"/>
    <s v="South Africa"/>
    <s v="FNB"/>
    <s v="85500004971 FNB Sustainability &amp; ESG Solutions"/>
    <s v="Data Scientist"/>
    <s v="1 Year"/>
    <s v="Analytics"/>
    <s v="5604850"/>
    <x v="498"/>
    <s v="Full Time Employee"/>
    <s v="African (South Africa)"/>
    <s v="Male"/>
    <s v="20 - 29"/>
    <s v="FNB Commercial Analytics Insights Data (Sadhana Karsan)"/>
    <s v="South Africa"/>
    <s v="FNB"/>
    <s v="34300008855 FNB Commercial Data Science and Engineering"/>
    <s v="Data Scientist"/>
    <s v="3 - 5 Years"/>
    <s v="Analytics"/>
    <s v="Create Mentorship Event for Ndila Nkhumeleni with Humbulani Colbert Nekhumbe"/>
    <d v="2025-07-28T00:00:00"/>
    <d v="2027-09-30T00:00:00"/>
    <m/>
  </r>
  <r>
    <s v="4613430"/>
    <x v="193"/>
    <s v="Career guidance_x000a__x000a_Manage a career transition"/>
    <s v="Transition Mentor"/>
    <s v="Full Time Employee"/>
    <s v="Indian (South Africa)"/>
    <s v="Female"/>
    <s v="50 - 59"/>
    <s v="CDO Kernel Decisioning IT (Debashree Naidoo)"/>
    <s v="South Africa"/>
    <s v="FNB"/>
    <s v="79000005193 CDO Kernel Decisioning IT"/>
    <s v="Business Analyst Manager"/>
    <s v="&gt;20 Years"/>
    <s v="Process and Business Analysis"/>
    <s v="5309697"/>
    <x v="20"/>
    <s v="Full Time Employee"/>
    <s v="African (South Africa)"/>
    <s v="Male"/>
    <s v="30 - 39"/>
    <s v="FNB Private Banking and Advisory (Kurt Schurbohm)"/>
    <s v="South Africa"/>
    <s v="FNB"/>
    <s v="34100007232 PB&amp;A Service Suite Advisor Engagement"/>
    <s v="Private Service Advisor"/>
    <s v="6 - 10 Years"/>
    <s v="Client Relationship Management"/>
    <s v="Create Mentorship Event for Sifisosakhe Dube with Shetal Bhoola"/>
    <d v="2025-08-19T00:00:00"/>
    <d v="2025-12-31T00:00:00"/>
    <m/>
  </r>
  <r>
    <s v="5266106"/>
    <x v="12"/>
    <s v="I would like support for my career journey by having someone to mentor me"/>
    <s v="Career Mentor"/>
    <s v="Full Time Employee"/>
    <s v="Coloured (South Africa)"/>
    <s v="Female"/>
    <s v="50 - 59"/>
    <s v="FNB Personal Human Capital (Shalini John)"/>
    <s v="South Africa"/>
    <s v="FNB"/>
    <s v="84900003961 FNB ConnectMe EXCO"/>
    <s v="Human Capital Manager"/>
    <s v="6 - 10 Years"/>
    <s v="Business Human Capital"/>
    <s v="4919270"/>
    <x v="499"/>
    <s v="Full Time Employee"/>
    <s v="African (South Africa)"/>
    <s v="Female"/>
    <s v="30 - 39"/>
    <s v="DirectAxis (Carmen Rodrigues)"/>
    <s v="South Africa"/>
    <s v="FNB"/>
    <s v="99700015118 DA Business Optimisation"/>
    <s v="Resource Planner"/>
    <s v="11 -15 Years"/>
    <s v="Operations"/>
    <s v="Create Mentorship Event for Yanga Babana with Alison Felix-Lodewyk"/>
    <d v="2025-07-31T00:00:00"/>
    <d v="2026-07-31T00:00:00"/>
    <m/>
  </r>
  <r>
    <s v="5159903"/>
    <x v="200"/>
    <s v="How to navigate the workplace and how to make the most of my internship experience"/>
    <s v="Career Mentor"/>
    <s v="Full Time Employee"/>
    <s v="African (South Africa)"/>
    <s v="Female"/>
    <s v="30 - 39"/>
    <s v="RMBSA TTS Client Groups (Tamara D'Onofrio)"/>
    <s v="South Africa"/>
    <s v="RMB"/>
    <s v="77800000SON RMBSA TTS Client Group Sales Enablement"/>
    <s v="Sales Enablement Head"/>
    <s v="6 - 10 Years"/>
    <s v="Sales Management"/>
    <s v="8881834"/>
    <x v="500"/>
    <s v="FirstJob 18.2 Internal"/>
    <s v="African (South Africa)"/>
    <s v="Female"/>
    <s v="20 - 29"/>
    <s v="RMBSA IBD Operations Transaction Management Unit (Reuven Singh)"/>
    <s v="South Africa"/>
    <s v="RMB"/>
    <s v="77800000RMJ RMBSA Central COO Leadership Team"/>
    <s v="FirstJob Graduate"/>
    <s v="&lt;1 Year"/>
    <s v="Specialised Development Programs (Graduate/ Trainee)"/>
    <s v="Create Mentorship Event for Lucia Mokwena with Alcinda Moezelaar"/>
    <d v="2025-09-01T00:00:00"/>
    <d v="2026-04-30T00:00:00"/>
    <m/>
  </r>
  <r>
    <s v="5266106"/>
    <x v="12"/>
    <s v="My name is Zintle Buyana and I have been an employee of Direct Axis (FRG) since July 2019 shortly after completing my Bachelor of Arts Degree in Industrial Psychology and Ethics. I pride myself in constantly improving status quo and have always been passionate about my future and career goal regardless of my circumstances._x000a_In the notion of improving myself, last year I decided to enroll for the Honours programme I have always wanted to be a part of. In 2019 I was not accepted for this programme and decided to join the world of work. After 5 years, I tried again and got accepted. I have not been able to complete any internships within the field after graduating as I had to find employment and take care of my family. However I have never let go of my dream of continuing with studies and hopefully pursuing a career as an Industrial Psychologist one day._x000a__x000a_I am currently doing my Honours in Industrial Psychologist and would like to get on the field experience within the I/O Psychology and/or Human Resources, Talent field. I will be doing research in Human Resources and Organisational &amp; Career Psychology this semester therefore this mentorship will be a great advantage. I am willing and opening to learning everything and anything to help me get a better understanding of the career path I aspire to go into._x000a__x000a_It would be a great honour and privilege to be given this opportunity of being a mentee as I have always dreamed of putting myself in positions that will open doors for me and to learn._x000a__x000a_I can be contact on all platforms including LinkedIn, which I will attach my profile's link below. My contact number is 060 650 0135 and email address is ZintleB@fnb.co.za _x000a__x000a_LinkedIn Profile: linkedin.com/in/zintle-zimkhitha-buyana-5382b01ba_x000a__x000a_Regards_x000a_Zintle"/>
    <s v="Career Mentor"/>
    <s v="Full Time Employee"/>
    <s v="Coloured (South Africa)"/>
    <s v="Female"/>
    <s v="50 - 59"/>
    <s v="FNB Personal Human Capital (Shalini John)"/>
    <s v="South Africa"/>
    <s v="FNB"/>
    <s v="84900003961 FNB ConnectMe EXCO"/>
    <s v="Human Capital Manager"/>
    <s v="6 - 10 Years"/>
    <s v="Business Human Capital"/>
    <s v="5293464"/>
    <x v="501"/>
    <s v="Full Time Employee"/>
    <s v="African (South Africa)"/>
    <s v="Female"/>
    <s v="20 - 29"/>
    <s v="FNB Retail COO (Mercia Brandt)"/>
    <s v="South Africa"/>
    <s v="FNB"/>
    <s v="69000007502 FNB Retail Service Recovery"/>
    <s v="Service Recovery Advisor"/>
    <s v="6 - 10 Years"/>
    <s v="Client Experience and Value Management"/>
    <s v="Create Mentorship Event for Zintle Buyana with Alison Felix-Lodewyk"/>
    <d v="2024-07-01T00:00:00"/>
    <d v="2024-11-30T00:00:00"/>
    <m/>
  </r>
  <r>
    <s v="4519620"/>
    <x v="324"/>
    <s v="The purpose of this mentorship is to gain practical guidance, insights and feedback from an experienced business analyst as yourself in order to strengthen my analytical skills, stakeholder management capabilities and problem-solving approach. I aim to learn industry best practices, refine my techniques in requirement gathering, documentation and develop the confidence to excel in complex projects. The goal is to grow into highly effective and impactful business analyst who delivers value to both stakeholders and orgainisation. In short to be a well-rounded business analyst and individual."/>
    <s v="Career Mentor"/>
    <s v="Full Time Employee"/>
    <s v="Indian (South Africa)"/>
    <s v="Female"/>
    <s v="40 - 49"/>
    <s v="RMBSA Global Markets Technology eTrading (Pratish Rajcoomar)"/>
    <s v="South Africa"/>
    <s v="RMB"/>
    <s v="77800000RPG RMBSA Global Markets Technology eTrading Tech FI Commods MM"/>
    <s v="Technology Platform Lead"/>
    <s v="&gt;20 Years"/>
    <s v="IT Development"/>
    <s v="8874839"/>
    <x v="502"/>
    <s v="Full Time Employee"/>
    <s v="African (South Africa)"/>
    <s v="Female"/>
    <s v="20 - 29"/>
    <s v="RMBSA Global Markets Data, Analytics and Business Intelligence (Suren Reddy)"/>
    <s v="South Africa"/>
    <s v="RMB"/>
    <s v="77800000FIM RMBSA Global Markets Data and Analytics"/>
    <s v="Business Analyst"/>
    <s v="&lt;1 Year"/>
    <s v="Process and Business Analysis"/>
    <s v="Create Mentorship Event for Laura Tomaz with Meera Khandoo"/>
    <d v="2025-08-11T00:00:00"/>
    <m/>
    <m/>
  </r>
  <r>
    <s v="4739116"/>
    <x v="81"/>
    <s v="Creating this programme to track progress on my career growth with my selected Mentor. The objective for this is to get guidance on how to advance myself and better prepare for future career aspirations."/>
    <s v="Career Mentor"/>
    <s v="Full Time Employee"/>
    <s v="African (South Africa)"/>
    <s v="Female"/>
    <s v="30 - 39"/>
    <s v="FNB R&amp;C Chief Information Office (La-Cell Mouton)"/>
    <s v="South Africa"/>
    <s v="FirstRand Corporate Centre"/>
    <s v="20200002266 CDO Banking Finxact"/>
    <s v="Chief Information Officer"/>
    <s v="11 -15 Years"/>
    <s v="System Design and Administration"/>
    <s v="5135176"/>
    <x v="503"/>
    <s v="Full Time Employee"/>
    <s v="African (South Africa)"/>
    <s v="Male"/>
    <s v="30 - 39"/>
    <s v="CDO Kernel ECM (Lucas Molea)"/>
    <s v="South Africa"/>
    <s v="FNB"/>
    <s v="79000004946 CDO Kernel ECM"/>
    <s v="Application Development Manager"/>
    <s v="2 Years"/>
    <s v="IT Development"/>
    <s v="Create Mentorship Event for Kaone Leshomo with Rethabile Tsekedi"/>
    <d v="2025-09-01T00:00:00"/>
    <d v="2026-06-30T00:00:00"/>
    <m/>
  </r>
  <r>
    <s v="3847764"/>
    <x v="270"/>
    <m/>
    <s v="Career Mentor"/>
    <s v="Full Time Employee"/>
    <s v="Coloured (South Africa)"/>
    <s v="Male"/>
    <s v="30 - 39"/>
    <s v="FNB Customer and Sales Interactions (Laura Irving)"/>
    <s v="South Africa"/>
    <s v="FNB"/>
    <s v="99100009981 FNB Customer and Sales Interactions Enablement"/>
    <s v="Solution Strategist"/>
    <s v="11 -15 Years"/>
    <s v="Operations"/>
    <s v="5623545"/>
    <x v="504"/>
    <s v="Full Time Employee"/>
    <s v="African (South Africa)"/>
    <s v="Male"/>
    <s v="30 - 39"/>
    <s v="FNB Customer and Sales Interactions (Lenice Pretorius)"/>
    <s v="South Africa"/>
    <s v="FNB"/>
    <s v="99100009981 FNB Customer and Sales Interactions Enablement"/>
    <s v="Data Scientist"/>
    <s v="2 Years"/>
    <s v="Analytics"/>
    <s v="Create Mentorship Event for Refilwe Semenya with Duane Ryan"/>
    <d v="2024-11-01T00:00:00"/>
    <m/>
    <m/>
  </r>
  <r>
    <s v="5219604"/>
    <x v="325"/>
    <s v="Skills development for career growth"/>
    <s v="Technical Mentor"/>
    <s v="Full Time Employee"/>
    <s v="African (South Africa)"/>
    <s v="Male"/>
    <s v="30 - 39"/>
    <s v="FNB Commercial Merchant Services (Shiwaan Rahman)"/>
    <s v="South Africa"/>
    <s v="FNB"/>
    <s v="22800008303 FNB Commercial Merchant Services Pricing Analytics"/>
    <s v="Business Intelligence Analyst"/>
    <s v="6 - 10 Years"/>
    <s v="Business Intelligence"/>
    <s v="4939247"/>
    <x v="505"/>
    <s v="Full Time Employee"/>
    <s v="African (South Africa)"/>
    <s v="Male"/>
    <s v="30 - 39"/>
    <s v="FNB Commercial Merchant Services (Derek George)"/>
    <s v="South Africa"/>
    <s v="FNB"/>
    <s v="22800008894 FNB Commercial Merchant Services Support POS"/>
    <s v="Systems and Support Analyst"/>
    <s v="6 - 10 Years"/>
    <s v="IT Support"/>
    <s v="Create Mentorship Event for Terrance Ncube with Tebogo Mashigo"/>
    <d v="2025-08-01T00:00:00"/>
    <d v="2025-09-30T00:00:00"/>
    <m/>
  </r>
  <r>
    <s v="8020797"/>
    <x v="262"/>
    <m/>
    <s v="Career Mentor"/>
    <s v="Full Time Employee"/>
    <s v="Indian (South Africa)"/>
    <s v="Female"/>
    <s v="50 - 59"/>
    <s v="FRCC RRM FR Group Compliance (Rozanne Gany)"/>
    <s v="South Africa"/>
    <s v="FirstRand Corporate Centre"/>
    <s v="20200007959 FRCC RRM FR Group Compliance"/>
    <s v="Compliance Manager"/>
    <s v="6 - 10 Years"/>
    <s v="Compliance"/>
    <s v="5658810"/>
    <x v="506"/>
    <s v="Full Time Employee"/>
    <s v="Coloured (South Africa)"/>
    <s v="Female"/>
    <s v="30 - 39"/>
    <s v="RMB Private Equity Chief Financial Office (Anuroop Nair)"/>
    <s v="South Africa"/>
    <s v="RMB"/>
    <s v="77800000PED RMB Ventures"/>
    <s v="Financial Administrator"/>
    <s v="2 Years"/>
    <s v="Administration"/>
    <s v="Create Mentorship Event for Tamryn August with Thirumala Pillay"/>
    <d v="2025-08-07T00:00:00"/>
    <m/>
    <m/>
  </r>
  <r>
    <s v="4532031"/>
    <x v="181"/>
    <s v="As an aspiring accounting and finance professional seeking to start a career in the global market space, I believe that having your guidance could sharpen my analytical skills, broaden my perspective on market behavior, and help me grow into a well-rounded professional"/>
    <s v="Career Mentor"/>
    <s v="Full Time Employee"/>
    <s v="African (South Africa)"/>
    <s v="Female"/>
    <s v="40 - 49"/>
    <s v="RMBSA Global Markets Structured Solutions and Trading Enablement (Victor Mofokeng)"/>
    <s v="South Africa"/>
    <s v="RMB"/>
    <s v="77800000BNR RMBSA Global Markets Cross Asset and Financing Trading Book Financing"/>
    <s v="Trading Desk Head"/>
    <s v="16 - 20 Years"/>
    <s v="Financial Markets"/>
    <s v="8877593"/>
    <x v="483"/>
    <s v="Full Time Employee"/>
    <s v="N/A (Ghana)"/>
    <s v="Female"/>
    <s v="20 - 29"/>
    <s v="Ghana Corporate and Investment Banking (Stephen Mordey)"/>
    <s v="Ghana"/>
    <s v="FNB"/>
    <s v="55400006504 Ghana Custody"/>
    <s v="Corporate Actions Specialist"/>
    <s v="&lt;1 Year"/>
    <s v="Operations"/>
    <s v="Create Mentorship Event for Georgette Akua Baah-Danquah with Naomi Sekgobela"/>
    <d v="2025-07-03T00:00:00"/>
    <d v="2025-08-01T00:00:00"/>
    <m/>
  </r>
  <r>
    <s v="4535286"/>
    <x v="35"/>
    <s v="I am seeking to develop myself in my career, to be able to match my interests and capabilities through real world guidance. Also growing my relationships within the organisation so as to broaden my horizon and learn more than what I have encountered so far."/>
    <s v="Career Mentor"/>
    <s v="Full Time Employee"/>
    <s v="White (South Africa)"/>
    <s v="Female"/>
    <s v="50 - 59"/>
    <s v="FNB Commercial Analytics Insights Data (Patrick Motshweni)"/>
    <s v="South Africa"/>
    <s v="FNB"/>
    <s v="34300005518 FNB Commercial Data Office"/>
    <s v="Information Architect Head"/>
    <s v="11 -15 Years"/>
    <s v="Data Management, Maintenance and Security"/>
    <s v="4931289"/>
    <x v="507"/>
    <s v="Full Time Employee"/>
    <s v="African (South Africa)"/>
    <s v="Female"/>
    <s v="40 - 49"/>
    <s v="CDO Infrastructure and Security Services (Tate Mphahlele)"/>
    <s v="South Africa"/>
    <s v="FNB"/>
    <s v="20700005088 CDO Infrastructure and Security Services Business Intelligence"/>
    <s v="Business Intelligence Analyst"/>
    <s v="6 - 10 Years"/>
    <s v="Business Intelligence"/>
    <s v="Create Mentorship Event for Moreblessing Mupfumira with Athena Botha"/>
    <d v="2025-09-01T00:00:00"/>
    <m/>
    <m/>
  </r>
  <r>
    <s v="4535286"/>
    <x v="35"/>
    <s v="I am seeking mentorship to transition my career into the field of data analytics. My background includes over five years of professional experience in financial operations, data management, and project coordination. I am proficient in data analysis using tools like advanced Excel, SPSS, and STATA, and have practical experience in data collection, organization, and reporting from past roles._x000a_My goal is to gain structured guidance on applying my foundational analytical skills to a dedicated data analytics role. I am particularly interested in learning about best practices for developing and implementing M&amp;E systems, advancing my skills in data visualization and programming languages (e.g., Python), and understanding career pathways within the data analytics sector. I am eager to learn from an experienced professional to refine my skills and bridge the gap between my current experience and my career aspirations."/>
    <s v="Career Mentor"/>
    <s v="Full Time Employee"/>
    <s v="White (South Africa)"/>
    <s v="Female"/>
    <s v="50 - 59"/>
    <s v="FNB Commercial Analytics Insights Data (Patrick Motshweni)"/>
    <s v="South Africa"/>
    <s v="FNB"/>
    <s v="34300005518 FNB Commercial Data Office"/>
    <s v="Information Architect Head"/>
    <s v="11 -15 Years"/>
    <s v="Data Management, Maintenance and Security"/>
    <s v="5618800"/>
    <x v="508"/>
    <s v="Full Time Employee"/>
    <s v="N/A (Zambia)"/>
    <s v="Male"/>
    <s v="30 - 39"/>
    <s v="FNB Zambia Retail Segment (Kingstone Mooya)"/>
    <s v="Zambia"/>
    <s v="FNB"/>
    <s v="55300006409 FNB Zambia Mazabuka Branch"/>
    <s v="Multi Skilled Consultant"/>
    <s v="3 - 5 Years"/>
    <s v="Client Experience and Value Management"/>
    <s v="Create Mentorship Event for Bupe Mwiya with Athena Botha"/>
    <d v="2025-09-01T00:00:00"/>
    <d v="2025-12-01T00:00:00"/>
    <m/>
  </r>
  <r>
    <s v="3337936"/>
    <x v="326"/>
    <s v="Relationship building and networking_x000a_Navigating the workplace_x000a_Capitalize on my internship experience"/>
    <s v="Career Mentor"/>
    <s v="Full Time Employee"/>
    <s v="White (South Africa)"/>
    <s v="Female"/>
    <s v="40 - 49"/>
    <s v="RMBSA TTS Operations (Muller Strydom)"/>
    <s v="South Africa"/>
    <s v="RMB"/>
    <s v="77800000CCZ RMBSA TTS Operations Leadership Team"/>
    <s v="Business Architect Lead"/>
    <s v="16 - 20 Years"/>
    <s v="Process and Business Analysis"/>
    <s v="8881834"/>
    <x v="500"/>
    <s v="FirstJob 18.2 Internal"/>
    <s v="African (South Africa)"/>
    <s v="Female"/>
    <s v="20 - 29"/>
    <s v="RMBSA IBD Operations Transaction Management Unit (Reuven Singh)"/>
    <s v="South Africa"/>
    <s v="RMB"/>
    <s v="77800000RMJ RMBSA Central COO Leadership Team"/>
    <s v="FirstJob Graduate"/>
    <s v="&lt;1 Year"/>
    <s v="Specialised Development Programs (Graduate/ Trainee)"/>
    <s v="Create Mentorship Event for Lucia Mokwena with Cathrin Pretorius"/>
    <d v="2025-09-01T00:00:00"/>
    <d v="2026-04-30T00:00:00"/>
    <m/>
  </r>
  <r>
    <s v="4711815"/>
    <x v="327"/>
    <s v="Good afternoon, Aslam. I hope you well.  My name is Elizabeth. i am a Finance administrator, holding Bcom Accounting degree (Bcompt). I am seeking mentorship to improve my skills and gain insights into the industry. Would you be available for a brief meeting? I am flexible with the time and can adjust to your schedule. Thank you for considering my request."/>
    <s v="Career Mentor"/>
    <s v="Full Time Employee"/>
    <s v="Indian (South Africa)"/>
    <s v="Male"/>
    <s v="30 - 39"/>
    <s v="FNB HSL (Kishun Poona)"/>
    <s v="South Africa"/>
    <s v="FNB"/>
    <s v="21200000808 HSL Sales Leads"/>
    <s v="Channel Management Head"/>
    <s v="11 -15 Years"/>
    <s v="Client Experience and Value Management"/>
    <s v="3461076"/>
    <x v="509"/>
    <s v="Full Time Employee"/>
    <s v="African (South Africa)"/>
    <s v="Female"/>
    <s v="40 - 49"/>
    <s v="FirstRand Short Term Insurance (Charlotte Sikhakhane)"/>
    <s v="South Africa"/>
    <s v="FNB"/>
    <s v="79900010208 ST Operations"/>
    <s v="Financial Administrator"/>
    <s v="3 - 5 Years"/>
    <s v="Systems Accounting and Financial Operations"/>
    <s v="Create Mentorship Event for Elizabeth Sarpong with Aslam Khan"/>
    <d v="2025-05-20T00:00:00"/>
    <d v="2025-06-20T00:00:00"/>
    <m/>
  </r>
  <r>
    <s v="8878931"/>
    <x v="328"/>
    <s v="I am seeking mentorship to transition my career into the field of data analytics. My background includes over five years of professional experience in financial operations, data management, and project coordination. I am proficient in data analysis using tools like advanced Excel, SPSS, and STATA, and have practical experience in data collection, organization, and reporting from past roles._x000a_My goal is to gain structured guidance on applying my foundational analytical skills to a dedicated data analytics role. I am particularly interested in learning about best practices for developing and implementing M&amp;E systems, advancing my skills in data visualization and programming languages (e.g., Python), and understanding career pathways within the data analytics sector. I am eager to learn from an experienced professional to refine my skills and bridge the gap between my current experience and my career aspirations."/>
    <s v="Career Mentor"/>
    <s v="Full Time Employee"/>
    <s v="N/A (Zambia)"/>
    <s v="Female"/>
    <s v="20 - 29"/>
    <s v="FNB Zambia Human Capital (Albert Changwe)"/>
    <s v="Zambia"/>
    <s v="FNB"/>
    <s v="55300003076 FNB Zambia Human Capital"/>
    <s v="Data Analyst"/>
    <s v="&lt;1 Year"/>
    <s v="Data Management, Maintenance and Security"/>
    <s v="5618800"/>
    <x v="508"/>
    <s v="Full Time Employee"/>
    <s v="N/A (Zambia)"/>
    <s v="Male"/>
    <s v="30 - 39"/>
    <s v="FNB Zambia Retail Segment (Kingstone Mooya)"/>
    <s v="Zambia"/>
    <s v="FNB"/>
    <s v="55300006409 FNB Zambia Mazabuka Branch"/>
    <s v="Multi Skilled Consultant"/>
    <s v="3 - 5 Years"/>
    <s v="Client Experience and Value Management"/>
    <s v="Create Mentorship Event for Bupe Mwiya with Margaret Mwewa"/>
    <d v="2025-09-01T00:00:00"/>
    <d v="2025-12-01T00:00:00"/>
    <m/>
  </r>
  <r>
    <s v="3247333"/>
    <x v="329"/>
    <s v="I want to learn, explore and grow with the business learn new skills and dig to new testing approaches as it is interesting and exciting job. I want to be part of the team that contribute into high quality product on the market and assist in hidden problems in software."/>
    <s v="Transition Mentor"/>
    <m/>
    <s v="Coloured (South Africa)"/>
    <s v="Female"/>
    <s v="40 - 49"/>
    <m/>
    <s v="South Africa"/>
    <m/>
    <m/>
    <m/>
    <s v="16 - 20 Years"/>
    <m/>
    <s v="3342751"/>
    <x v="510"/>
    <s v="Full Time Employee"/>
    <s v="African (South Africa)"/>
    <s v="Male"/>
    <s v="40 - 49"/>
    <s v="CDO Infrastructure and Security Services (Victor Kubayi)"/>
    <s v="South Africa"/>
    <s v="FNB"/>
    <s v="20700006377 CDO Networks and Security Services Desktop and Mobile Technology"/>
    <s v="Desktop Support Technician"/>
    <s v="16 - 20 Years"/>
    <s v="IT Support"/>
    <s v="Create Mentorship Event for Mbusi Nzimande with Maxine Smith (Terminated)"/>
    <d v="2025-09-30T00:00:00"/>
    <m/>
    <m/>
  </r>
  <r>
    <s v="4991583"/>
    <x v="283"/>
    <s v="Good day Thandiwe._x000a__x000a_My name is Akhona Khumalo, and I am currently a CX Design Specialist within Commercial. I am interested in transitioning into a Business Analyst role and am seeking mentorship to support this journey. With a solid foundation in project management from my time as a Junior Project Manager in the mining sector, coupled with my current experience in customer experience, I bring a unique blend of structured problem-solving, stakeholder engagement, and user-centered thinking._x000a_Having recently completed a few training, my appreciation for the strategic impact of the Business Analyst role has grown significantly. I now have a clearer vision of how business analysis connects strategy with execution—something I’m eager to be part of._x000a_Through this mentoring relationship, I hope to gain practical insights into the day-to-day responsibilities of a Business Analyst, deepen my understanding of FNB’s approach to business analysis, and develop the skills required to thrive in this role._x000a__x000a_Looking forward to your response!"/>
    <s v="Career Mentor"/>
    <s v="Full Time Employee"/>
    <s v="African (South Africa)"/>
    <s v="Female"/>
    <s v="40 - 49"/>
    <s v="FNB Commercial Projects and Operations (Shari Taaibosch)"/>
    <s v="South Africa"/>
    <s v="FNB"/>
    <s v="34200009245 FNB Commercial Fulfilment Support"/>
    <s v="Platform Enablement Lead"/>
    <s v="6 - 10 Years"/>
    <s v="Business/Systems Analysis"/>
    <s v="8873840"/>
    <x v="511"/>
    <s v="Full Time Employee"/>
    <s v="African (South Africa)"/>
    <s v="Female"/>
    <s v="20 - 29"/>
    <s v="FNB Commercial National Sales and Service (Priyanka Moonsamy)"/>
    <s v="South Africa"/>
    <s v="FNB"/>
    <s v="34300009133 FNB Commercial Customer Experience"/>
    <s v="Customer Experience Specialist"/>
    <s v="1 Year"/>
    <s v="Client Experience and Value Management"/>
    <s v="Create Mentorship Event for Akhona Khumalo with Thandiwe Mkalipi"/>
    <d v="2025-09-09T00:00:00"/>
    <m/>
    <m/>
  </r>
  <r>
    <s v="5130778"/>
    <x v="330"/>
    <s v="Developing leadership skills and work on a plan to transition from technical role to full leadership"/>
    <s v="Career Mentor"/>
    <s v="Full Time Employee"/>
    <s v="Indian (South Africa)"/>
    <s v="Female"/>
    <s v="40 - 49"/>
    <s v="RMBSA Global Markets Technology Trading (Doron Klotz)"/>
    <s v="South Africa"/>
    <s v="RMB"/>
    <s v="77800000BGE RMBSA Global Market Data Services Capability"/>
    <s v="Platform Head"/>
    <s v="6 - 10 Years"/>
    <s v="System Design and Administration"/>
    <s v="4631552"/>
    <x v="512"/>
    <s v="Full Time Employee"/>
    <s v="African (South Africa)"/>
    <s v="Female"/>
    <s v="30 - 39"/>
    <s v="RMBSA Global Markets Algorithmic Trading Technology (Zwivhuya Tshitovha)"/>
    <s v="South Africa"/>
    <s v="RMB"/>
    <s v="77800000RPI RMBSA Global Markets eTrading Tech DPMM"/>
    <s v="IT Team Lead"/>
    <s v="11 -15 Years"/>
    <s v="Business/Systems Analysis"/>
    <s v="Create Mentorship Event for Tsholofelo Letsoko with Santelle Naicker"/>
    <d v="2025-09-01T00:00:00"/>
    <d v="2026-08-29T00:00:00"/>
    <m/>
  </r>
  <r>
    <s v="8871052"/>
    <x v="331"/>
    <m/>
    <s v="Career Mentor"/>
    <s v="Full Time Employee"/>
    <s v="Indian (South Africa)"/>
    <s v="Male"/>
    <s v="40 - 49"/>
    <s v="RMBSA LRC Credit Risk Management (Thabani Zungu)"/>
    <s v="South Africa"/>
    <s v="RMB"/>
    <s v="77800000CRD RMBSA Credit Risk South Africa Team"/>
    <s v="Credit Executive"/>
    <s v="2 Years"/>
    <s v="Credit Risk"/>
    <s v="5664888"/>
    <x v="513"/>
    <s v="Full Time Employee"/>
    <s v="Indian (South Africa)"/>
    <s v="Male"/>
    <s v="20 - 29"/>
    <s v="RMBSA IBD Finance (Amy Moodley)"/>
    <s v="South Africa"/>
    <s v="RMB"/>
    <s v="77800000FRC RMBSA Chartered Accountant Graduate Programme"/>
    <s v="Chartered Accountant Graduate"/>
    <s v="1 Year"/>
    <s v="Accounting and Financial Intelligence"/>
    <s v="Create Mentorship Event for Saihil Rewachanda with Kubeshan Padayachy"/>
    <d v="2025-08-01T00:00:00"/>
    <d v="2026-02-28T00:00:00"/>
    <m/>
  </r>
  <r>
    <s v="3796248"/>
    <x v="332"/>
    <s v="The purpose for this relationship is for guidance on the new career I am aspiring to get into."/>
    <s v="Career Mentor"/>
    <s v="Full Time Employee"/>
    <s v="African (South Africa)"/>
    <s v="Female"/>
    <s v="30 - 39"/>
    <s v="RMBSA TTS Technology (Mias Du Plessis)"/>
    <s v="South Africa"/>
    <s v="RMB"/>
    <s v="77800000RAQ RMBSA TTS Technology RAS Quartz"/>
    <s v="IT Solutions Architect"/>
    <s v="1 Year"/>
    <s v="Architecture"/>
    <s v="5306175"/>
    <x v="514"/>
    <s v="Full Time Employee"/>
    <s v="African (South Africa)"/>
    <s v="Female"/>
    <s v="30 - 39"/>
    <s v="RMBSA Global Markets GSS Fiduciary Oversight Team A (Shawn Viljoen)"/>
    <s v="South Africa"/>
    <s v="RMB"/>
    <s v="77800000TSS RMBSA Global Markets GSS Trustee Services"/>
    <s v="Fiduciary Portfolio Oversight Analyst"/>
    <s v="6 - 10 Years"/>
    <s v="Investor Services"/>
    <s v="Create Mentorship Event for Dineo Masemene with Dineo Phala"/>
    <d v="2025-09-08T00:00:00"/>
    <d v="2025-12-31T00:00:00"/>
    <m/>
  </r>
  <r>
    <s v="3796248"/>
    <x v="332"/>
    <s v="Dear Dineo,_x000a__x000a_I hope this message finds you well._x000a__x000a_I am reaching out to kindly request your mentorship as I explore a potential career transition. I have long admired RMB and the impactful work done there, and I would love to learn more about your role and daily responsibilities._x000a_Your insights would be incredibly valuable as I consider this new path, and I would greatly appreciate any guidance or advice you could share._x000a_Thank you in advance for your time and consideration._x000a__x000a_Regards,_x000a_Mamokwena Maponya"/>
    <s v="Career Mentor"/>
    <s v="Full Time Employee"/>
    <s v="African (South Africa)"/>
    <s v="Female"/>
    <s v="30 - 39"/>
    <s v="RMBSA TTS Technology (Mias Du Plessis)"/>
    <s v="South Africa"/>
    <s v="RMB"/>
    <s v="77800000RAQ RMBSA TTS Technology RAS Quartz"/>
    <s v="IT Solutions Architect"/>
    <s v="1 Year"/>
    <s v="Architecture"/>
    <s v="5048486"/>
    <x v="515"/>
    <s v="Full Time Employee"/>
    <s v="African (South Africa)"/>
    <s v="Female"/>
    <s v="30 - 39"/>
    <s v="WB ABF Sales Gauteng (Dudu Khumalo)"/>
    <s v="South Africa"/>
    <s v="WesBank"/>
    <s v="30100007081 WB ABF Gauteng Banked"/>
    <s v="Administrator"/>
    <s v="6 - 10 Years"/>
    <s v="Administration"/>
    <s v="Create Mentorship Event for Mamokwena Maponya with Dineo Phala"/>
    <d v="2025-09-01T00:00:00"/>
    <d v="2025-11-30T00:00:00"/>
    <m/>
  </r>
  <r>
    <s v="5256224"/>
    <x v="333"/>
    <s v="Career coaching and guidance in growing and transitioning to a HR generalist role in future._x000a_Setting clear goals for upskilling beyond recruitment_x000a_Involve me in projects and shadowing opportunities_x000a_Assist with providing feedback on work done,challenges and areas of improvement"/>
    <s v="Career Mentor"/>
    <s v="Full Time Employee"/>
    <s v="African (South Africa)"/>
    <s v="Male"/>
    <s v="30 - 39"/>
    <s v="FNB Wealth (Feroza Seedat)"/>
    <s v="South Africa"/>
    <s v="FNB"/>
    <s v="34100008803 PB&amp;A Human Capital"/>
    <s v="Human Capital Business Partner"/>
    <s v="6 - 10 Years"/>
    <s v="Business Human Capital"/>
    <s v="5293553"/>
    <x v="516"/>
    <s v="Full Time Employee"/>
    <s v="African (South Africa)"/>
    <s v="Female"/>
    <s v="30 - 39"/>
    <s v="FNB Retail P Human Capital (Jackie Singh)"/>
    <s v="South Africa"/>
    <s v="FNB"/>
    <s v="54100009264 FNB Fiduciary HR and L&amp;D"/>
    <s v="Talent Sourcing Specialist"/>
    <s v="6 - 10 Years"/>
    <s v="Experience Architecting"/>
    <s v="Create Mentorship Event for Lerato Kabeya with Zithulele Mjiako"/>
    <d v="2025-09-04T00:00:00"/>
    <d v="2026-09-04T00:00:00"/>
    <m/>
  </r>
  <r>
    <s v="5275032"/>
    <x v="205"/>
    <s v="Guidance on career growth and prospects, general leadership and self-development opportunities"/>
    <s v="Transition Mentor"/>
    <s v="Full Time Employee"/>
    <s v="African (South Africa)"/>
    <s v="Female"/>
    <s v="50 - 59"/>
    <s v="RMBSA Client Group Operations (Helen Wood)"/>
    <s v="South Africa"/>
    <s v="RMB"/>
    <s v="77800000CXD RMBSA Client Experience Design"/>
    <s v="Client Experience Design Head"/>
    <s v="6 - 10 Years"/>
    <s v="Client Experience and Value Management"/>
    <s v="2856271"/>
    <x v="517"/>
    <s v="Full Time Employee"/>
    <s v="African (South Africa)"/>
    <s v="Male"/>
    <s v="40 - 49"/>
    <s v="FNB Commercial Cash Operations Support (Kulane  Trevor Mavikane)"/>
    <s v="South Africa"/>
    <s v="FNB"/>
    <s v="76100000967 FNB Commercial Cash Centre Pretoria"/>
    <s v="Operations Manager"/>
    <s v="&gt;20 Years"/>
    <s v="Operations"/>
    <s v="Create Mentorship Event for Themba Mabena with Mumbi Odame"/>
    <d v="2025-07-23T00:00:00"/>
    <d v="2025-10-31T00:00:00"/>
    <m/>
  </r>
  <r>
    <s v="3101320"/>
    <x v="334"/>
    <s v="I would like Puleng Montseng to be assigned as my mentor within the organization .As I continue to grow in my role as Financial Administrator,I am also preparing to pursue an Honours degree in Supply Chain Management upon completing my BCOM. I am actively seeking opportunies of becoming an Financial Accountant as it will strengthen my foundation of perusing the role in Supply Chain."/>
    <s v="Career Mentor"/>
    <s v="Full Time Employee"/>
    <s v="African (South Africa)"/>
    <s v="Female"/>
    <s v="40 - 49"/>
    <s v="FNB Finance Business Solutions (Jacqueline Crawford)"/>
    <s v="South Africa"/>
    <s v="FNB"/>
    <s v="32100002445 FNB Finance Business Solutions Procurement Support"/>
    <s v="Procurement Sourcing Specialist"/>
    <s v="16 - 20 Years"/>
    <s v="Procurement and Supply Chain Management"/>
    <s v="3152723"/>
    <x v="518"/>
    <s v="Full Time Employee"/>
    <s v="African (South Africa)"/>
    <s v="Female"/>
    <s v="40 - 49"/>
    <s v="REMS Real Estate Management Services (Heidi Daniels)"/>
    <s v="South Africa"/>
    <s v="FNB"/>
    <s v="22300006243 REMS Finance"/>
    <s v="Financial Administrator"/>
    <s v="16 - 20 Years"/>
    <s v="Systems Accounting and Financial Operations"/>
    <s v="Create Mentorship Event for Lorato Chipu with Puleng Montseng"/>
    <d v="2025-09-10T00:00:00"/>
    <d v="2026-09-10T00:00:00"/>
    <m/>
  </r>
  <r>
    <s v="3530221"/>
    <x v="335"/>
    <m/>
    <s v="Career Mentor"/>
    <s v="Full Time Employee"/>
    <s v="African (South Africa)"/>
    <s v="Female"/>
    <s v="30 - 39"/>
    <s v="RMBSA Global Markets Technology eTrading (Pratish Rajcoomar)"/>
    <s v="South Africa"/>
    <s v="RMB"/>
    <s v="77800000RPI RMBSA Global Markets eTrading Tech DPMM"/>
    <s v="Technology Platform Lead"/>
    <s v="6 - 10 Years"/>
    <s v="IT Development"/>
    <s v="5480469"/>
    <x v="519"/>
    <s v="Full Time Employee"/>
    <s v="African (South Africa)"/>
    <s v="Female"/>
    <s v="20 - 29"/>
    <s v="RMBSA Enablement Technology Credit Team C (Wayne Goosen)"/>
    <s v="South Africa"/>
    <s v="RMB"/>
    <s v="77800000TFC TFC-RMB IT Credit"/>
    <s v="Business Intelligence Developer"/>
    <s v="1 Year"/>
    <s v="Business Intelligence"/>
    <s v="Create Mentorship Event for Mbali Mnguni with Zwivhuya Tshitovha"/>
    <d v="2025-09-01T00:00:00"/>
    <d v="2026-09-01T00:00:00"/>
    <m/>
  </r>
  <r>
    <s v="3337936"/>
    <x v="326"/>
    <s v="My name is Christinah and I'm signing up for the mentorship programme for the purpose of networking and building relationships. My intention is to learn from others and use the skills to navigate my career journey at RMB. It's not for career gains or progression only, but also to develop character and self-awareness."/>
    <s v="Career Mentor"/>
    <s v="Full Time Employee"/>
    <s v="White (South Africa)"/>
    <s v="Female"/>
    <s v="40 - 49"/>
    <s v="RMBSA TTS Operations (Muller Strydom)"/>
    <s v="South Africa"/>
    <s v="RMB"/>
    <s v="77800000CCZ RMBSA TTS Operations Leadership Team"/>
    <s v="Business Architect Lead"/>
    <s v="16 - 20 Years"/>
    <s v="Process and Business Analysis"/>
    <s v="8881413"/>
    <x v="520"/>
    <s v="Full Time Employee"/>
    <s v="African (South Africa)"/>
    <s v="Female"/>
    <s v="40 - 49"/>
    <s v="RMBSA Enablement Technology Credit Team B (Veneshree Lachman)"/>
    <s v="South Africa"/>
    <s v="RMB"/>
    <s v="77800000TFC TFC-RMB IT Credit"/>
    <s v="Business Analyst"/>
    <s v="&lt;1 Year"/>
    <s v="Process and Business Analysis"/>
    <s v="Create Mentorship Event for Christinah Rabothata with Cathrin Pretorius"/>
    <d v="2025-10-01T00:00:00"/>
    <d v="2026-02-28T00:00:00"/>
    <m/>
  </r>
  <r>
    <s v="4535286"/>
    <x v="35"/>
    <s v="Currently, I serve as a Data Analyst, where I’ve developed a strong foundation in data analysis, reporting, and systems thinking. I’m also pursuing a master’s degree in Artificial Intelligence, which has deepened my understanding of machine learning, intelligent systems, and the strategic potential of AI in enterprise environments._x000a_As I look ahead, I’m eager to evolve into a role that blends AI strategy with architectural thinking designing scalable, ethical, and business-aligned AI systems. Your leadership in Information Architecture is deeply inspiring, and I believe your mentorship would be invaluable in helping me:_x000a_Understand how information architecture supports AI scalability and governance._x000a_Learn how to bridge technical and business domains through strategic data design._x000a_Gain exposure to leadership practices in AI-driven transformation_x000a__x000a_I would be grateful for the opportunity to learn from your experience and contribute meaningfully to initiatives that align with both our department’s goals and the broader AI vision._x000a__x000a_Thank you for considering my request. I’m happy to meet at your convenience to discuss how we might structure this mentorship."/>
    <s v="Career Mentor"/>
    <s v="Full Time Employee"/>
    <s v="White (South Africa)"/>
    <s v="Female"/>
    <s v="50 - 59"/>
    <s v="FNB Commercial Analytics Insights Data (Patrick Motshweni)"/>
    <s v="South Africa"/>
    <s v="FNB"/>
    <s v="34300005518 FNB Commercial Data Office"/>
    <s v="Information Architect Head"/>
    <s v="11 -15 Years"/>
    <s v="Data Management, Maintenance and Security"/>
    <s v="5698251"/>
    <x v="521"/>
    <s v="Full Time Employee"/>
    <s v="African (South Africa)"/>
    <s v="Female"/>
    <s v="30 - 39"/>
    <s v="FNB Commercial Analytics Insight and Data (Mmadikgale Moenyane)"/>
    <s v="South Africa"/>
    <s v="FNB"/>
    <s v="34300005518 FNB Commercial Data Office"/>
    <s v="Data Analyst"/>
    <s v="2 Years"/>
    <s v="Data Management, Maintenance and Security"/>
    <s v="Create Mentorship Event for Lorraine Nobela with Athena Botha"/>
    <d v="2025-10-01T00:00:00"/>
    <d v="2026-08-30T00:00:00"/>
    <m/>
  </r>
  <r>
    <s v="4698339"/>
    <x v="336"/>
    <s v="I I would like assistance with career mentoring."/>
    <s v="Career Mentor"/>
    <s v="Full Time Employee"/>
    <s v="African (South Africa)"/>
    <s v="Female"/>
    <s v="30 - 39"/>
    <s v="FNB Commercial Sales Cape (Philip Poole)"/>
    <s v="South Africa"/>
    <s v="FNB"/>
    <s v="34200009138 FNB Commercial Agriculture Western Cape"/>
    <s v="Relationship Analyst"/>
    <s v="11 -15 Years"/>
    <s v="Client Relationship Management"/>
    <s v="4919270"/>
    <x v="499"/>
    <s v="Full Time Employee"/>
    <s v="African (South Africa)"/>
    <s v="Female"/>
    <s v="30 - 39"/>
    <s v="DirectAxis (Carmen Rodrigues)"/>
    <s v="South Africa"/>
    <s v="FNB"/>
    <s v="99700015118 DA Business Optimisation"/>
    <s v="Resource Planner"/>
    <s v="11 -15 Years"/>
    <s v="Operations"/>
    <s v="Create Mentorship Event for Yanga Babana with Babalwa Masoka"/>
    <d v="2025-07-31T00:00:00"/>
    <d v="2026-04-30T00:00:00"/>
    <m/>
  </r>
  <r>
    <s v="4607627"/>
    <x v="99"/>
    <s v="coaching and guidance with career transitioning to advice enablement specialist"/>
    <s v="Transition Mentor"/>
    <s v="Full Time Employee"/>
    <s v="Indian (South Africa)"/>
    <s v="Female"/>
    <s v="40 - 49"/>
    <s v="FNB Retail Legal Risk and Compliance (Wynand Smit)"/>
    <s v="South Africa"/>
    <s v="FNB"/>
    <s v="85500008236 FNB Retail Legal Risk and Compliance"/>
    <s v="Legal Head"/>
    <s v="&gt;20 Years"/>
    <s v="Legal"/>
    <s v="8879892"/>
    <x v="522"/>
    <s v="Full Time Employee"/>
    <s v="African (South Africa)"/>
    <s v="Female"/>
    <s v="30 - 39"/>
    <s v="FNB Private Banking and Advisory (Anele Madhlabane)"/>
    <s v="South Africa"/>
    <s v="FNB"/>
    <s v="34100004935 PB&amp;A Ops Hubs WMA"/>
    <s v="Wealth Management Analyst"/>
    <s v="&lt;1 Year"/>
    <s v="Investor Services"/>
    <s v="Create Mentorship Event for Nontokozo Sibeko with Malini Mudaly"/>
    <d v="2025-11-04T00:00:00"/>
    <m/>
    <m/>
  </r>
  <r>
    <s v="5238722"/>
    <x v="160"/>
    <s v="Complete mentorship program in 6 months_x000a_learn insights on how to explore research projects, current and future._x000a_Build a professional network. _x000a_Gain industry insights on AI tech_x000a_Have a career development plan._x000a_Improve job search skills to become an architect in the next year 2026_x000a_Set boundaries and be more self-aware._x000a_Learn great communication and interpersonal skills_x000a_Be able to package and sell myself well all the time"/>
    <s v="Career Mentor"/>
    <s v="Full Time Employee"/>
    <s v="Indian (South Africa)"/>
    <s v="Male"/>
    <s v="40 - 49"/>
    <s v="FNB iCustomer (Mandlenkosi Vana)"/>
    <s v="South Africa"/>
    <s v="FNB"/>
    <s v="39400005921 FNB iCustomer Extraction and Recognition"/>
    <s v="Business Solutions Manager"/>
    <s v="11 -15 Years"/>
    <s v="System Design and Administration"/>
    <s v="3286029"/>
    <x v="523"/>
    <s v="Full Time Employee"/>
    <s v="African (South Africa)"/>
    <s v="Female"/>
    <s v="40 - 49"/>
    <s v="FNB Commercial Core Juristic Platform (Carla Blom)"/>
    <s v="South Africa"/>
    <s v="FNB"/>
    <s v="34200009023 FNB Commercial CJP Credit Lending IT Architecture"/>
    <s v="Technical Team Leader"/>
    <s v="6 - 10 Years"/>
    <s v="IT Development"/>
    <s v="Create Mentorship Event for Talent Chinyani with Wesley Francis"/>
    <d v="2025-09-26T00:00:00"/>
    <d v="2026-03-31T00:00:00"/>
    <m/>
  </r>
  <r>
    <s v="5436346"/>
    <x v="337"/>
    <s v="Good Day Billy_x000a_ _x000a_I trust that you are doing great._x000a_ _x000a_Thank you once more for accepting to mentor me from your wealth of experience and top-notch leadership qualities and prowess._x000a_ _x000a_I have set up this as our first mentorship session and already created subsequent recurring session after this one._x000a_ _x000a_Looking forward to learning from your great leadership qualities and experience._x000a_ _x000a_Besides what I shared as my objectives in our introduction meeting plus any other you may add as needed; I am looking forward to learning:_x000a_ _x000a_Aspirations:_x000a__x000a_Leadership Practices that drive success and overall, Team performance_x000a__x000a_Stakeholder Management especially, Top leadership_x000a__x000a_How best I can be ready for the next level leadership role. Key steps to take now for me to be ready when the career growth opportunity presents itself (repositioning myself)_x000a__x000a_Leading Team: Best practices that foster teamwork, conflict resolution and managing team dynamics_x000a__x000a_How to be a “Good Leader” who inspires others to be the best versions of themselves (believe in themselves)_x000a__x000a_A “Glimpse into Exco Life” and pointers of Exco expectations from Junior management leaders like me_x000a__x000a_Pointers on Personal Development_x000a__x000a_ _x000a_Challenges:_x000a_ _x000a__x000a_To transition from my junior management role to the next leave management role_x000a__x000a_Soft Skills that can propel me to the next level_x000a__x000a_Channelling the passion, I have and desire to grow into a “Calm, collected and cool-headed leader who analyses situations and then puts a leadership cap on to lead especially in difficult situations_x000a__x000a_Self-Management: Getting the “Art of Self Mastery” which then translates into better self and Team management._x000a__x000a_ _x000a_Looking forward to your incredible support on this journey ahead and am so excited about it."/>
    <s v="Leadership Mentor"/>
    <s v="Full Time Employee"/>
    <s v="N/A (Zambia)"/>
    <s v="Male"/>
    <s v="40 - 49"/>
    <s v="FNB Zambia Chief Executive Office (Kapumpe Chola)"/>
    <s v="Zambia"/>
    <s v="FNB"/>
    <s v="55300003079 FNB Zambia Information Technology"/>
    <s v="Chief Information Officer"/>
    <s v="3 - 5 Years"/>
    <s v="System Design and Administration"/>
    <s v="4990382"/>
    <x v="524"/>
    <s v="Full Time Employee"/>
    <m/>
    <s v="Male"/>
    <s v="30 - 39"/>
    <s v="FNB Zambia Commercial (Esther Munatamba)"/>
    <s v="Zambia"/>
    <s v="FNB"/>
    <s v="55300007619 FNB Zambia SME Business"/>
    <s v="Business Banker"/>
    <s v="6 - 10 Years"/>
    <s v="Direct Sales"/>
    <s v="Create Mentorship Event for Shadreck Njobvu with Billy Samuel Mwape"/>
    <d v="2025-09-23T00:00:00"/>
    <d v="2026-12-31T00:00:00"/>
    <m/>
  </r>
  <r>
    <s v="5431328"/>
    <x v="338"/>
    <s v="I'm stuck. I am transitioning in a leadership role and not sure that this is the right direction for me."/>
    <s v="Career Mentor"/>
    <s v="Full Time Employee"/>
    <s v="African (South Africa)"/>
    <s v="Male"/>
    <s v="50 - 59"/>
    <s v="Group Chief Executive Office (Mary Vilakazi)"/>
    <s v="South Africa"/>
    <s v="FirstRand Corporate Centre"/>
    <s v="20200006713 Chief Financial Office"/>
    <s v="Group Chief People Officer"/>
    <s v="3 - 5 Years"/>
    <s v="Business Human Capital"/>
    <s v="4501241"/>
    <x v="525"/>
    <s v="Full Time Employee"/>
    <s v="Indian (South Africa)"/>
    <s v="Female"/>
    <s v="50 - 59"/>
    <s v="RMBSA Global Markets Technology FEDS &amp; Finesse (Francois Kritzinger)"/>
    <s v="South Africa"/>
    <s v="RMB"/>
    <s v="77800000FXC RMBSA Global Markets Technology Customer Dealing Post Trade"/>
    <s v="IT Business Analyst"/>
    <s v="&gt;20 Years"/>
    <s v="Business/Systems Analysis"/>
    <s v="Create Mentorship Event for Roshni Morar with Tswelo Kodisang"/>
    <d v="2025-09-22T00:00:00"/>
    <d v="2026-06-29T00:00:00"/>
    <m/>
  </r>
  <r>
    <s v="5159903"/>
    <x v="200"/>
    <m/>
    <s v="Career Mentor"/>
    <s v="Full Time Employee"/>
    <s v="African (South Africa)"/>
    <s v="Female"/>
    <s v="30 - 39"/>
    <s v="RMBSA TTS Client Groups (Tamara D'Onofrio)"/>
    <s v="South Africa"/>
    <s v="RMB"/>
    <s v="77800000SON RMBSA TTS Client Group Sales Enablement"/>
    <s v="Sales Enablement Head"/>
    <s v="6 - 10 Years"/>
    <s v="Sales Management"/>
    <s v="5482976"/>
    <x v="526"/>
    <s v="Full Time Employee"/>
    <s v="Coloured (South Africa)"/>
    <s v="Female"/>
    <s v="20 - 29"/>
    <s v="FNB Financial Advisory (Andre Van Der Westhuizen)"/>
    <s v="South Africa"/>
    <s v="FNB"/>
    <s v="34100003289 PB&amp;A Advice Governance and Monitoring"/>
    <s v="Advice Monitoring Specialist"/>
    <s v="3 - 5 Years"/>
    <s v="Quality Assurance"/>
    <s v="Create Mentorship Event for Michaela Dantu with Alcinda Moezelaar"/>
    <d v="2025-10-01T00:00:00"/>
    <m/>
    <m/>
  </r>
  <r>
    <s v="4877594"/>
    <x v="145"/>
    <m/>
    <s v="Career Mentor"/>
    <s v="Full Time Employee"/>
    <s v="African (South Africa)"/>
    <s v="Male"/>
    <s v="30 - 39"/>
    <s v="FNB Private Banking and Advisory (Elaine Knoetsec)"/>
    <s v="South Africa"/>
    <s v="FNB"/>
    <s v="34100003292 PB&amp;A Inland Central"/>
    <s v="Head of Sales Enablement"/>
    <s v="6 - 10 Years"/>
    <s v="Sales Management"/>
    <s v="3184188"/>
    <x v="527"/>
    <s v="OBR With Fixed Pay"/>
    <s v="African (South Africa)"/>
    <s v="Female"/>
    <s v="40 - 49"/>
    <s v="FNB Points of Presence (Nathi Mohale)"/>
    <s v="South Africa"/>
    <s v="FNB"/>
    <s v="771011800 FNB POP Branch Delivery Kempton Park"/>
    <s v="Branch Advisor FAIS"/>
    <s v="6 - 10 Years"/>
    <s v="Client Services Support and Delivery"/>
    <s v="Create Mentorship Event for Phindile Manqele with Allen Chapingidza"/>
    <d v="2025-10-21T00:00:00"/>
    <d v="2026-06-30T00:00:00"/>
    <m/>
  </r>
  <r>
    <s v="4804325"/>
    <x v="182"/>
    <s v="Good Day Kholofelo,_x000a__x000a_I hope you're doing well. I came across your LinkedIn profile and was truly inspired by your journey—starting off as a graduate in the quants space and progressing so impressively in your career. My name is Tshepo Moeletsi, and I’m currently part of the Graduate Programme, working in D2 as a Data Scientist within the ScoringX team. We focus on building scorecards and collaborate closely with the Credit Card team._x000a_ _x000a_I’m currently pursuing my Master’s in Data Science and I'm passionate about growing in this field. I aspire to become well-versed in the data space and would greatly appreciate any guidance you could offer. In addition to my role, I also serve on the Grad Exco in the Events Portfolio, where I act as a liaison between the graduates and the recruitment team. I’m responsible for planning key events such as the final graduation and mid-session connect._x000a_ _x000a_If you have the capacity, I would be honored if you could consider mentoring me. I’d love to set up a call to introduce myself and learn more from you. If that’s not possible, I’d still be very grateful for any advice or direction you can share."/>
    <s v="Career Mentor"/>
    <s v="Full Time Employee"/>
    <s v="African (South Africa)"/>
    <s v="Male"/>
    <s v="30 - 39"/>
    <s v="FNB Chief Risk Office Interactions and Risk Analytics (Godfrey Kgoedi)"/>
    <s v="South Africa"/>
    <s v="FNB"/>
    <s v="39400003184 FNB Chief Risk Office Interactions and Risk Analytics"/>
    <s v="Data Science Manager"/>
    <s v="11 -15 Years"/>
    <s v="Analytics"/>
    <s v="8876562"/>
    <x v="528"/>
    <s v="Full Time Employee"/>
    <s v="African (South Africa)"/>
    <s v="Female"/>
    <s v="20 - 29"/>
    <s v="FNB Dynamic Decisioning (Vishnu Singh [C])"/>
    <s v="South Africa"/>
    <s v="FNB"/>
    <s v="23900005393 FNB Dynamic Decisioning Scoring"/>
    <s v="Data Scientist"/>
    <s v="1 Year"/>
    <s v="Analytics"/>
    <s v="Create Mentorship Event for Tshepo Moeletsi with Kholofelo Napo"/>
    <d v="2025-10-06T00:00:00"/>
    <d v="2026-12-31T00:00:00"/>
    <m/>
  </r>
  <r>
    <s v="3794687"/>
    <x v="287"/>
    <s v="My main goal is to accelerate my personal and professional development by cultivating a growth mindset. I want to improve my ability to manage emotions , build strong relationships in the organization and develop my technical skills in the Cyber security space."/>
    <s v="Career Mentor"/>
    <s v="Full Time Employee"/>
    <s v="White (South Africa)"/>
    <s v="Female"/>
    <s v="50 - 59"/>
    <s v="RMBSA Technology  IT Security and Access (Angela Henry)"/>
    <s v="South Africa"/>
    <s v="RMB"/>
    <s v="77800000BTZ BTZ-RMB IT Security and Access"/>
    <s v="Information Security Architect"/>
    <s v="11 -15 Years"/>
    <s v="IT Security"/>
    <s v="5292603"/>
    <x v="529"/>
    <s v="Full Time Employee"/>
    <s v="African (South Africa)"/>
    <s v="Female"/>
    <s v="30 - 39"/>
    <s v="RMBSA Technology  IT Security and Access (Angela Henry)"/>
    <s v="South Africa"/>
    <s v="RMB"/>
    <s v="77800000BTZ BTZ-RMB IT Security and Access"/>
    <s v="Data Loss Analyst"/>
    <s v="3 - 5 Years"/>
    <s v="Data Management, Maintenance and Security"/>
    <s v="Create Mentorship Event for Koketjo Matlala with Aileen Spanier-Marson"/>
    <d v="2025-09-01T00:00:00"/>
    <d v="2026-09-30T00:00:00"/>
    <m/>
  </r>
  <r>
    <s v="4617215"/>
    <x v="339"/>
    <s v="I’m at the very beginning of my career and often feel unsure about how to move forward in this industry. I’m looking for a mentor who can help and advise me on skills I can learn, to help my career move towards becoming a portfolio manager and a trusted advisor, beyond what I’ve learnt in university and through the CFA programme. Having someone who’s been part of the industry by my side would give me a clearer understanding of how things work and help me take meaningful steps towards my career goals._x000a__x000a_www.linkedin.com/in/CaitlinStone2106/"/>
    <s v="Career Mentor"/>
    <s v="Commission With Fixed Pay"/>
    <s v="White (South Africa)"/>
    <s v="Male"/>
    <s v="40 - 49"/>
    <s v="FNB Wealth and Investments (Wicus Potgieter (Inherited))"/>
    <s v="South Africa"/>
    <s v="FNB"/>
    <s v="31400008458 FNB WI SPM Portside"/>
    <s v="Investment Portfolio Manager"/>
    <s v="11 -15 Years"/>
    <s v="Investor Services"/>
    <s v="8878533"/>
    <x v="530"/>
    <s v="OBR With Fixed Pay"/>
    <s v="White (South Africa)"/>
    <s v="Female"/>
    <s v="20 - 29"/>
    <s v="RMB Private Bank (Kreneshen Moodley)"/>
    <s v="South Africa"/>
    <s v="FNB"/>
    <s v="34100003205 RMBPB JHB Affluent"/>
    <s v="Private Banking Analyst Private Wealth"/>
    <s v="&lt;1 Year"/>
    <s v="Client Relationship Management"/>
    <s v="Create Mentorship Event for Caitlin Stone with Richard Levesque"/>
    <d v="2025-10-01T00:00:00"/>
    <m/>
    <m/>
  </r>
  <r>
    <s v="5080096"/>
    <x v="340"/>
    <s v="Technical Team Leader Mentoring"/>
    <s v="Technical Mentor"/>
    <s v="Full Time Employee"/>
    <s v="Indian (South Africa)"/>
    <s v="Female"/>
    <s v="40 - 49"/>
    <s v="FNB Core Banking Platform (Farieda Mayet (Inherited))"/>
    <s v="South Africa"/>
    <s v="FNB"/>
    <s v="59600007235 FNB Personal and Private IT Home Loans IT Systems"/>
    <s v="Technical Team Leader"/>
    <s v="6 - 10 Years"/>
    <s v="IT Development"/>
    <s v="5179386"/>
    <x v="531"/>
    <s v="Full Time Employee"/>
    <s v="Indian (South Africa)"/>
    <s v="Male"/>
    <s v="20 - 29"/>
    <s v="FNB Core Banking Platform (Liesel Bekker)"/>
    <s v="South Africa"/>
    <s v="FNB"/>
    <s v="59600007235 FNB Personal and Private IT Home Loans IT Systems"/>
    <s v="Developer"/>
    <s v="6 - 10 Years"/>
    <s v="IT Development"/>
    <s v="Create Mentorship Event for Kellan Govender with Asha Rampershad"/>
    <d v="2025-10-02T00:00:00"/>
    <d v="2026-04-30T00:00:00"/>
    <m/>
  </r>
  <r>
    <s v="3794687"/>
    <x v="287"/>
    <s v="To learn how to use tools like Power BI, Lists, and SharePoint in my work. I’m looking to grow my own capability in using these platforms more effectively in my compliance risk role — especially to improve some of the manual processes in our team."/>
    <s v="Technical Mentor"/>
    <s v="Full Time Employee"/>
    <s v="White (South Africa)"/>
    <s v="Female"/>
    <s v="50 - 59"/>
    <s v="RMBSA Technology  IT Security and Access (Angela Henry)"/>
    <s v="South Africa"/>
    <s v="RMB"/>
    <s v="77800000BTZ BTZ-RMB IT Security and Access"/>
    <s v="Information Security Architect"/>
    <s v="11 -15 Years"/>
    <s v="IT Security"/>
    <s v="5067618"/>
    <x v="532"/>
    <s v="Full Time Employee"/>
    <s v="White (South Africa)"/>
    <s v="Male"/>
    <s v="40 - 49"/>
    <s v="FR Life Assurance (Sabiha Khan)"/>
    <s v="South Africa"/>
    <s v="FNB"/>
    <s v="61500010275 FR Life Legal Governance and Compliance"/>
    <s v="Compliance Specialist"/>
    <s v="6 - 10 Years"/>
    <s v="Compliance"/>
    <s v="Create Mentorship Event for Daniel Loots with Aileen Spanier-Marson"/>
    <d v="2025-04-23T00:00:00"/>
    <d v="2026-04-23T00:00:00"/>
    <m/>
  </r>
  <r>
    <s v="3278212"/>
    <x v="341"/>
    <s v="To upskill on Solution Strategist as a role and transition when the mentor finds the mentee ready"/>
    <s v="Career Mentor"/>
    <s v="Full Time Employee"/>
    <s v="Indian (South Africa)"/>
    <s v="Male"/>
    <s v="40 - 49"/>
    <s v="FR Hyphen Sales and Solutions (Gerrie Butler (Inherited))"/>
    <s v="South Africa"/>
    <s v="RMB"/>
    <s v="23300002345 FR Hyphen Commercial and Client Management"/>
    <s v="Business Solutions Head"/>
    <s v="16 - 20 Years"/>
    <s v="Operations"/>
    <s v="8873444"/>
    <x v="533"/>
    <s v="Full Time Employee"/>
    <s v="Indian (South Africa)"/>
    <s v="Female"/>
    <s v="30 - 39"/>
    <s v="FR Hyphen Technology (Morne Moorcroft)"/>
    <s v="South Africa"/>
    <s v="RMB"/>
    <s v="23300002344 FR Hyphen Information Technology"/>
    <s v="Scrum Master"/>
    <s v="1 Year"/>
    <s v="IT Development"/>
    <s v="Create Mentorship Event for Deshnee Boodhram with Sachin Arjun"/>
    <d v="2025-10-01T00:00:00"/>
    <d v="2026-11-30T00:00:00"/>
    <m/>
  </r>
  <r>
    <s v="5179386"/>
    <x v="342"/>
    <s v="To develop my programming skills as a junior developer"/>
    <s v="Technical Mentor"/>
    <s v="Full Time Employee"/>
    <s v="Indian (South Africa)"/>
    <s v="Male"/>
    <s v="20 - 29"/>
    <s v="FNB Core Banking Platform (Liesel Bekker)"/>
    <s v="South Africa"/>
    <s v="FNB"/>
    <s v="59600007235 FNB Personal and Private IT Home Loans IT Systems"/>
    <s v="Developer"/>
    <s v="6 - 10 Years"/>
    <s v="IT Development"/>
    <s v="5624312"/>
    <x v="534"/>
    <s v="Full Time Employee"/>
    <s v="Indian (South Africa)"/>
    <s v="Male"/>
    <s v="20 - 29"/>
    <s v="FNB Core Banking Platform (Farieda Mayet (Inherited))"/>
    <s v="South Africa"/>
    <s v="FNB"/>
    <s v="59600007235 FNB Personal and Private IT Home Loans IT Systems"/>
    <s v="Developer"/>
    <s v="2 Years"/>
    <s v="IT Development"/>
    <s v="Create Mentorship Event for Sherwin Singh with Kellan Govender"/>
    <d v="2025-10-22T00:00:00"/>
    <d v="2026-03-31T00:00:00"/>
    <m/>
  </r>
  <r>
    <s v="5218233"/>
    <x v="343"/>
    <s v="Hi Melissa_x000a_i am an aspiring internal auditor and would like to receive mentorship in this career line. i am currently pursuing my internal audit postgraduate qualification with Unisa while working as a universal advisor. i would really appreciate any kind of mentorship and career guidance i can receive._x000a__x000a_Looking forward to hearing and working with you."/>
    <s v="Career Mentor"/>
    <s v="Full Time Employee"/>
    <s v="Coloured (South Africa)"/>
    <s v="Female"/>
    <s v="30 - 39"/>
    <s v="Group Internal Audit FCC Central IT (Luzuko Dyosi)"/>
    <s v="South Africa"/>
    <s v="FirstRand Corporate Centre"/>
    <s v="20200006029 FRCC Central IT Internal Audit"/>
    <s v="Internal Audit Manager"/>
    <s v="3 - 5 Years"/>
    <s v="Audit, Financial Assurance and Governance"/>
    <s v="4982177"/>
    <x v="535"/>
    <s v="Full Time Employee"/>
    <s v="African (South Africa)"/>
    <s v="Male"/>
    <s v="20 - 29"/>
    <s v="FNB Points of Presence (Alichia Van Eeden)"/>
    <s v="South Africa"/>
    <s v="FNB"/>
    <s v="7710413200 FNB POP Branch Delivery Table Bay Mall"/>
    <s v="Universal Advisor"/>
    <s v="1 Year"/>
    <s v="Client Experience and Value Management"/>
    <s v="Create Mentorship Event for Jabulani Maxwell Masilela with Melissa Delie"/>
    <d v="2025-08-04T00:00:00"/>
    <m/>
    <m/>
  </r>
  <r>
    <s v="2962233"/>
    <x v="265"/>
    <s v="Training on Workday"/>
    <s v="Leadership Mentor"/>
    <s v="Full Time Employee"/>
    <s v="White (South Africa)"/>
    <s v="Male"/>
    <s v="50 - 59"/>
    <s v="FNB Core Banking Platform (Sandy Pillay)"/>
    <s v="South Africa"/>
    <s v="FNB"/>
    <s v="59600005436 FNB Personal and Private IT HR"/>
    <s v="Learning and Development Manager"/>
    <s v="16 - 20 Years"/>
    <s v="Experience Architecting"/>
    <s v="2281961"/>
    <x v="536"/>
    <s v="Full Time Employee"/>
    <s v="Coloured (South Africa)"/>
    <s v="Female"/>
    <s v="50 - 59"/>
    <s v="Segment Chief Information Officer (Allen Pillay)"/>
    <s v="South Africa"/>
    <s v="FNB"/>
    <s v="59600005369 FNB Personal and Private IT Exco"/>
    <s v="Chief Information Officer"/>
    <s v="&lt;1 Year"/>
    <s v="System Design and Administration"/>
    <s v="Create Mentorship Event for Farieda Mayet with Grant Pentelow"/>
    <d v="2025-10-21T00:00:00"/>
    <d v="2025-10-31T00:00:00"/>
    <m/>
  </r>
  <r>
    <s v="4807200"/>
    <x v="311"/>
    <s v="Upskilling myself and learning."/>
    <s v="Technical Mentor"/>
    <s v="Full Time Employee"/>
    <s v="Indian (South Africa)"/>
    <s v="Male"/>
    <s v="40 - 49"/>
    <s v="FNB Credit Card (Jason Viljoen)"/>
    <s v="South Africa"/>
    <s v="FNB"/>
    <s v="20300002954 FNB Card Enabler Digital Payments"/>
    <s v="Business Architect"/>
    <s v="11 -15 Years"/>
    <s v="Business/Systems Analysis"/>
    <s v="5126614"/>
    <x v="537"/>
    <s v="Full Time Employee"/>
    <s v="African (South Africa)"/>
    <s v="Male"/>
    <s v="40 - 49"/>
    <s v="FNB ERP Technology (Rashaad Van Doorsen)"/>
    <s v="South Africa"/>
    <s v="FNB"/>
    <s v="39400004629 FNB CFP IT Operations"/>
    <s v="Systems Administrator"/>
    <s v="6 - 10 Years"/>
    <s v="IT Infrastructure, Support and Maintenance"/>
    <s v="Create Mentorship Event for Joshua Hlanyane with Muhammad Seedat"/>
    <d v="2026-01-20T00:00:00"/>
    <d v="2026-12-31T00:00:00"/>
    <m/>
  </r>
  <r>
    <s v="4709179"/>
    <x v="255"/>
    <m/>
    <s v="Career Mentor"/>
    <s v="Full Time Employee"/>
    <s v="White (South Africa)"/>
    <s v="Female"/>
    <s v="50 - 59"/>
    <s v="FNB Retail Private Wealth Chief Executive Office (Eric Enslin)"/>
    <s v="South Africa"/>
    <s v="FNB"/>
    <s v="34100003287 PB&amp;A EXCO"/>
    <s v="Regional Head"/>
    <s v="11 -15 Years"/>
    <s v="Sales Management"/>
    <s v="5456150"/>
    <x v="538"/>
    <s v="Full Time Employee"/>
    <s v="African (South Africa)"/>
    <s v="Female"/>
    <s v="30 - 39"/>
    <s v="FNB Wealth (Zithulele Mjiako)"/>
    <s v="South Africa"/>
    <s v="FNB"/>
    <s v="34100008803 PB&amp;A Human Capital"/>
    <s v="Human Capital Coordinator"/>
    <s v="1 Year"/>
    <s v="Business Human Capital"/>
    <s v="Create Mentorship Event for Nozipho Nyathi with Elaine Knoetsec"/>
    <d v="2025-10-16T00:00:00"/>
    <m/>
    <m/>
  </r>
  <r>
    <s v="4657810"/>
    <x v="234"/>
    <s v="As a mentee, my purpose is to develop greater confidence and competence in the field of project management. I seek guidance and support to deepen my understanding of strategic decision-making and enhance my time management skills. Through this mentorship, I aim to grow both professionally and personally, gaining practical insights that will empower me to lead projects effectively and contribute meaningfully to organizational success. I am committed to active learning, open communication, and applying the knowledge gained to achieve measurable outcomes."/>
    <s v="Career Mentor"/>
    <s v="Full Time Employee"/>
    <s v="White (South Africa)"/>
    <s v="Male"/>
    <s v="50 - 59"/>
    <s v="FNB Loans (Priscilla Gerber)"/>
    <s v="South Africa"/>
    <s v="FNB"/>
    <s v="69000006171 FNB Retail Enterprise Project Management Office"/>
    <s v="Programme Manager"/>
    <s v="11 -15 Years"/>
    <s v="Programme and Project Management"/>
    <s v="4634217"/>
    <x v="539"/>
    <s v="Full Time Employee"/>
    <s v="African (South Africa)"/>
    <s v="Female"/>
    <s v="30 - 39"/>
    <s v="FNB Retail CDAO (Elezar Alley)"/>
    <s v="South Africa"/>
    <s v="FNB"/>
    <s v="5910701900 FNB Retail CDAO"/>
    <s v="Information Management Specialist"/>
    <s v="11 -15 Years"/>
    <s v="Data Governance and Information Management"/>
    <s v="Create Mentorship Event for Golaotswe Matlala with Coenraad Pretorius"/>
    <d v="2025-11-03T00:00:00"/>
    <d v="2026-10-02T00:00:00"/>
    <m/>
  </r>
  <r>
    <s v="2281961"/>
    <x v="344"/>
    <s v="To enhance leadership skills_x000a_Grow knowledge for accountable business"/>
    <s v="Leadership Mentor"/>
    <s v="Full Time Employee"/>
    <s v="Coloured (South Africa)"/>
    <s v="Female"/>
    <s v="50 - 59"/>
    <s v="Segment Chief Information Officer (Allen Pillay)"/>
    <s v="South Africa"/>
    <s v="FNB"/>
    <s v="59600005369 FNB Personal and Private IT Exco"/>
    <s v="Chief Information Officer"/>
    <s v="&lt;1 Year"/>
    <s v="System Design and Administration"/>
    <s v="5449774"/>
    <x v="540"/>
    <s v="Full Time Employee"/>
    <s v="Coloured (South Africa)"/>
    <s v="Female"/>
    <s v="50 - 59"/>
    <s v="FNB Core Banking Platform (Farieda Mayet)"/>
    <s v="South Africa"/>
    <s v="FNB"/>
    <s v="59600007235 FNB Personal and Private IT Home Loans IT Systems"/>
    <s v="IT Operations Manager"/>
    <s v="3 - 5 Years"/>
    <s v="IT Infrastructure, Support and Maintenance"/>
    <s v="Create Mentorship Event for Megan Schaffers with Farieda Mayet"/>
    <d v="2026-01-01T00:00:00"/>
    <d v="2026-12-31T00:00:00"/>
    <m/>
  </r>
  <r>
    <s v="4905849"/>
    <x v="345"/>
    <s v="Career developement"/>
    <s v="Career Mentor"/>
    <s v="Full Time Employee"/>
    <s v="African (South Africa)"/>
    <s v="Male"/>
    <s v="40 - 49"/>
    <s v="CDO Infrastructure and Security Services (Grant Hassett)"/>
    <s v="South Africa"/>
    <s v="FNB"/>
    <s v="20700001974 CDO Infrastructure and Security Services Information Security Management"/>
    <s v="Information Security Officer"/>
    <s v="6 - 10 Years"/>
    <s v="IT Security"/>
    <s v="5183340"/>
    <x v="405"/>
    <s v="Full Time Employee"/>
    <s v="African (South Africa)"/>
    <s v="Male"/>
    <s v="30 - 39"/>
    <s v="CDO Infrastructure and Security Services (Denis Nhatumbo)"/>
    <s v="South Africa"/>
    <s v="FNB"/>
    <s v="20700008475 CDO Networks and Security Services End User Support"/>
    <s v="Desktop Support Technician"/>
    <s v="6 - 10 Years"/>
    <s v="IT Support"/>
    <s v="Create Mentorship Event for Siphiwe Sitwayi with Tshepiso Matabane"/>
    <d v="2025-10-07T00:00:00"/>
    <d v="2026-12-31T00:00:00"/>
    <m/>
  </r>
  <r>
    <s v="5619289"/>
    <x v="346"/>
    <s v="In-house technical knowledge _x000a__x000a__x000a_To assist in learning and getting up to speed in all the in-house technical knowledge necessary to be a productive member of the team."/>
    <s v="Technical Mentor"/>
    <s v="Full Time Employee"/>
    <s v="African (South Africa)"/>
    <s v="Male"/>
    <s v="20 - 29"/>
    <s v="CDO Kernel Customer (Mpho Mmakola)"/>
    <s v="South Africa"/>
    <s v="FNB"/>
    <s v="79000005422 CDO Kernel OCEP"/>
    <s v="Developer"/>
    <s v="2 Years"/>
    <s v="IT Development"/>
    <s v="8884359"/>
    <x v="541"/>
    <s v="Full Time Employee"/>
    <s v="White (South Africa)"/>
    <s v="Male"/>
    <s v="30 - 39"/>
    <s v="CDO Kernel Customer (Mpho Mmakola)"/>
    <s v="South Africa"/>
    <s v="FNB"/>
    <s v="79000005422 CDO Kernel OCEP"/>
    <s v="Developer"/>
    <s v="&lt;1 Year"/>
    <s v="IT Development"/>
    <s v="Create Mentorship Event for Luke Smith with Menzi Skhosana"/>
    <d v="2025-10-29T00:00:00"/>
    <m/>
    <m/>
  </r>
  <r>
    <s v="3792595"/>
    <x v="347"/>
    <s v="My name is Modiegi Pheto, and I am currently working as a Learning Consultant based in Johannesburg. I recently completed my BCom in Business Management with a focus on Project Management, and I am eager to take the next step in my career journey._x000a_I am reaching out to find how to find a mentor as I transition into a career in Product Management or Project Management. I believe that learning from someone with expertise would provide invaluable guidance as I navigate this path._x000a_My goal is to deepen my understanding of strategic product development, stakeholder engagement, and business impact areas I am passionate about and committed to growing in. I am open to feedback, willing to learn, and excited to contribute meaningfully wherever I can._x000a_I would be truly grateful for the opportunity to connect and learn."/>
    <s v="Career Mentor"/>
    <s v="Full Time Employee"/>
    <s v="African (South Africa)"/>
    <s v="Male"/>
    <s v="50 - 59"/>
    <s v="FNB COO Head Office (Edwin Tait)"/>
    <s v="South Africa"/>
    <s v="FNB"/>
    <s v="69000006171 FNB Retail Enterprise Project Management Office"/>
    <s v="Programme Manager"/>
    <s v="11 -15 Years"/>
    <s v="Programme and Project Management"/>
    <s v="3102238"/>
    <x v="542"/>
    <s v="Full Time Employee"/>
    <s v="African (South Africa)"/>
    <s v="Female"/>
    <s v="40 - 49"/>
    <s v="FNB Retail P Human Capital (Sameegah Boomgaard)"/>
    <s v="South Africa"/>
    <s v="FNB"/>
    <s v="20300008505 FNB Product Learning and Development"/>
    <s v="Learning Consultant"/>
    <s v="16 - 20 Years"/>
    <s v="Experience Architecting"/>
    <s v="Create Mentorship Event for Modiegi Pheto with Frank Dhlamini"/>
    <d v="2025-11-10T00:00:00"/>
    <d v="2026-06-10T00:00:00"/>
    <m/>
  </r>
  <r>
    <s v="5436346"/>
    <x v="337"/>
    <s v="Develop leadership skills. Gaining Confidence in leading, communicating, and listening. Adding value and purpose to every encounter._x000a_Relationship building and networking. Learn how to build relationships and networks across departments and organisations."/>
    <s v="Leadership Mentor"/>
    <s v="Full Time Employee"/>
    <s v="N/A (Zambia)"/>
    <s v="Male"/>
    <s v="40 - 49"/>
    <s v="FNB Zambia Chief Executive Office (Kapumpe Chola)"/>
    <s v="Zambia"/>
    <s v="FNB"/>
    <s v="55300003079 FNB Zambia Information Technology"/>
    <s v="Chief Information Officer"/>
    <s v="3 - 5 Years"/>
    <s v="System Design and Administration"/>
    <s v="5594375"/>
    <x v="543"/>
    <s v="Full Time Employee"/>
    <m/>
    <s v="Female"/>
    <s v="20 - 29"/>
    <s v="FNB Zambia Operations (Brian Milandile)"/>
    <s v="Zambia"/>
    <s v="FNB"/>
    <s v="55300003079 FNB Zambia Information Technology"/>
    <s v="Systems Analyst"/>
    <s v="3 - 5 Years"/>
    <s v="Business/Systems Analysis"/>
    <s v="Create Mentorship Event for Lisa Kabengele with Billy Samuel Mwape"/>
    <d v="2025-10-15T00:00:00"/>
    <m/>
    <m/>
  </r>
  <r>
    <s v="4877594"/>
    <x v="145"/>
    <m/>
    <s v="Career Mentor"/>
    <s v="Full Time Employee"/>
    <s v="African (South Africa)"/>
    <s v="Male"/>
    <s v="30 - 39"/>
    <s v="FNB Private Banking and Advisory (Elaine Knoetsec)"/>
    <s v="South Africa"/>
    <s v="FNB"/>
    <s v="34100003292 PB&amp;A Inland Central"/>
    <s v="Head of Sales Enablement"/>
    <s v="6 - 10 Years"/>
    <s v="Sales Management"/>
    <s v="5047749"/>
    <x v="544"/>
    <s v="Full Time Employee"/>
    <s v="Coloured (South Africa)"/>
    <s v="Female"/>
    <s v="20 - 29"/>
    <s v="FNB eBucks (Baveeta Poonan)"/>
    <s v="South Africa"/>
    <s v="FNB"/>
    <s v="25600005677 FNB eBucks Call Centre"/>
    <s v="Client Service Specialist"/>
    <s v="6 - 10 Years"/>
    <s v="Client Experience and Value Management"/>
    <s v="Create Mentorship Event for Terri Christian with Allen Chapingidza"/>
    <d v="2025-11-04T00:00:00"/>
    <d v="2025-11-28T00:00:00"/>
    <m/>
  </r>
  <r>
    <s v="4535286"/>
    <x v="35"/>
    <s v="Through this mentorship, I aim to:_x000a__x000a_Deepen my understanding of data architecture principles, frameworks, and best practices._x000a__x000a_Strengthen my ability to design scalable, efficient, and secure data solutions aligned with business needs._x000a__x000a_Enhance my skills in data modeling, integration, governance, and platform selection._x000a__x000a_Receive feedback and direction on real-world challenges and projects to accelerate my growth._x000a__x000a_Build confidence in contributing to architectural decisions and long-term data strategy within my organization._x000a__x000a_This mentorship will serve as a valuable opportunity to bridge the gap between theory and practice, and to prepare me for more advanced responsibilities in data architecture."/>
    <s v="Career Mentor"/>
    <s v="Full Time Employee"/>
    <s v="White (South Africa)"/>
    <s v="Female"/>
    <s v="50 - 59"/>
    <s v="FNB Commercial Analytics Insights Data (Patrick Motshweni)"/>
    <s v="South Africa"/>
    <s v="FNB"/>
    <s v="34300005518 FNB Commercial Data Office"/>
    <s v="Information Architect Head"/>
    <s v="11 -15 Years"/>
    <s v="Data Management, Maintenance and Security"/>
    <s v="5317673"/>
    <x v="545"/>
    <s v="Full Time Employee"/>
    <s v="African (South Africa)"/>
    <s v="Female"/>
    <s v="40 - 49"/>
    <s v="FNB Commercial TxP (Doctor Mbende)"/>
    <s v="South Africa"/>
    <s v="FNB"/>
    <s v="39800007912 FNB Commercial TxP Business Intelligence"/>
    <s v="Business Intelligence Developer"/>
    <s v="6 - 10 Years"/>
    <s v="Business Intelligence"/>
    <s v="Create Mentorship Event for Zandile Moloi with Athena Botha"/>
    <d v="2026-01-12T00:00:00"/>
    <d v="2026-12-31T00:00:00"/>
    <m/>
  </r>
  <r>
    <s v="4975278"/>
    <x v="316"/>
    <m/>
    <s v="Career Mentor"/>
    <s v="Full Time Employee"/>
    <s v="African (South Africa)"/>
    <s v="Female"/>
    <s v="30 - 39"/>
    <s v="REMS Real Estate Management Services (Lodi Mothiba)"/>
    <s v="South Africa"/>
    <s v="FNB"/>
    <s v="22300006243 REMS Finance"/>
    <s v="Financial Manager"/>
    <s v="6 - 10 Years"/>
    <s v="Financial Management"/>
    <s v="3060187"/>
    <x v="546"/>
    <s v="Full Time Employee"/>
    <s v="African (South Africa)"/>
    <s v="Female"/>
    <s v="30 - 39"/>
    <s v="REMS Real Estate Management Services (Eugene Mngadi)"/>
    <s v="South Africa"/>
    <s v="FNB"/>
    <s v="22300005122 FNB REMS Owned Property"/>
    <s v="Property Administrator"/>
    <s v="16 - 20 Years"/>
    <s v="Administration"/>
    <s v="Create Mentorship Event for Nandipha Mkhabile with Mashudu Matsila"/>
    <d v="2025-11-18T00:00:00"/>
    <m/>
    <m/>
  </r>
  <r>
    <s v="2281961"/>
    <x v="344"/>
    <s v="Career guidance_x000a__x000a_Develop leadership skills_x000a__x000a_Relationship building and networking"/>
    <s v="Career Mentor"/>
    <s v="Full Time Employee"/>
    <s v="Coloured (South Africa)"/>
    <s v="Female"/>
    <s v="50 - 59"/>
    <s v="Segment Chief Information Officer (Allen Pillay)"/>
    <s v="South Africa"/>
    <s v="FNB"/>
    <s v="59600005369 FNB Personal and Private IT Exco"/>
    <s v="Chief Information Officer"/>
    <s v="&lt;1 Year"/>
    <s v="System Design and Administration"/>
    <s v="5500591"/>
    <x v="547"/>
    <s v="Full Time Employee"/>
    <s v="Coloured (South Africa)"/>
    <s v="Female"/>
    <s v="50 - 59"/>
    <s v="FNB Core Banking Platform (Marius Lombard)"/>
    <s v="South Africa"/>
    <s v="FNB"/>
    <s v="59600005335 FNB Personal and Private IT PMO"/>
    <s v="Project Management Office Portfolio Manager"/>
    <s v="3 - 5 Years"/>
    <s v="Programme and Project Management"/>
    <s v="Create Mentorship Event for Zaida Cornelissen with Farieda Mayet"/>
    <d v="2025-08-01T00:00:00"/>
    <d v="2026-07-31T00:00:00"/>
    <m/>
  </r>
  <r>
    <s v="5441579"/>
    <x v="348"/>
    <s v="The primary purpose of engaging a career mentor during this transition is to provide guidance, support, and practical insights that bridge the gap between business-focused analysis and technical system design. _x000a_1. Role Clarification_x000a_Understand the differences and overlaps between BA and SA roles._x000a_Gain clarity on responsibilities, deliverables, and expectations in a Systems Analyst position._x000a_2. Skill Development_x000a_Identify technical skills required (e.g., system architecture, database design, integration concepts)._x000a_Recommend training resources and certifications relevant to system analysis._x000a_3. Practical Exposure_x000a_Share real-world examples of system analysis projects._x000a_Provide hands-on guidance on tools and methodologies (e.g., UML diagrams, ER modeling, API specifications)._x000a_4. Career Strategy_x000a_Advise on positioning your BA experience to highlight transferable skills._x000a_Help build a transition roadmap with achievable milestones._x000a_5. Networking and Industry Insights_x000a_Introduce you to professional networks and communities._x000a_Offer insights into industry trends and best practices for system analysis._x000a_6. Confidence and Support_x000a_Offer feedback on your progress and areas for improvement._x000a_Act as a sounding board for questions and challenges during the transition."/>
    <s v="Career Mentor"/>
    <s v="Full Time Employee"/>
    <s v="Indian (South Africa)"/>
    <s v="Male"/>
    <s v="40 - 49"/>
    <s v="FNB Core Banking Platform (Johan Van Rooyen)"/>
    <s v="South Africa"/>
    <s v="FNB"/>
    <s v="59600005979 FNB Personal and Private IT Collections IT"/>
    <s v="Systems Analyst"/>
    <s v="3 - 5 Years"/>
    <s v="Business/Systems Analysis"/>
    <s v="8877283"/>
    <x v="548"/>
    <s v="Full Time Employee"/>
    <s v="African (South Africa)"/>
    <s v="Female"/>
    <s v="30 - 39"/>
    <s v="FNB Collections and Platform Enablement (Peter Gibbens)"/>
    <s v="South Africa"/>
    <s v="FNB"/>
    <s v="69000002201 FNB Retail COO Business Analysis"/>
    <s v="Business Analyst"/>
    <s v="1 Year"/>
    <s v="Process and Business Analysis"/>
    <s v="Create Mentorship Event for Sibongile Ubisi with Dane Pillay"/>
    <d v="2025-10-20T00:00:00"/>
    <d v="2026-03-31T00:00:00"/>
    <m/>
  </r>
  <r>
    <s v="5431328"/>
    <x v="338"/>
    <s v="I am in the FirstRand Chief Digital Office, reporting to Kevin Mitchell._x000a_It's been quite a transition from Retail where I was before, and I'm interacting with sets of very senior stakeholders._x000a_FirstRand Coaching suggested that I should reach out to Tswelo who has made himself available as a mentor on the programme, thus I'm reaching out for transition / leadership mentoring."/>
    <s v="Transition Mentor"/>
    <s v="Full Time Employee"/>
    <s v="African (South Africa)"/>
    <s v="Male"/>
    <s v="50 - 59"/>
    <s v="Group Chief Executive Office (Mary Vilakazi)"/>
    <s v="South Africa"/>
    <s v="FirstRand Corporate Centre"/>
    <s v="20200006713 Chief Financial Office"/>
    <s v="Group Chief People Officer"/>
    <s v="3 - 5 Years"/>
    <s v="Business Human Capital"/>
    <s v="5219973"/>
    <x v="549"/>
    <s v="Full Time Employee"/>
    <s v="White (South Africa)"/>
    <s v="Male"/>
    <s v="40 - 49"/>
    <s v="Chief Digital Office Platform Journey (Kevin Mitchell (Inherited))"/>
    <s v="South Africa"/>
    <s v="FirstRand Corporate Centre"/>
    <s v="20200010712 FRCC Platform Journey Office"/>
    <s v="Platform Strategy Lead"/>
    <s v="6 - 10 Years"/>
    <s v="IT Development"/>
    <s v="Create Mentorship Event for Jared Landsman with Tswelo Kodisang"/>
    <d v="2026-01-14T00:00:00"/>
    <m/>
    <m/>
  </r>
  <r>
    <s v="4774515"/>
    <x v="349"/>
    <s v="Refine my leadership and people management skills in order to prepare me to manage larger teams and become eligible for leadership roles within FirstRand."/>
    <s v="Career Mentor"/>
    <s v="Full Time Employee"/>
    <s v="White (South Africa)"/>
    <s v="Male"/>
    <s v="30 - 39"/>
    <s v="FNB Retail Legal Risk and Compliance (Zunade Kader)"/>
    <s v="South Africa"/>
    <s v="FNB"/>
    <s v="85500008236 FNB Retail Legal Risk and Compliance"/>
    <s v="IT Risk Head"/>
    <s v="11 -15 Years"/>
    <s v="IT Governance, Risk and Compliance"/>
    <s v="5096677"/>
    <x v="550"/>
    <s v="Full Time Employee"/>
    <s v="White (South Africa)"/>
    <s v="Male"/>
    <s v="30 - 39"/>
    <s v="FNB Points of Presence (Guy Wigg)"/>
    <s v="South Africa"/>
    <s v="FNB"/>
    <s v="7710645500 FNB POP Risk Assurance"/>
    <s v="IT Risk Manager"/>
    <s v="6 - 10 Years"/>
    <s v="IT Governance, Risk and Compliance"/>
    <s v="Create Mentorship Event for Dyllin Dannhauser with Jaco Loots"/>
    <d v="2025-12-01T00:00:00"/>
    <d v="2026-06-30T00:00:00"/>
    <m/>
  </r>
  <r>
    <s v="4805062"/>
    <x v="45"/>
    <s v="I would like help on creating mentorship for Points of presence"/>
    <s v="Technical Mentor"/>
    <s v="Full Time Employee"/>
    <s v="Indian (South Africa)"/>
    <s v="Male"/>
    <s v="30 - 39"/>
    <s v="Group Human Capital (Dudu Moloko)"/>
    <s v="South Africa"/>
    <s v="FirstRand Corporate Centre"/>
    <s v="20200007954 FRCC People Governance Learning Compliance"/>
    <s v="Leadership Development Specialist"/>
    <s v="11 -15 Years"/>
    <s v="Experience Architecting"/>
    <s v="5108136"/>
    <x v="551"/>
    <s v="Full Time Employee"/>
    <s v="African (South Africa)"/>
    <s v="Male"/>
    <s v="30 - 39"/>
    <s v="FNB Points of Presence (Michael Meyer)"/>
    <s v="South Africa"/>
    <s v="FNB"/>
    <s v="7710710200 FNB POP Learning and Development"/>
    <s v="Learning Coordinator"/>
    <s v="6 - 10 Years"/>
    <s v="Experience Architecting"/>
    <s v="Create Mentorship Event for Mawande Ngcai with Zaheer Ismail"/>
    <d v="2025-12-11T00:00:00"/>
    <d v="2026-06-19T00:00:00"/>
    <m/>
  </r>
  <r>
    <s v="3384292"/>
    <x v="37"/>
    <m/>
    <s v="Leadership Mentor"/>
    <s v="Full Time Employee"/>
    <s v="Racially disadvantaged (Namibia)"/>
    <s v="Female"/>
    <s v="50 - 59"/>
    <s v="FNB Namibia Limited (Wiann Mans)"/>
    <s v="Namibia"/>
    <s v="FNB"/>
    <s v="302031B9D555 FNB Namibia Human Capital"/>
    <s v="Learning and Development Manager"/>
    <s v="11 -15 Years"/>
    <s v="Experience Architecting"/>
    <s v="4901371"/>
    <x v="552"/>
    <s v="Full Time Employee"/>
    <s v="Racially disadvantaged (Namibia)"/>
    <s v="Female"/>
    <s v="30 - 39"/>
    <s v="FNB Namibia Limited (Mirjam Alugodhi)"/>
    <s v="Namibia"/>
    <s v="FNB"/>
    <s v="302000001498 FNB Namibia Far North Area Office Outapi"/>
    <s v="Client Service Representative"/>
    <s v="6 - 10 Years"/>
    <s v="Client Experience and Value Management"/>
    <s v="Create Mentorship Event for Hilde Josef with Annastasia Williams"/>
    <d v="2026-06-25T00:00:00"/>
    <m/>
    <m/>
  </r>
  <r>
    <s v="5258219"/>
    <x v="350"/>
    <s v="To grow professionally and develop in my career journey: _x000a_Areas of Focus:_x000a__x000a_Career Guidance_x000a__x000a_Skills Development_x000a__x000a_Goals and Accountability_x000a__x000a_Confidence Building_x000a__x000a_Knowledge Transfer_x000a__x000a_Networking"/>
    <s v="Career Mentor"/>
    <s v="Full Time Employee"/>
    <s v="African (South Africa)"/>
    <s v="Female"/>
    <s v="30 - 39"/>
    <s v="FNB Commercial TxP (Lauren Deva)"/>
    <s v="South Africa"/>
    <s v="FNB"/>
    <s v="39800004465 FNB Commercial TxP Transact Products"/>
    <s v="Product Manager"/>
    <s v="6 - 10 Years"/>
    <s v="Product Management"/>
    <s v="3363813"/>
    <x v="553"/>
    <s v="Full Time Employee"/>
    <s v="African (South Africa)"/>
    <s v="Female"/>
    <s v="40 - 49"/>
    <s v="FNB Commercial Sales Gauteng South and Central (Caiphus Nyuswa)"/>
    <s v="South Africa"/>
    <s v="FNB"/>
    <s v="34300006534 FNB Commercial Growth Gauteng South West South"/>
    <s v="Business Manager"/>
    <s v="16 - 20 Years"/>
    <s v="Business Development"/>
    <s v="Create Mentorship Event for Nomthunzi Bangani with Umphile Moroe"/>
    <d v="2025-12-15T00:00:00"/>
    <m/>
    <m/>
  </r>
  <r>
    <s v="2024721"/>
    <x v="207"/>
    <s v="My commitment to growth and willingness to take action."/>
    <s v="Career Mentor"/>
    <s v="Full Time Employee"/>
    <s v="White (South Africa)"/>
    <s v="Male"/>
    <s v="50 - 59"/>
    <s v="FNB Commercial Chief Information Office (Ismail Sibda)"/>
    <s v="South Africa"/>
    <s v="FNB"/>
    <s v="34200007536 FNB Commercial CJP Exco"/>
    <s v="Business Unit Chief Information Officer"/>
    <s v="11 -15 Years"/>
    <s v="System Design and Administration"/>
    <s v="5565391"/>
    <x v="554"/>
    <s v="Full Time Employee"/>
    <m/>
    <s v="Male"/>
    <s v="20 - 29"/>
    <s v="Ghana Support Functions (Alberta Cudjoe)"/>
    <s v="Ghana"/>
    <s v="FNB"/>
    <s v="55400008999 Ghana Ops Risk and Projects"/>
    <s v="Securities Custodian"/>
    <s v="&lt;1 Year"/>
    <s v="Operations"/>
    <s v="Create Mentorship Event for Richard Pettey-Agamatey with Gary Frank"/>
    <d v="2026-02-02T00:00:00"/>
    <m/>
    <m/>
  </r>
  <r>
    <s v="4865952"/>
    <x v="91"/>
    <s v="As a Business Banker, I am committed to deepening my strategic impact and strengthening the value I bring to clients and the organisation. Through a mentoring relationship, I aim to enhance my ability to structure more complex business solutions, sharpen my leadership capability, and broaden my understanding of the wider business ecosystem."/>
    <s v="Career Mentor"/>
    <s v="Full Time Employee"/>
    <s v="African (South Africa)"/>
    <s v="Male"/>
    <s v="40 - 49"/>
    <s v="FNB Commercial Sales Gauteng South and Central (Caiphus Nyuswa)"/>
    <s v="South Africa"/>
    <s v="FNB"/>
    <s v="34300006534 FNB Commercial Growth Gauteng South West South"/>
    <s v="Business Manager"/>
    <s v="6 - 10 Years"/>
    <s v="Business Development"/>
    <s v="8885882"/>
    <x v="555"/>
    <s v="Full Time Employee"/>
    <s v="African (Botswana)"/>
    <s v="Male"/>
    <s v="30 - 39"/>
    <s v="FNB Botswana Commercial (Tiro Kgasa)"/>
    <s v="Botswana"/>
    <s v="FNB"/>
    <s v="5010160150 FNB Botswana Commercial SME Banking"/>
    <s v="Business Banker"/>
    <s v="&lt;1 Year"/>
    <s v="Client Relationship Management"/>
    <s v="Create Mentorship Event for Thebe Ditshego with Bruce Ncube"/>
    <d v="2026-01-19T00:00:00"/>
    <d v="2026-08-21T00:00:00"/>
    <m/>
  </r>
  <r>
    <s v="8876892"/>
    <x v="351"/>
    <s v="TESTING for incoming mentees"/>
    <s v="Transition Mentor"/>
    <s v="Full Time Employee"/>
    <s v="African (South Africa)"/>
    <s v="Male"/>
    <s v="20 - 29"/>
    <s v="FNB Central Finance (Siyasanga Makiwane)"/>
    <s v="South Africa"/>
    <s v="FNB"/>
    <s v="39400004965 FNB Finance Analytics"/>
    <s v="Data Scientist"/>
    <s v="1 Year"/>
    <s v="Analytics"/>
    <s v="8877127"/>
    <x v="556"/>
    <s v="Full Time Employee"/>
    <s v="African (South Africa)"/>
    <s v="Male"/>
    <s v="20 - 29"/>
    <s v="FNB Loans (Kgomotso Sebitlo)"/>
    <s v="South Africa"/>
    <s v="FNB"/>
    <s v="79100009082 FNB Consumer Loans Support Credit"/>
    <s v="Data Scientist"/>
    <s v="1 Year"/>
    <s v="Analytics"/>
    <s v="Close Mentorship Event for Nathan Ngqwebo with Malamba Lavhengwa_x000a__x000a_Create Mentorship Event for Nathan Ngqwebo with Malamba Lavhengwa"/>
    <d v="2026-01-16T00:00:00"/>
    <d v="2026-01-17T00:00:00"/>
    <s v="Mentoring Needs Fulfilled"/>
  </r>
  <r>
    <s v="3792145"/>
    <x v="108"/>
    <s v="I am seeking a mentor to support me in the next stage of my professional growth, particularly in strengthening my leadership capabilities, expanding my organisational knowledge, and enhancing my relationship‑building and networking skills._x000a_As someone who recently re-joined the bank, I recognise the importance of developing a strong leadership presence one that inspires others, drives collaboration, and supports strategic delivery. I believe that learning from a mentor who has successfully navigated similar challenges will help me refine my leadership style, improve decision‑making, and build greater confidence in leading teams and initiatives."/>
    <s v="Leadership Mentor"/>
    <s v="Full Time Employee"/>
    <s v="African (South Africa)"/>
    <s v="Female"/>
    <s v="40 - 49"/>
    <s v="FNB COO Head Office (Nkoka Sekotlong)"/>
    <s v="South Africa"/>
    <s v="FNB"/>
    <s v="69000006171 FNB Retail Enterprise Project Management Office"/>
    <s v="Programme Manager"/>
    <s v="6 - 10 Years"/>
    <s v="Programme and Project Management"/>
    <s v="5300207"/>
    <x v="557"/>
    <s v="Full Time Employee"/>
    <s v="African (South Africa)"/>
    <s v="Female"/>
    <s v="30 - 39"/>
    <s v="FNB Private Core Banking (Darpana Vallabh)"/>
    <s v="South Africa"/>
    <s v="FNB"/>
    <s v="69000006171 FNB Retail Enterprise Project Management Office"/>
    <s v="Project Manager"/>
    <s v="&lt;1 Year"/>
    <s v="Programme and Project Management"/>
    <s v="Create Mentorship Event for Dineo Makgota with Mpumie Twala"/>
    <d v="2026-02-02T00:00:00"/>
    <d v="2026-12-04T00:00:00"/>
    <m/>
  </r>
  <r>
    <s v="5546885"/>
    <x v="210"/>
    <s v="I am seeking mentorship to support my transition into a Finance-focused role, specifically as a Financial Accountant or Financial Administrator within FNB. I currently work as an Online Business Banker and hold a National Diploma in Accounting, along with a certificate in Commercial Accounting. I will also be enrolling for an Advanced Diploma in Accounting Science._x000a__x000a_I am motivated to learn from someone who has successfully navigated the Finance path within the organization. Your journey from Financial Accountant to Financial Manager strongly resonates with my own career aspirations, and I believe your guidance would be invaluable in helping me bridge the gap between my current role and my long-term goals._x000a__x000a_Through this mentoring relationship, I hope to gain practical insight into Finance roles, strengthen my technical and professional skills, understand how to position myself for internal opportunities, and grow with clarity and confidence within the FirstRand Group. I am committed, eager to learn, and deeply invested in building a meaningful and sustainable career in Finance."/>
    <s v="Career Mentor"/>
    <s v="Full Time Employee"/>
    <s v="African (South Africa)"/>
    <s v="Male"/>
    <s v="30 - 39"/>
    <s v="FNB Commercial TxP (Phillip Mthimunye)"/>
    <s v="South Africa"/>
    <s v="FNB"/>
    <s v="39800003339 FNB Commercial TxP Finance"/>
    <s v="Financial Manager"/>
    <s v="3 - 5 Years"/>
    <s v="Financial Management"/>
    <s v="5604273"/>
    <x v="558"/>
    <s v="Full Time Employee"/>
    <s v="African (South Africa)"/>
    <s v="Male"/>
    <s v="20 - 29"/>
    <s v="FNB Business CXC (Sibahle Mazibuko)"/>
    <s v="South Africa"/>
    <s v="FNB"/>
    <s v="34300009996 FNB Business CXC OBE"/>
    <s v="Business Banking Advisor"/>
    <s v="&lt;1 Year"/>
    <s v="Client Experience and Value Management"/>
    <s v="Create Mentorship Event for Thandubuhle Sompetha with Mongezi Mahlangu"/>
    <d v="2026-01-08T00:00:00"/>
    <d v="2027-01-04T00:00:00"/>
    <m/>
  </r>
  <r>
    <s v="3243605"/>
    <x v="165"/>
    <s v="Purpose majorly centered around strategic growth, influence, and positioning for senior leadership._x000a__x000a_Develop leadership skills_x000a__x000a_Broaden organisational knowledge_x000a__x000a_Relationship building and networking"/>
    <s v="Leadership Mentor"/>
    <s v="Full Time Employee"/>
    <m/>
    <s v="Female"/>
    <s v="40 - 49"/>
    <s v="FNB Rand Merchant Bank Botswana (Harriet Mlalazi)"/>
    <s v="Botswana"/>
    <s v="FNB"/>
    <s v="5010342500 RMB Botswana Flow Risk"/>
    <s v="Global Market Head"/>
    <s v="6 - 10 Years"/>
    <s v="Investor Services"/>
    <s v="8875889"/>
    <x v="559"/>
    <s v="Full Time Employee"/>
    <s v="African (Botswana)"/>
    <s v="Female"/>
    <s v="30 - 39"/>
    <s v="FNB Botswana Treasury (Tshepiso Mokgethi-Magapa)"/>
    <s v="Botswana"/>
    <s v="FNB"/>
    <s v="501071800 FNB Botswana Treasury Head Office"/>
    <s v="Treasury Risk Manager"/>
    <s v="1 Year"/>
    <s v="Operational Risk"/>
    <s v="Create Mentorship Event for Gomolemo Rabalone with Baile Corrigan"/>
    <d v="2026-03-01T00:00:00"/>
    <d v="2027-02-28T00:00:00"/>
    <m/>
  </r>
  <r>
    <s v="3384292"/>
    <x v="37"/>
    <m/>
    <s v="Career Mentor"/>
    <s v="Full Time Employee"/>
    <s v="Racially disadvantaged (Namibia)"/>
    <s v="Female"/>
    <s v="50 - 59"/>
    <s v="FNB Namibia Limited (Wiann Mans)"/>
    <s v="Namibia"/>
    <s v="FNB"/>
    <s v="302031B9D555 FNB Namibia Human Capital"/>
    <s v="Learning and Development Manager"/>
    <s v="11 -15 Years"/>
    <s v="Experience Architecting"/>
    <s v="5225310"/>
    <x v="560"/>
    <s v="Full Time Employee"/>
    <s v="Racially disadvantaged (Namibia)"/>
    <s v="Female"/>
    <s v="40 - 49"/>
    <s v="FNB Namibia Limited (Christophine Shiikwa)"/>
    <s v="Namibia"/>
    <s v="FNB"/>
    <s v="302000001404 FNB Namibia Contact Centre"/>
    <s v="Call Centre Agent"/>
    <s v="11 -15 Years"/>
    <s v="Client Services Support and Delivery"/>
    <s v="Create Mentorship Event for Ragel Shivute with Annastasia Williams"/>
    <d v="2026-01-08T00:00:00"/>
    <d v="2026-01-12T00:00:00"/>
    <m/>
  </r>
  <r>
    <s v="8871829"/>
    <x v="352"/>
    <s v="1. Goal 1, Learn how to be a good group leader and to learn how to work with other people as a group _x000a__x000a_2. Goal 2, Work with passion and purpose_x000a__x000a_3. Goal 3, Have a good working experience and good customer service provider"/>
    <s v="Transition Mentor"/>
    <s v="Full Time Employee"/>
    <s v="African (South Africa)"/>
    <s v="Male"/>
    <s v="20 - 29"/>
    <s v="FNB HSL (Shawnee Williams)"/>
    <s v="South Africa"/>
    <s v="FNB"/>
    <s v="21200006825 HSL Registrations and On Board Cluster 3"/>
    <s v="Data Scientist"/>
    <s v="1 Year"/>
    <s v="Analytics"/>
    <s v="8884132"/>
    <x v="561"/>
    <s v="FirstJob 18.2 Internal"/>
    <s v="African (South Africa)"/>
    <s v="Female"/>
    <s v="20 - 29"/>
    <s v="FNB Personal Segment Advisory and Suites (Ashleigh Tombeen)"/>
    <s v="South Africa"/>
    <s v="FNB"/>
    <s v="47100005652 FNB Youth Employment Scheme"/>
    <s v="FirstJob Learner"/>
    <s v="&lt;1 Year"/>
    <s v="Specialised Development Programs (Graduate/ Trainee)"/>
    <s v="Create Mentorship Event for Pfarelo Shyleen Mudau with Caleb Sindi"/>
    <d v="2026-01-27T00:00:00"/>
    <d v="2026-09-30T00:00:00"/>
    <m/>
  </r>
  <r>
    <s v="8876185"/>
    <x v="353"/>
    <s v="1. Building strong work ethic and helping customers_x000a_2. Getting an advisor position_x000a_3. Career growth"/>
    <s v="Transition Mentor"/>
    <s v="Full Time Employee"/>
    <s v="White (South Africa)"/>
    <s v="Male"/>
    <s v="20 - 29"/>
    <s v="FNB Credit Card (Mark Liao)"/>
    <s v="South Africa"/>
    <s v="FNB"/>
    <s v="20300008486 FNB Credit Card Credit"/>
    <s v="Data Scientist"/>
    <s v="1 Year"/>
    <s v="Analytics"/>
    <s v="8885576"/>
    <x v="562"/>
    <s v="FirstJob 18.2 Internal"/>
    <s v="African (South Africa)"/>
    <s v="Female"/>
    <s v="20 - 29"/>
    <s v="FNB Points of Presence (Ntsikelelo Kupiso)"/>
    <s v="South Africa"/>
    <s v="FNB"/>
    <s v="7710710300 FNB POP Branch Delivery Youth Development"/>
    <s v="FirstJob Learner"/>
    <s v="&lt;1 Year"/>
    <s v="Specialised Development Programs (Graduate/ Trainee)"/>
    <s v="Create Mentorship Event for Anelisa John with Costa Hagios"/>
    <d v="2026-01-27T00:00:00"/>
    <d v="2026-11-30T00:00:00"/>
    <m/>
  </r>
  <r>
    <s v="8877693"/>
    <x v="354"/>
    <s v="I am particularly interested in gaining career guidance, building strong professional relationships and learning how to network effectively within the organisation and the broader financial industry. I believe that exposure to real experience, honest feedback and practical advice will help me make informed decisions and position myself for growth opportunities._x000a__x000a_My goal is to develop a strong professional presence and make informed career decisions, while building strong leadership skills."/>
    <s v="Career Mentor"/>
    <s v="Full Time Employee"/>
    <s v="African (South Africa)"/>
    <s v="Male"/>
    <s v="20 - 29"/>
    <s v="FNB ConnectMe (Desree Riba)"/>
    <s v="South Africa"/>
    <s v="FNB"/>
    <s v="47100001963 CoE Graduate Programme"/>
    <s v="Graduate Programme"/>
    <s v="1 Year"/>
    <s v="Specialised Development Programs (Graduate/ Trainee)"/>
    <s v="8885688"/>
    <x v="563"/>
    <s v="FirstJob 18.2 Internal"/>
    <s v="African (South Africa)"/>
    <s v="Female"/>
    <s v="20 - 29"/>
    <s v="FNB Points of Presence (Barbara Hlachwayo)"/>
    <s v="South Africa"/>
    <s v="FNB"/>
    <s v="7710710300 FNB POP Branch Delivery Youth Development"/>
    <s v="FirstJob Learner"/>
    <s v="&lt;1 Year"/>
    <s v="Specialised Development Programs (Graduate/ Trainee)"/>
    <s v="Create Mentorship Event for Azwi Singo with Gudani Khuswana"/>
    <d v="2026-01-27T00:00:00"/>
    <d v="2026-11-30T00:00:00"/>
    <m/>
  </r>
  <r>
    <s v="5597900"/>
    <x v="321"/>
    <s v="Hello_x000a__x000a_I hope you’re well. My name is Mbhalenhle Mahuhushi, and I recently joined RMB in October 2025 through the Operations Experience Graduate Programme. I’m currently placed within the GoldenSource Business Analysis team under Munnera._x000a__x000a_I came across your profile on LinkedIn and was really inspired by your journey. Even though our educational backgrounds are quite different, I deeply admire the depth of your expertise and the direction your career has taken. Your work sits in a space I’m very interested in exploring and eventually growing into._x000a__x000a_I’m currently in a stage where I’m trying to strengthen my technical capabilities, sharpen my analytical thinking, and broaden my understanding of the business. I would really appreciate the opportunity to learn from you, whether through occasional conversations, guidance on development areas, or any insights you feel would help someone early in their career._x000a__x000a_If you’re open to it, I would be grateful for the chance to connect and potentially explore a mentorship relationship."/>
    <s v="Technical Mentor"/>
    <s v="Full Time Employee"/>
    <s v="African (South Africa)"/>
    <s v="Male"/>
    <s v="30 - 39"/>
    <s v="FNB Core Banking Platform (Johan Van Rooyen)"/>
    <s v="South Africa"/>
    <s v="FNB"/>
    <s v="59600005979 FNB Personal and Private IT Collections IT"/>
    <s v="Systems Analyst"/>
    <s v="3 - 5 Years"/>
    <s v="Business/Systems Analysis"/>
    <s v="8884622"/>
    <x v="564"/>
    <s v="FirstJob 18.2 Internal"/>
    <s v="African (South Africa)"/>
    <s v="Female"/>
    <s v="20 - 29"/>
    <s v="RMBSA Operations Product Owner Golden Source (Muneera Khan)"/>
    <s v="South Africa"/>
    <s v="RMB"/>
    <s v="77800000RMJ RMBSA Central COO Leadership Team"/>
    <s v="FirstJob Graduate"/>
    <s v="&lt;1 Year"/>
    <s v="Specialised Development Programs (Graduate/ Trainee)"/>
    <s v="Create Mentorship Event for Mbhalenhle Mahuhushi with Aobakwe Kgobokoe"/>
    <d v="2026-01-27T00:00:00"/>
    <m/>
    <m/>
  </r>
  <r>
    <s v="8876185"/>
    <x v="353"/>
    <s v="Goal 1-Learn more about the work process of bank_x000a_Goal 2 -help in delivering advice in finacial aspects_x000a_Goal 3 - Gaining as much as much experience and knowledge about FNB  as a whole and how to grow within the company"/>
    <s v="Transition Mentor"/>
    <s v="Full Time Employee"/>
    <s v="White (South Africa)"/>
    <s v="Male"/>
    <s v="20 - 29"/>
    <s v="FNB Credit Card (Mark Liao)"/>
    <s v="South Africa"/>
    <s v="FNB"/>
    <s v="20300008486 FNB Credit Card Credit"/>
    <s v="Data Scientist"/>
    <s v="1 Year"/>
    <s v="Analytics"/>
    <s v="8885690"/>
    <x v="565"/>
    <s v="FirstJob 18.2 Internal"/>
    <s v="African (South Africa)"/>
    <s v="Female"/>
    <s v="30 - 39"/>
    <s v="FNB Points of Presence (Siyabonga Mncwabe)"/>
    <s v="South Africa"/>
    <s v="FNB"/>
    <s v="7710710300 FNB POP Branch Delivery Youth Development"/>
    <s v="FirstJob Learner"/>
    <s v="&lt;1 Year"/>
    <s v="Specialised Development Programs (Graduate/ Trainee)"/>
    <s v="Create Mentorship Event for Buhlebendalo Mbele with Costa Hagios"/>
    <d v="2026-01-27T00:00:00"/>
    <d v="2026-11-30T00:00:00"/>
    <m/>
  </r>
  <r>
    <s v="0186767"/>
    <x v="294"/>
    <s v="I hope this finds you well. I am writing to express my request to be considered as a mentee._x000a_As of May 2025, I have enrolled in a learnership program for RISK PRACTITIONER NQF LEVEL 6, and I believe that structured guidance from an experienced mentor would be invaluable in accelerating my growth. I am eager to gain insight into my career with more knowledge and skills._x000a_My goal is to use the knowledge gained and add greater value to the team and the company._x000a_I hope you would consider my request, and I look forward to the possibility of learning and growing through this mentorship opportunity."/>
    <s v="Career Mentor"/>
    <s v="Full Time Employee"/>
    <s v="White (South Africa)"/>
    <s v="Male"/>
    <s v="50 - 59"/>
    <s v="FNB Credit Card Legal Risk and Compliance (Robert Cawse)"/>
    <s v="South Africa"/>
    <s v="FNB"/>
    <s v="39400001973 FNB Chief Risk Office Retail and Commercial Compliance"/>
    <s v="Compliance Practice Lead"/>
    <s v="&gt;20 Years"/>
    <s v="Compliance"/>
    <s v="3973921"/>
    <x v="566"/>
    <s v="Full Time Employee"/>
    <s v="African (South Africa)"/>
    <s v="Female"/>
    <s v="30 - 39"/>
    <s v="FNB Private Core Banking (Cordelia Martin)"/>
    <s v="South Africa"/>
    <s v="FNB"/>
    <s v="69000007618 FNB Retail COO Customer Fulfilment"/>
    <s v="Administrator"/>
    <s v="3 - 5 Years"/>
    <s v="Administration"/>
    <s v="Create Mentorship Event for Nhlanhla Shongwe with Nicholas Litton"/>
    <d v="2026-02-03T00:00:00"/>
    <d v="2026-03-27T00:00:00"/>
    <m/>
  </r>
  <r>
    <s v="8876703"/>
    <x v="355"/>
    <s v="This year I want to achieve the following:_x000a_1. Secure my career foundation_x000a_2. Sharpen my professional skills_x000a_3. Get my finances under control"/>
    <s v="Transition Mentor"/>
    <s v="Full Time Employee"/>
    <s v="African (South Africa)"/>
    <s v="Female"/>
    <s v="20 - 29"/>
    <s v="FNB Credit Card (Mahlako Mabitsi)"/>
    <s v="South Africa"/>
    <s v="FNB"/>
    <s v="20300002843 FNB Credit Card Premium Growth"/>
    <s v="Graduate Programme"/>
    <s v="1 Year"/>
    <s v="Specialised Development Programs (Graduate/ Trainee)"/>
    <s v="8884357"/>
    <x v="567"/>
    <s v="FirstJob 18.2 Internal"/>
    <s v="African (South Africa)"/>
    <s v="Female"/>
    <s v="20 - 29"/>
    <s v="FNB Wealth and Investments (Melany Woods)"/>
    <s v="South Africa"/>
    <s v="FNB"/>
    <s v="47100005652 FNB Youth Employment Scheme"/>
    <s v="FirstJob Learner"/>
    <s v="&lt;1 Year"/>
    <s v="Specialised Development Programs (Graduate/ Trainee)"/>
    <s v="Create Mentorship Event for Nomosebenzi Zwane with Noluthando Buthelezi"/>
    <d v="2026-01-27T00:00:00"/>
    <d v="2026-10-31T00:00:00"/>
    <m/>
  </r>
  <r>
    <s v="8870860"/>
    <x v="356"/>
    <m/>
    <s v="Leadership Mentor"/>
    <s v="Full Time Employee"/>
    <s v="African (South Africa)"/>
    <s v="Male"/>
    <s v="20 - 29"/>
    <s v="FNB Commercial Sales Gauteng (Zakhele Maseko)"/>
    <s v="South Africa"/>
    <s v="FNB"/>
    <s v="34200006248 FNB Commercial Sales Gauteng Klipriver 60 to 150M"/>
    <s v="Client Portfolio Analyst"/>
    <s v="2 Years"/>
    <s v="Client Services Support and Delivery"/>
    <s v="8884199"/>
    <x v="568"/>
    <s v="FirstJob 18.2 Internal"/>
    <s v="African (South Africa)"/>
    <s v="Male"/>
    <s v="20 - 29"/>
    <s v="FNB Wealth and Investments (Wojciech Boryna)"/>
    <s v="South Africa"/>
    <s v="FNB"/>
    <s v="47100005652 FNB Youth Employment Scheme"/>
    <s v="FirstJob Learner"/>
    <s v="&lt;1 Year"/>
    <s v="Specialised Development Programs (Graduate/ Trainee)"/>
    <s v="Create Mentorship Event for Shawn Tshinabe with Liso Tabata"/>
    <d v="2026-01-27T00:00:00"/>
    <m/>
    <m/>
  </r>
  <r>
    <s v="8870818"/>
    <x v="357"/>
    <s v="Good day I was informed to find my mentor"/>
    <s v="Leadership Mentor"/>
    <s v="Full Time Employee"/>
    <s v="African (South Africa)"/>
    <s v="Male"/>
    <s v="20 - 29"/>
    <s v="WB Motor Risk Management (Thato Mogapi)"/>
    <s v="South Africa"/>
    <s v="WesBank"/>
    <s v="30101040000 WB Post Origination"/>
    <s v="Data Scientist"/>
    <s v="2 Years"/>
    <s v="Analytics"/>
    <s v="8885565"/>
    <x v="569"/>
    <s v="FirstJob 18.2 Internal"/>
    <s v="African (South Africa)"/>
    <s v="Female"/>
    <s v="20 - 29"/>
    <s v="FNB Points of Presence (Magauta Kubai (Inherited))"/>
    <s v="South Africa"/>
    <s v="FNB"/>
    <s v="7710710300 FNB POP Branch Delivery Youth Development"/>
    <s v="FirstJob Learner"/>
    <s v="&lt;1 Year"/>
    <s v="Specialised Development Programs (Graduate/ Trainee)"/>
    <s v="Create Mentorship Event for Thabang Monicca Mokobela with Isaac Chauque"/>
    <d v="2026-01-27T00:00:00"/>
    <d v="2026-11-28T00:00:00"/>
    <m/>
  </r>
  <r>
    <s v="4535286"/>
    <x v="35"/>
    <s v="One of my main goals is to grow in the Business Intelligence and Data Analysis space, as I’m passionate about using data to solve problems and support better decision‑making."/>
    <s v="Career Mentor"/>
    <s v="Full Time Employee"/>
    <s v="White (South Africa)"/>
    <s v="Female"/>
    <s v="50 - 59"/>
    <s v="FNB Commercial Analytics Insights Data (Patrick Motshweni)"/>
    <s v="South Africa"/>
    <s v="FNB"/>
    <s v="34300005518 FNB Commercial Data Office"/>
    <s v="Information Architect Head"/>
    <s v="11 -15 Years"/>
    <s v="Data Management, Maintenance and Security"/>
    <s v="5487390"/>
    <x v="570"/>
    <s v="Full Time Employee"/>
    <s v="African (South Africa)"/>
    <s v="Female"/>
    <s v="30 - 39"/>
    <s v="FNB Private Banking and Advisory (Ryan Bhugwandeen)"/>
    <s v="South Africa"/>
    <s v="FNB"/>
    <s v="34100007232 PB&amp;A Service Suite Advisor Engagement"/>
    <s v="Team Leader"/>
    <s v="3 - 5 Years"/>
    <s v="Operations"/>
    <s v="Create Mentorship Event for Daisy Maseko with Athena Botha"/>
    <d v="2026-02-06T00:00:00"/>
    <d v="2027-02-26T00:00:00"/>
    <m/>
  </r>
  <r>
    <s v="8876417"/>
    <x v="358"/>
    <s v="1] Would love to learn more about the banking world and do my best to succeed within this learnership.  _x000a_2] Would love to build myself within the banking world to grow and expend my experience. _x000a_3] Would love to build myself with this learnership and gain as much knowledge as possible, and network as much as i can for bigger and better opportunities."/>
    <s v="Transition Mentor"/>
    <s v="Full Time Employee"/>
    <s v="Indian (South Africa)"/>
    <s v="Male"/>
    <s v="20 - 29"/>
    <s v="FNB Dynamic Decisioning (Rene Meintjes)"/>
    <s v="South Africa"/>
    <s v="FNB"/>
    <s v="23900003941 FNB Dynamic Decisioning Cortex"/>
    <s v="Developer"/>
    <s v="1 Year"/>
    <s v="IT Development"/>
    <s v="8884146"/>
    <x v="571"/>
    <s v="FirstJob 18.2 Internal"/>
    <s v="African (South Africa)"/>
    <s v="Male"/>
    <s v="20 - 29"/>
    <s v="FNB Personal Core Banking (Matlhodi Tshabalala)"/>
    <s v="South Africa"/>
    <s v="FNB"/>
    <s v="47100005652 FNB Youth Employment Scheme"/>
    <s v="FirstJob Learner"/>
    <s v="&lt;1 Year"/>
    <s v="Specialised Development Programs (Graduate/ Trainee)"/>
    <s v="Create Mentorship Event for Tidimalo Monyai with Kaylyn Karuppen"/>
    <d v="2026-01-27T00:00:00"/>
    <d v="2026-10-13T00:00:00"/>
    <m/>
  </r>
  <r>
    <s v="5667151"/>
    <x v="359"/>
    <m/>
    <s v="Leadership Mentor"/>
    <s v="Full Time Employee"/>
    <s v="White (South Africa)"/>
    <s v="Female"/>
    <s v="20 - 29"/>
    <s v="FNB eBucks (Danielle Van Wyk)"/>
    <s v="South Africa"/>
    <s v="FNB"/>
    <s v="25600008917 FNB eBucks Financial Modelling"/>
    <s v="Data Scientist"/>
    <s v="1 Year"/>
    <s v="Analytics"/>
    <s v="8884206"/>
    <x v="572"/>
    <s v="FirstJob 18.2 Internal"/>
    <s v="African (South Africa)"/>
    <s v="Female"/>
    <s v="19 and under"/>
    <s v="FNB Commercial Public Sector (Andre Prinsloo)"/>
    <s v="South Africa"/>
    <s v="FNB"/>
    <s v="47100005652 FNB Youth Employment Scheme"/>
    <s v="FirstJob Learner"/>
    <s v="&lt;1 Year"/>
    <s v="Specialised Development Programs (Graduate/ Trainee)"/>
    <s v="Create Mentorship Event for Phillippa Tshinabe with Georgia Wensley"/>
    <d v="2026-01-27T00:00:00"/>
    <m/>
    <m/>
  </r>
  <r>
    <s v="8870735"/>
    <x v="360"/>
    <s v="I want to learn more about the different products the bank offer. I want to improve my work skills. I want to achieve good relationships with my customers and aim for a permanent position at FNB."/>
    <s v="Transition Mentor"/>
    <s v="Full Time Employee"/>
    <s v="Indian (South Africa)"/>
    <s v="Male"/>
    <s v="20 - 29"/>
    <s v="FNB Commercial Analytics Insights Data (Ole Moeng)"/>
    <s v="South Africa"/>
    <s v="FNB"/>
    <s v="34300003334 FNB Commercial Analytics Insights and Research"/>
    <s v="Data Scientist"/>
    <s v="2 Years"/>
    <s v="Analytics"/>
    <s v="8885590"/>
    <x v="573"/>
    <s v="FirstJob 18.2 Internal"/>
    <s v="Coloured (South Africa)"/>
    <s v="Female"/>
    <s v="30 - 39"/>
    <s v="FNB Points of Presence (Connel Rossouw)"/>
    <s v="South Africa"/>
    <s v="FNB"/>
    <s v="7710710300 FNB POP Branch Delivery Youth Development"/>
    <s v="FirstJob Learner"/>
    <s v="&lt;1 Year"/>
    <s v="Specialised Development Programs (Graduate/ Trainee)"/>
    <s v="Create Mentorship Event for Rozetta Raman with Veroshan Thaver"/>
    <d v="2026-01-27T00:00:00"/>
    <d v="2026-11-30T00:00:00"/>
    <m/>
  </r>
  <r>
    <s v="8874853"/>
    <x v="361"/>
    <s v="To learn more about the corporate world_x000a_To navigate my way in the banking industry"/>
    <s v="Transition Mentor"/>
    <s v="Full Time Employee"/>
    <s v="African (South Africa)"/>
    <s v="Male"/>
    <s v="20 - 29"/>
    <s v="FNB ConnectMe (Desree Riba)"/>
    <s v="South Africa"/>
    <s v="FNB"/>
    <s v="47100001963 CoE Graduate Programme"/>
    <s v="Graduate Programme"/>
    <s v="1 Year"/>
    <s v="Specialised Development Programs (Graduate/ Trainee)"/>
    <s v="8885544"/>
    <x v="574"/>
    <s v="FirstJob 18.2 Internal"/>
    <s v="African (South Africa)"/>
    <s v="Female"/>
    <s v="20 - 29"/>
    <s v="FNB Points of Presence (Beatrice Mhlabane)"/>
    <s v="South Africa"/>
    <s v="FNB"/>
    <s v="7710710300 FNB POP Branch Delivery Youth Development"/>
    <s v="FirstJob Learner"/>
    <s v="&lt;1 Year"/>
    <s v="Specialised Development Programs (Graduate/ Trainee)"/>
    <s v="Create Mentorship Event for Nombulelo Daphney Nkosi with Rudzani Thagwana"/>
    <d v="2026-01-27T00:00:00"/>
    <d v="2026-11-30T00:00:00"/>
    <m/>
  </r>
  <r>
    <s v="8877126"/>
    <x v="362"/>
    <s v="The Top 3 goals that I'd love to achieve this year are:_x000a__x000a_Career guidance_x000a__x000a_Develop leadership skills_x000a__x000a_Relationship building and networking"/>
    <s v="Transition Mentor"/>
    <s v="Full Time Employee"/>
    <s v="African (South Africa)"/>
    <s v="Female"/>
    <s v="20 - 29"/>
    <s v="FNB Retail COO (Priven Moodley)"/>
    <s v="South Africa"/>
    <s v="FNB"/>
    <s v="69000002201 FNB Retail COO Business Analysis"/>
    <s v="Business Analyst"/>
    <s v="1 Year"/>
    <s v="Process and Business Analysis"/>
    <s v="8884227"/>
    <x v="575"/>
    <s v="FirstJob 18.2 Internal"/>
    <s v="African (South Africa)"/>
    <s v="Female"/>
    <s v="20 - 29"/>
    <s v="FNB Personal Segment Advisory and Suites (Ashleigh Tombeen)"/>
    <s v="South Africa"/>
    <s v="FNB"/>
    <s v="47100005652 FNB Youth Employment Scheme"/>
    <s v="FirstJob Learner"/>
    <s v="&lt;1 Year"/>
    <s v="Specialised Development Programs (Graduate/ Trainee)"/>
    <s v="Create Mentorship Event for Sibahle Mnguni with Nozipho Victoria Sidambe"/>
    <d v="2026-01-27T00:00:00"/>
    <d v="2026-09-30T00:00:00"/>
    <m/>
  </r>
  <r>
    <s v="8877705"/>
    <x v="363"/>
    <s v="I aim to better my skill and build my esteem in the business unite ._x000a_Another one is to learn to navigate the system and accomplish my assessments both in school and at work my goal is to be better than my previous ."/>
    <s v="Transition Mentor"/>
    <s v="Full Time Employee"/>
    <s v="African (South Africa)"/>
    <s v="Male"/>
    <s v="20 - 29"/>
    <s v="FNB Connect and Service Provider (Juanita Gordon)"/>
    <s v="South Africa"/>
    <s v="FNB"/>
    <s v="83100003631 FNB Connect SP Product"/>
    <s v="Product Analyst"/>
    <s v="1 Year"/>
    <s v="Product Support, Development and Analysis"/>
    <s v="8884148"/>
    <x v="576"/>
    <s v="FirstJob 18.2 Internal"/>
    <s v="African (South Africa)"/>
    <s v="Male"/>
    <s v="20 - 29"/>
    <s v="FNB Loans (Evangeleen Damons)"/>
    <s v="South Africa"/>
    <s v="FNB"/>
    <s v="47100005652 FNB Youth Employment Scheme"/>
    <s v="FirstJob Learner"/>
    <s v="&lt;1 Year"/>
    <s v="Specialised Development Programs (Graduate/ Trainee)"/>
    <s v="Create Mentorship Event for LUVHUNO KOPANE with Mohau Tlamama"/>
    <d v="2026-01-27T00:00:00"/>
    <d v="2026-09-30T00:00:00"/>
    <m/>
  </r>
  <r>
    <s v="8877431"/>
    <x v="364"/>
    <s v="Develop confidence and independence_x000a_Become highly skilled, not just qualified_x000a_Build money discipline early"/>
    <s v="Transition Mentor"/>
    <s v="Full Time Employee"/>
    <s v="African (South Africa)"/>
    <s v="Male"/>
    <s v="20 - 29"/>
    <s v="FNB Commercial Credit Scoring (Alfred Friend)"/>
    <s v="South Africa"/>
    <s v="FNB"/>
    <s v="34200003338 FNB Commercial Credit Scoring"/>
    <s v="Graduate Programme"/>
    <s v="1 Year"/>
    <s v="Specialised Development Programs (Graduate/ Trainee)"/>
    <s v="8884133"/>
    <x v="577"/>
    <s v="FirstJob 18.2 Internal"/>
    <s v="African (South Africa)"/>
    <s v="Male"/>
    <s v="20 - 29"/>
    <s v="FNB Points of Presence (Arlene Wheeler)"/>
    <s v="South Africa"/>
    <s v="FNB"/>
    <s v="47100005652 FNB Youth Employment Scheme"/>
    <s v="FirstJob Learner"/>
    <s v="&lt;1 Year"/>
    <s v="Specialised Development Programs (Graduate/ Trainee)"/>
    <s v="Create Mentorship Event for Xivono Rival Maluleke with Lehlogonolo Phineas Mbiza"/>
    <d v="2026-01-26T00:00:00"/>
    <d v="2026-09-30T00:00:00"/>
    <m/>
  </r>
  <r>
    <s v="8870928"/>
    <x v="365"/>
    <m/>
    <s v="Career Mentor"/>
    <s v="Full Time Employee"/>
    <s v="Racially disadvantaged (Namibia)"/>
    <s v="Female"/>
    <s v="30 - 39"/>
    <s v="FNB Namibia Limited (Vinothan Titus)"/>
    <s v="Namibia"/>
    <s v="FNB"/>
    <s v="302000001403 FNB Namibia Credit Support"/>
    <s v="Systems Analyst"/>
    <s v="2 Years"/>
    <s v="Business/Systems Analysis"/>
    <s v="8884137"/>
    <x v="578"/>
    <s v="FirstJob 18.2 Internal"/>
    <s v="African (South Africa)"/>
    <s v="Female"/>
    <s v="20 - 29"/>
    <s v="FNB Points of Presence (Estelle Thiart)"/>
    <s v="South Africa"/>
    <s v="FNB"/>
    <s v="47100005652 FNB Youth Employment Scheme"/>
    <s v="FirstJob Learner"/>
    <s v="&lt;1 Year"/>
    <s v="Specialised Development Programs (Graduate/ Trainee)"/>
    <s v="Create Mentorship Event for Vangile Mhlambi with Hilde Metumo Shimpanda"/>
    <d v="2026-01-31T00:00:00"/>
    <m/>
    <m/>
  </r>
  <r>
    <s v="8876925"/>
    <x v="366"/>
    <s v="1. Develop leadership skills_x000a_2. Career guidance_x000a_3. Relationship building and networking"/>
    <s v="Transition Mentor"/>
    <s v="Full Time Employee"/>
    <s v="African (South Africa)"/>
    <s v="Female"/>
    <s v="20 - 29"/>
    <s v="CDO Kernel iNterfaceX (Etienne Le Roux)"/>
    <s v="South Africa"/>
    <s v="FNB"/>
    <s v="21800004054 CDO Kernel iNterfaceX Cyber Security"/>
    <s v="IT Security Analyst"/>
    <s v="1 Year"/>
    <s v="IT Security"/>
    <s v="8884201"/>
    <x v="579"/>
    <s v="FirstJob 18.2 Internal"/>
    <s v="African (South Africa)"/>
    <s v="Male"/>
    <s v="20 - 29"/>
    <s v="FNB Wealth and Investments (Aubrey Gouws)"/>
    <s v="South Africa"/>
    <s v="FNB"/>
    <s v="47100005652 FNB Youth Employment Scheme"/>
    <s v="FirstJob Learner"/>
    <s v="&lt;1 Year"/>
    <s v="Specialised Development Programs (Graduate/ Trainee)"/>
    <s v="Create Mentorship Event for Ntshuxeko Isaac Ndlovu with Ofentse Pilane"/>
    <d v="2026-01-26T00:00:00"/>
    <d v="2026-09-30T00:00:00"/>
    <m/>
  </r>
  <r>
    <s v="3651770"/>
    <x v="367"/>
    <s v="1) Learn as much as I can_x000a_2) Build a strong network_x000a_3) Deliver results"/>
    <s v="Career Mentor"/>
    <s v="OBR With Fixed Pay"/>
    <s v="African (South Africa)"/>
    <s v="Female"/>
    <s v="30 - 39"/>
    <s v="FNB Points of Presence (Itumeleng Makhasa)"/>
    <s v="South Africa"/>
    <s v="FNB"/>
    <s v="771005400 FNB POP Branch Delivery Braamfontein"/>
    <s v="Branch Advisor FAIS"/>
    <s v="11 -15 Years"/>
    <s v="Client Services Support and Delivery"/>
    <s v="8884295"/>
    <x v="580"/>
    <s v="FirstJob 18.2 Internal"/>
    <s v="African (South Africa)"/>
    <s v="Female"/>
    <s v="20 - 29"/>
    <s v="FNB Finance Business Solutions (Phumzile Mncadi)"/>
    <s v="South Africa"/>
    <s v="FNB"/>
    <s v="47100005652 FNB Youth Employment Scheme"/>
    <s v="FirstJob Learner"/>
    <s v="&lt;1 Year"/>
    <s v="Specialised Development Programs (Graduate/ Trainee)"/>
    <s v="Create Mentorship Event for Rudzani Ravele with Bongani Baloyi"/>
    <d v="2026-01-26T00:00:00"/>
    <d v="2026-09-30T00:00:00"/>
    <m/>
  </r>
  <r>
    <s v="5667151"/>
    <x v="359"/>
    <m/>
    <s v="Leadership Mentor"/>
    <s v="Full Time Employee"/>
    <s v="White (South Africa)"/>
    <s v="Female"/>
    <s v="20 - 29"/>
    <s v="FNB eBucks (Danielle Van Wyk)"/>
    <s v="South Africa"/>
    <s v="FNB"/>
    <s v="25600008917 FNB eBucks Financial Modelling"/>
    <s v="Data Scientist"/>
    <s v="1 Year"/>
    <s v="Analytics"/>
    <s v="8884213"/>
    <x v="581"/>
    <s v="FirstJob 18.2 Internal"/>
    <s v="African (South Africa)"/>
    <s v="Female"/>
    <s v="20 - 29"/>
    <s v="FNB Commercial Sales Gauteng South and Central (Pride Mnamatha)"/>
    <s v="South Africa"/>
    <s v="FNB"/>
    <s v="47100005652 FNB Youth Employment Scheme"/>
    <s v="FirstJob Learner"/>
    <s v="&lt;1 Year"/>
    <s v="Specialised Development Programs (Graduate/ Trainee)"/>
    <s v="Create Mentorship Event for Thato Thokozani Molefe with Georgia Wensley"/>
    <d v="2026-01-27T00:00:00"/>
    <m/>
    <m/>
  </r>
  <r>
    <s v="8870928"/>
    <x v="365"/>
    <s v="What I want to achieve:_x000a_1. To receive a permanent position offer at the end of my FirstJob term in my current FirstJob  department _x000a_2.Enhance my communication skills both verbally and non-verbally _x000a_3.To learn how to use money wisely and effectively"/>
    <s v="Transition Mentor"/>
    <s v="Full Time Employee"/>
    <s v="Racially disadvantaged (Namibia)"/>
    <s v="Female"/>
    <s v="30 - 39"/>
    <s v="FNB Namibia Limited (Vinothan Titus)"/>
    <s v="Namibia"/>
    <s v="FNB"/>
    <s v="302000001403 FNB Namibia Credit Support"/>
    <s v="Systems Analyst"/>
    <s v="2 Years"/>
    <s v="Business/Systems Analysis"/>
    <s v="8884198"/>
    <x v="582"/>
    <s v="FirstJob 18.2 Internal"/>
    <s v="African (South Africa)"/>
    <s v="Female"/>
    <s v="20 - 29"/>
    <s v="FNB Finance Business Solutions (Mogie Padayachee)"/>
    <s v="South Africa"/>
    <s v="FNB"/>
    <s v="47100005652 FNB Youth Employment Scheme"/>
    <s v="FirstJob Learner"/>
    <s v="&lt;1 Year"/>
    <s v="Specialised Development Programs (Graduate/ Trainee)"/>
    <s v="Create Mentorship Event for Katlego Modieginyana with Hilde Metumo Shimpanda"/>
    <d v="2026-01-27T00:00:00"/>
    <d v="2026-10-31T00:00:00"/>
    <m/>
  </r>
  <r>
    <s v="8877419"/>
    <x v="368"/>
    <s v="I want to learn how the banking industry works and how to deliver excellent service to customers _x000a__x000a_I want to be permanently employed by FNB and apply all the skills and knowledge I have gained_x000a__x000a_I want to start a small business"/>
    <s v="Transition Mentor"/>
    <s v="Full Time Employee"/>
    <s v="African (South Africa)"/>
    <s v="Male"/>
    <s v="20 - 29"/>
    <s v="FNB Loans (Kyle Ferris)"/>
    <s v="South Africa"/>
    <s v="FNB"/>
    <s v="79100007564 FNB Consumer Loans Unsecured Pillar"/>
    <s v="Solutions Specialist"/>
    <s v="1 Year"/>
    <s v="Operations"/>
    <s v="8885642"/>
    <x v="583"/>
    <s v="FirstJob 18.2 Internal"/>
    <s v="African (South Africa)"/>
    <s v="Female"/>
    <s v="20 - 29"/>
    <s v="FNB Points of Presence (Madeleine Labuschagne)"/>
    <s v="South Africa"/>
    <s v="FNB"/>
    <s v="7710710300 FNB POP Branch Delivery Youth Development"/>
    <s v="FirstJob Learner"/>
    <s v="&lt;1 Year"/>
    <s v="Specialised Development Programs (Graduate/ Trainee)"/>
    <s v="Create Mentorship Event for Yonela Siswana with Malvin Maposa"/>
    <d v="2026-01-27T00:00:00"/>
    <d v="2026-11-28T00:00:00"/>
    <m/>
  </r>
  <r>
    <s v="8870766"/>
    <x v="369"/>
    <s v="1. Professional Development and Career Growth_x000a_2. Practical Workplace Skills and Confidence_x000a_3. Ethical Conduct and Market Practice Mastery"/>
    <s v="Transition Mentor"/>
    <s v="Full Time Employee"/>
    <s v="Indian (South Africa)"/>
    <s v="Female"/>
    <s v="20 - 29"/>
    <s v="WB Motor Risk Management (Mukhodiwa Nwashe)"/>
    <s v="South Africa"/>
    <s v="WesBank"/>
    <s v="30101040000 WB Post Origination"/>
    <s v="Data Scientist"/>
    <s v="2 Years"/>
    <s v="Analytics"/>
    <s v="8885683"/>
    <x v="584"/>
    <s v="FirstJob 18.2 Internal"/>
    <s v="African (South Africa)"/>
    <s v="Male"/>
    <s v="20 - 29"/>
    <s v="FNB Points of Presence (Raino Botha)"/>
    <s v="South Africa"/>
    <s v="FNB"/>
    <s v="7710710300 FNB POP Branch Delivery Youth Development"/>
    <s v="FirstJob Learner"/>
    <s v="&lt;1 Year"/>
    <s v="Specialised Development Programs (Graduate/ Trainee)"/>
    <s v="Create Mentorship Event for Zimasile Mnothoza with Savannah Tadden"/>
    <d v="2026-01-28T00:00:00"/>
    <d v="2026-11-30T00:00:00"/>
    <m/>
  </r>
  <r>
    <s v="3576930"/>
    <x v="370"/>
    <s v="- Networking opportunities_x000a_- Career growth_x000a_- Leadership skills enhancement"/>
    <s v="Leadership Mentor"/>
    <s v="Full Time Employee"/>
    <s v="African (South Africa)"/>
    <s v="Male"/>
    <s v="40 - 49"/>
    <s v="CDO Infrastructure and Security Services (Claude Kumst)"/>
    <s v="South Africa"/>
    <s v="FNB"/>
    <s v="20700005499 CDO Infrastructure and Security Services Security Delivery"/>
    <s v="Information Security Operations Head"/>
    <s v="11 -15 Years"/>
    <s v="IT Security"/>
    <s v="5072638"/>
    <x v="585"/>
    <s v="Full Time Employee"/>
    <s v="African (South Africa)"/>
    <s v="Female"/>
    <s v="30 - 39"/>
    <s v="CDO Infrastructure and Security Services (Patrick Mosakoa)"/>
    <s v="South Africa"/>
    <s v="FNB"/>
    <s v="20700005499 CDO Infrastructure and Security Services Security Delivery"/>
    <s v="IT Security Specialist"/>
    <s v="3 - 5 Years"/>
    <s v="IT Security"/>
    <s v="Create Mentorship Event for Sinazo Ndzawombi with Maphelo Mpofu"/>
    <d v="2025-08-01T00:00:00"/>
    <d v="2026-07-31T00:00:00"/>
    <m/>
  </r>
  <r>
    <s v="8875371"/>
    <x v="371"/>
    <s v="Goal 1: Learn how to open accounts._x000a_Goal 2: Reach my targets._x000a_Goal 3: Learn everything about the banking industry."/>
    <s v="Transition Mentor"/>
    <s v="Full Time Employee"/>
    <s v="African (South Africa)"/>
    <s v="Male"/>
    <s v="20 - 29"/>
    <s v="FNB Connect and Service Provider (Rupert Fick)"/>
    <s v="South Africa"/>
    <s v="FNB"/>
    <s v="83100004062 FNB Connect Credit"/>
    <s v="Data Scientist"/>
    <s v="1 Year"/>
    <s v="Analytics"/>
    <s v="8885575"/>
    <x v="586"/>
    <s v="FirstJob 18.2 Internal"/>
    <s v="African (South Africa)"/>
    <s v="Female"/>
    <s v="20 - 29"/>
    <s v="FNB Points of Presence (Leratamang Okereke)"/>
    <s v="South Africa"/>
    <s v="FNB"/>
    <s v="7710710300 FNB POP Branch Delivery Youth Development"/>
    <s v="FirstJob Learner"/>
    <s v="&lt;1 Year"/>
    <s v="Specialised Development Programs (Graduate/ Trainee)"/>
    <s v="Create Mentorship Event for Nosiphiwe Sweetness Zulu with Neo Mphuthi"/>
    <d v="2026-01-27T00:00:00"/>
    <d v="2026-11-30T00:00:00"/>
    <m/>
  </r>
  <r>
    <s v="8877296"/>
    <x v="372"/>
    <s v="This year I want to achieve the following goals:_x000a_1.Improve customer service-especially when making calls to clients_x000a_2. Professional networking- grow professionally_x000a_3. Manage difficult customers_x000a__x000a_www.linkedin.com/in/asemahle-ndlebe-15392522b"/>
    <s v="Transition Mentor"/>
    <s v="Full Time Employee"/>
    <s v="African (South Africa)"/>
    <s v="Male"/>
    <s v="20 - 29"/>
    <s v="FNB Central Finance (Jacques Van Staden)"/>
    <s v="South Africa"/>
    <s v="FNB"/>
    <s v="39400004027 FNB CFP Financial Controls"/>
    <s v="Data Engineer"/>
    <s v="1 Year"/>
    <s v="Data Management, Maintenance and Security"/>
    <s v="8884219"/>
    <x v="587"/>
    <s v="FirstJob 18.2 Internal"/>
    <s v="African (South Africa)"/>
    <s v="Male"/>
    <s v="20 - 29"/>
    <s v="FNB Commercial Public Sector Banking National Sales East (Anrie Spangenberg)"/>
    <s v="South Africa"/>
    <s v="FNB"/>
    <s v="84100002701 FNB Commercial Public Sector Western Cape"/>
    <s v="FirstJob Learner"/>
    <s v="&lt;1 Year"/>
    <s v="Specialised Development Programs (Graduate/ Trainee)"/>
    <s v="Create Mentorship Event for Asemahle Ndlebe with Thabo Zwane"/>
    <d v="2026-01-28T00:00:00"/>
    <d v="2026-10-30T00:00:00"/>
    <m/>
  </r>
  <r>
    <s v="8876931"/>
    <x v="373"/>
    <s v="2026 Professional Goals_x000a_1. Permanent Employment _x000a_2. Exam Progress_x000a_3. Improve PowerBI skills"/>
    <s v="Transition Mentor"/>
    <s v="Full Time Employee"/>
    <s v="African (South Africa)"/>
    <s v="Female"/>
    <s v="20 - 29"/>
    <s v="FNB HC Business Intelligence (Derick Mokonyane)"/>
    <s v="South Africa"/>
    <s v="FNB"/>
    <s v="47100001985 FNB HR Executive"/>
    <s v="Business Intelligence Analyst"/>
    <s v="1 Year"/>
    <s v="Business Intelligence"/>
    <s v="8884204"/>
    <x v="588"/>
    <s v="FirstJob 18.2 Internal"/>
    <s v="African (South Africa)"/>
    <s v="Male"/>
    <s v="20 - 29"/>
    <s v="FNB Business CXC (Mpho Disetlhe)"/>
    <s v="South Africa"/>
    <s v="FNB"/>
    <s v="47100005652 FNB Youth Employment Scheme"/>
    <s v="FirstJob Learner"/>
    <s v="&lt;1 Year"/>
    <s v="Specialised Development Programs (Graduate/ Trainee)"/>
    <s v="Create Mentorship Event for Elmon Ramahoshi with Sisanda Sibanda"/>
    <d v="2026-01-26T00:00:00"/>
    <d v="2026-09-30T00:00:00"/>
    <m/>
  </r>
  <r>
    <s v="5469368"/>
    <x v="374"/>
    <s v="Goal 1- Learn new Skills and boost self confidence in the field of sales _x000a_Goal 2- Complete all formative assignments on Learnership portal on time or even before time scheduled time frame._x000a_Goal 3- Complete my workbook by October and obtain my NQF 5 banking Certificate at the end of program."/>
    <s v="Transition Mentor"/>
    <s v="Full Time Employee"/>
    <s v="African (South Africa)"/>
    <s v="Male"/>
    <s v="20 - 29"/>
    <s v="FNB Connect and Service Provider (Clinton Cloete)"/>
    <s v="South Africa"/>
    <s v="FNB"/>
    <s v="83100004062 FNB Connect Credit"/>
    <s v="Data Administrator"/>
    <s v="1 Year"/>
    <s v="Data Governance and Information Management"/>
    <s v="8885686"/>
    <x v="589"/>
    <s v="FirstJob 18.2 Internal"/>
    <s v="African (South Africa)"/>
    <s v="Female"/>
    <s v="30 - 39"/>
    <s v="FNB Points of Presence (Livhuwani Mandiwana)"/>
    <s v="South Africa"/>
    <s v="FNB"/>
    <s v="7710710300 FNB POP Branch Delivery Youth Development"/>
    <s v="FirstJob Learner"/>
    <s v="&lt;1 Year"/>
    <s v="Specialised Development Programs (Graduate/ Trainee)"/>
    <s v="Create Mentorship Event for Mosima Lucia Mnisi with Njabulo Preysgod Nsibande"/>
    <d v="2026-01-27T00:00:00"/>
    <d v="2026-12-01T00:00:00"/>
    <m/>
  </r>
  <r>
    <s v="8876892"/>
    <x v="351"/>
    <s v="I wish to learn how to network and build relationships_x000a__x000a_I want to understand business value, &amp; master feedback"/>
    <s v="Transition Mentor"/>
    <s v="Full Time Employee"/>
    <s v="African (South Africa)"/>
    <s v="Male"/>
    <s v="20 - 29"/>
    <s v="FNB Central Finance (Siyasanga Makiwane)"/>
    <s v="South Africa"/>
    <s v="FNB"/>
    <s v="39400004965 FNB Finance Analytics"/>
    <s v="Data Scientist"/>
    <s v="1 Year"/>
    <s v="Analytics"/>
    <s v="8885603"/>
    <x v="590"/>
    <s v="FirstJob 18.2 Internal"/>
    <s v="African (South Africa)"/>
    <s v="Female"/>
    <s v="20 - 29"/>
    <s v="FNB Points of Presence (Khomotso Seopela)"/>
    <s v="South Africa"/>
    <s v="FNB"/>
    <s v="7710710300 FNB POP Branch Delivery Youth Development"/>
    <s v="FirstJob Learner"/>
    <s v="&lt;1 Year"/>
    <s v="Specialised Development Programs (Graduate/ Trainee)"/>
    <s v="Create Mentorship Event for Nonhlakanipho Prayer Masanabo with Malamba Lavhengwa"/>
    <d v="2026-01-27T00:00:00"/>
    <d v="2026-12-01T00:00:00"/>
    <m/>
  </r>
  <r>
    <s v="4927060"/>
    <x v="375"/>
    <s v="FRV/FJ Mentorship Programme"/>
    <s v="Career Mentor"/>
    <s v="Full Time Employee"/>
    <s v="African (South Africa)"/>
    <s v="Female"/>
    <s v="30 - 39"/>
    <s v="RMBSA Technology (Christiaan Du Preez)"/>
    <s v="South Africa"/>
    <s v="RMB"/>
    <s v="77800000HOZ RMBSA Executive Support Team"/>
    <s v="Executive Assistant"/>
    <s v="3 - 5 Years"/>
    <s v="Administration"/>
    <s v="8881877"/>
    <x v="591"/>
    <s v="FirstJob 18.2 Internal"/>
    <s v="African (South Africa)"/>
    <s v="Male"/>
    <s v="20 - 29"/>
    <s v="Internal Audit Corporate Investment Bank (Harm Schreurs)"/>
    <s v="South Africa"/>
    <s v="FirstRand Corporate Centre"/>
    <s v="20200007979 FRCC Human Capital Special Projects"/>
    <s v="FirstJob Graduate"/>
    <s v="&lt;1 Year"/>
    <s v="Specialised Development Programs (Graduate/ Trainee)"/>
    <s v="Create Mentorship Event for Lehlohonolo Maake with Xola Ntlangula"/>
    <d v="2025-10-28T00:00:00"/>
    <m/>
    <m/>
  </r>
  <r>
    <s v="8870688"/>
    <x v="376"/>
    <s v="This year I'd like to achieve the following gaols: _x000a_1. Be hired permanently by the end of the learnership programme._x000a_2. Get good grades on my schoolwork._x000a_3. Make improvements of my well-being."/>
    <s v="Transition Mentor"/>
    <s v="Full Time Employee"/>
    <s v="African (South Africa)"/>
    <s v="Female"/>
    <s v="20 - 29"/>
    <s v="FR Life Assurance (Simon Bonarius)"/>
    <s v="South Africa"/>
    <s v="FNB"/>
    <s v="61500010754 FR Life Growth Portfolio"/>
    <s v="Data Scientist"/>
    <s v="2 Years"/>
    <s v="Analytics"/>
    <s v="8884203"/>
    <x v="592"/>
    <s v="FirstJob 18.2 Internal"/>
    <s v="African (South Africa)"/>
    <s v="Female"/>
    <s v="20 - 29"/>
    <s v="FNB Finance Business Solutions (Asheen Sewgoolam)"/>
    <s v="South Africa"/>
    <s v="FNB"/>
    <s v="47100005652 FNB Youth Employment Scheme"/>
    <s v="FirstJob Learner"/>
    <s v="&lt;1 Year"/>
    <s v="Specialised Development Programs (Graduate/ Trainee)"/>
    <s v="Create Mentorship Event for Nomthandazo Chabalala with Luleka Righteous Khumalo"/>
    <d v="2026-01-16T00:00:00"/>
    <d v="2026-09-01T00:00:00"/>
    <m/>
  </r>
  <r>
    <s v="8877126"/>
    <x v="362"/>
    <s v="Career Guidance._x000a_Disruptive Technologies._x000a_Manage a career transition._x000a_Relationship building and networking."/>
    <s v="Career Mentor"/>
    <s v="Full Time Employee"/>
    <s v="African (South Africa)"/>
    <s v="Female"/>
    <s v="20 - 29"/>
    <s v="FNB Retail COO (Priven Moodley)"/>
    <s v="South Africa"/>
    <s v="FNB"/>
    <s v="69000002201 FNB Retail COO Business Analysis"/>
    <s v="Business Analyst"/>
    <s v="1 Year"/>
    <s v="Process and Business Analysis"/>
    <s v="8885572"/>
    <x v="593"/>
    <s v="FirstJob 18.2 Internal"/>
    <s v="African (South Africa)"/>
    <s v="Male"/>
    <s v="30 - 39"/>
    <s v="FNB Points of Presence (Mothibedi Moaludi)"/>
    <s v="South Africa"/>
    <s v="FNB"/>
    <s v="7710710300 FNB POP Branch Delivery Youth Development"/>
    <s v="FirstJob Learner"/>
    <s v="&lt;1 Year"/>
    <s v="Specialised Development Programs (Graduate/ Trainee)"/>
    <s v="Create Mentorship Event for Penchele Kakudi with Nozipho Victoria Sidambe"/>
    <d v="2026-01-27T00:00:00"/>
    <m/>
    <m/>
  </r>
  <r>
    <s v="8876703"/>
    <x v="355"/>
    <s v="I would like to provide excellent customer service, would like to improve my work-life balance and also increase my performance metrics."/>
    <s v="Transition Mentor"/>
    <s v="Full Time Employee"/>
    <s v="African (South Africa)"/>
    <s v="Female"/>
    <s v="20 - 29"/>
    <s v="FNB Credit Card (Mahlako Mabitsi)"/>
    <s v="South Africa"/>
    <s v="FNB"/>
    <s v="20300002843 FNB Credit Card Premium Growth"/>
    <s v="Graduate Programme"/>
    <s v="1 Year"/>
    <s v="Specialised Development Programs (Graduate/ Trainee)"/>
    <s v="8885701"/>
    <x v="594"/>
    <s v="FirstJob 18.2 Internal"/>
    <s v="African (South Africa)"/>
    <s v="Female"/>
    <s v="20 - 29"/>
    <s v="FNB Points of Presence (Thembalethu Badiwe)"/>
    <s v="South Africa"/>
    <s v="FNB"/>
    <s v="7710710300 FNB POP Branch Delivery Youth Development"/>
    <s v="FirstJob Learner"/>
    <s v="&lt;1 Year"/>
    <s v="Specialised Development Programs (Graduate/ Trainee)"/>
    <s v="Create Mentorship Event for Lihle Konzeka with Noluthando Buthelezi"/>
    <d v="2026-01-27T00:00:00"/>
    <d v="2026-12-31T00:00:00"/>
    <m/>
  </r>
  <r>
    <s v="8877127"/>
    <x v="377"/>
    <s v="I want to learn how to be the best in sales._x000a__x000a_I want to boost my skills._x000a__x000a_I want to meet and go extra miles with my target market."/>
    <s v="Transition Mentor"/>
    <s v="Full Time Employee"/>
    <s v="African (South Africa)"/>
    <s v="Male"/>
    <s v="20 - 29"/>
    <s v="FNB Loans (Kgomotso Sebitlo)"/>
    <s v="South Africa"/>
    <s v="FNB"/>
    <s v="79100009082 FNB Consumer Loans Support Credit"/>
    <s v="Data Scientist"/>
    <s v="1 Year"/>
    <s v="Analytics"/>
    <s v="8885763"/>
    <x v="595"/>
    <s v="FirstJob 18.2 Internal"/>
    <s v="African (South Africa)"/>
    <s v="Female"/>
    <s v="20 - 29"/>
    <s v="FNB Points of Presence (Sindisiwe Zondi)"/>
    <s v="South Africa"/>
    <s v="FNB"/>
    <s v="7710710300 FNB POP Branch Delivery Youth Development"/>
    <s v="FirstJob Learner"/>
    <s v="&lt;1 Year"/>
    <s v="Specialised Development Programs (Graduate/ Trainee)"/>
    <s v="Create Mentorship Event for Thobile Buthelezi with Nathan Ngqwebo"/>
    <d v="2026-01-27T00:00:00"/>
    <d v="2026-11-30T00:00:00"/>
    <m/>
  </r>
  <r>
    <s v="8877584"/>
    <x v="378"/>
    <s v="Develop professional banking skills._x000a__x000a_Perform well in this learnership._x000a__x000a_learn how to balance work and academics."/>
    <s v="Transition Mentor"/>
    <s v="Full Time Employee"/>
    <s v="African (South Africa)"/>
    <s v="Female"/>
    <s v="20 - 29"/>
    <s v="CDO Kernel iNterfaceX (Serena Naicker)"/>
    <s v="South Africa"/>
    <s v="FNB"/>
    <s v="21800003622 CDO Kernel iNterfaceX Messaging"/>
    <s v="Business Analyst"/>
    <s v="1 Year"/>
    <s v="Process and Business Analysis"/>
    <s v="8885584"/>
    <x v="596"/>
    <s v="FirstJob 18.2 Internal"/>
    <s v="African (South Africa)"/>
    <s v="Female"/>
    <s v="20 - 29"/>
    <s v="FNB Points of Presence (Dakalo Ndove (Inherited))"/>
    <s v="South Africa"/>
    <s v="FNB"/>
    <s v="7710710300 FNB POP Branch Delivery Youth Development"/>
    <s v="FirstJob Learner"/>
    <s v="&lt;1 Year"/>
    <s v="Specialised Development Programs (Graduate/ Trainee)"/>
    <s v="Create Mentorship Event for Bonolo Ntoloane with Reitumetse Rabotapi"/>
    <d v="2026-01-29T00:00:00"/>
    <d v="2026-11-30T00:00:00"/>
    <m/>
  </r>
  <r>
    <s v="8875371"/>
    <x v="371"/>
    <m/>
    <s v="Career Mentor"/>
    <s v="Full Time Employee"/>
    <s v="African (South Africa)"/>
    <s v="Male"/>
    <s v="20 - 29"/>
    <s v="FNB Connect and Service Provider (Rupert Fick)"/>
    <s v="South Africa"/>
    <s v="FNB"/>
    <s v="83100004062 FNB Connect Credit"/>
    <s v="Data Scientist"/>
    <s v="1 Year"/>
    <s v="Analytics"/>
    <s v="8884323"/>
    <x v="597"/>
    <s v="FirstJob 18.2 Internal"/>
    <s v="African (South Africa)"/>
    <s v="Female"/>
    <s v="20 - 29"/>
    <s v="FNB Volunteers (Solomon Mzinyane)"/>
    <s v="South Africa"/>
    <s v="FNB"/>
    <s v="47100005652 FNB Youth Employment Scheme"/>
    <s v="FirstJob Learner"/>
    <s v="&lt;1 Year"/>
    <s v="Specialised Development Programs (Graduate/ Trainee)"/>
    <s v="Create Mentorship Event for Simthandile Jiyane with Neo Mphuthi"/>
    <d v="2026-01-26T00:00:00"/>
    <d v="2026-09-30T00:00:00"/>
    <m/>
  </r>
  <r>
    <s v="8877793"/>
    <x v="379"/>
    <s v="This year I want to achieve the following goals:_x000a__x000a_Goal 1_x000a_1. To gain a strong understanding of FNB Commercial Banking products, systems and processes so that I can confidently support clients and contribute effectively to the team. _x000a_Goal 2_x000a_2. To develop practical workplace skills including customer service, compliance and teamwork by participating in daily operations and learning from experienced colleagues and my mentor _x000a_Goal 3_x000a_3. To grow to competent and reliable commercial banking professional at FNB, with long-term goal of building a permanent career within the organization and adding value to both clients and the bank."/>
    <s v="Transition Mentor"/>
    <s v="Full Time Employee"/>
    <s v="Indian (South Africa)"/>
    <s v="Male"/>
    <s v="20 - 29"/>
    <s v="FNB Commercial EFT (Gerjo Schreuder)"/>
    <s v="South Africa"/>
    <s v="FNB"/>
    <s v="68400003918 FNB Commercial EFT Product House Product"/>
    <s v="Product Specialist"/>
    <s v="1 Year"/>
    <s v="Product Support, Development and Analysis"/>
    <s v="8884214"/>
    <x v="598"/>
    <s v="FirstJob 18.2 Internal"/>
    <s v="African (South Africa)"/>
    <s v="Female"/>
    <s v="30 - 39"/>
    <s v="FNB Commercial Sales Inland (Ingrit Msibi)"/>
    <s v="South Africa"/>
    <s v="FNB"/>
    <s v="47100005652 FNB Youth Employment Scheme"/>
    <s v="FirstJob Learner"/>
    <s v="&lt;1 Year"/>
    <s v="Specialised Development Programs (Graduate/ Trainee)"/>
    <s v="Create Mentorship Event for Xihluke Mabunda with Talhah Shahzada"/>
    <d v="2026-01-27T00:00:00"/>
    <d v="2026-10-31T00:00:00"/>
    <m/>
  </r>
  <r>
    <s v="8877127"/>
    <x v="377"/>
    <m/>
    <s v="Transition Mentor"/>
    <s v="Full Time Employee"/>
    <s v="African (South Africa)"/>
    <s v="Male"/>
    <s v="20 - 29"/>
    <s v="FNB Loans (Kgomotso Sebitlo)"/>
    <s v="South Africa"/>
    <s v="FNB"/>
    <s v="79100009082 FNB Consumer Loans Support Credit"/>
    <s v="Data Scientist"/>
    <s v="1 Year"/>
    <s v="Analytics"/>
    <s v="8884136"/>
    <x v="599"/>
    <s v="FirstJob 18.2 Internal"/>
    <s v="African (South Africa)"/>
    <s v="Female"/>
    <s v="20 - 29"/>
    <s v="FNB Points of Presence (Rachel Zwane)"/>
    <s v="South Africa"/>
    <s v="FNB"/>
    <s v="47100005652 FNB Youth Employment Scheme"/>
    <s v="FirstJob Learner"/>
    <s v="&lt;1 Year"/>
    <s v="Specialised Development Programs (Graduate/ Trainee)"/>
    <s v="Close Mentorship Event for Katleho Sondlo with Nathan Ngqwebo_x000a__x000a_Create Mentorship Event for Katleho Sondlo with Nathan Ngqwebo"/>
    <d v="2026-01-26T00:00:00"/>
    <d v="2026-10-01T00:00:00"/>
    <s v="Mentor Withdrawal - Availability"/>
  </r>
  <r>
    <s v="8877127"/>
    <x v="377"/>
    <s v="More Skills_x000a__x000a_Work Experience _x000a__x000a_Get Permanent Job"/>
    <s v="Transition Mentor"/>
    <s v="Full Time Employee"/>
    <s v="African (South Africa)"/>
    <s v="Male"/>
    <s v="20 - 29"/>
    <s v="FNB Loans (Kgomotso Sebitlo)"/>
    <s v="South Africa"/>
    <s v="FNB"/>
    <s v="79100009082 FNB Consumer Loans Support Credit"/>
    <s v="Data Scientist"/>
    <s v="1 Year"/>
    <s v="Analytics"/>
    <s v="8884135"/>
    <x v="600"/>
    <s v="FirstJob 18.2 Internal"/>
    <s v="African (South Africa)"/>
    <s v="Male"/>
    <s v="20 - 29"/>
    <s v="FNB Points of Presence (Charles Naidoo)"/>
    <s v="South Africa"/>
    <s v="FNB"/>
    <s v="47100005652 FNB Youth Employment Scheme"/>
    <s v="FirstJob Learner"/>
    <s v="&lt;1 Year"/>
    <s v="Specialised Development Programs (Graduate/ Trainee)"/>
    <s v="Create Mentorship Event for Thabo Mthembu with Nathan Ngqwebo"/>
    <d v="2026-01-27T00:00:00"/>
    <d v="2026-10-31T00:00:00"/>
    <m/>
  </r>
  <r>
    <s v="8874853"/>
    <x v="361"/>
    <m/>
    <s v="Transition Mentor"/>
    <s v="Full Time Employee"/>
    <s v="African (South Africa)"/>
    <s v="Male"/>
    <s v="20 - 29"/>
    <s v="FNB ConnectMe (Desree Riba)"/>
    <s v="South Africa"/>
    <s v="FNB"/>
    <s v="47100001963 CoE Graduate Programme"/>
    <s v="Graduate Programme"/>
    <s v="1 Year"/>
    <s v="Specialised Development Programs (Graduate/ Trainee)"/>
    <s v="8884131"/>
    <x v="601"/>
    <s v="FirstJob 18.2 Internal"/>
    <s v="African (South Africa)"/>
    <s v="Female"/>
    <s v="30 - 39"/>
    <s v="FNB Commercial Merchant Services (Itu Mokoka)"/>
    <s v="South Africa"/>
    <s v="FNB"/>
    <s v="47100005652 FNB Youth Employment Scheme"/>
    <s v="FirstJob Learner"/>
    <s v="&lt;1 Year"/>
    <s v="Specialised Development Programs (Graduate/ Trainee)"/>
    <s v="Create Mentorship Event for Nosisa Zungu with Rudzani Thagwana"/>
    <d v="2026-01-27T00:00:00"/>
    <m/>
    <m/>
  </r>
  <r>
    <s v="5597900"/>
    <x v="321"/>
    <s v="A very good morning I need Mentor to assist me On knowing and Understanding the IT environment and the diagrams the reason for that is I'm currently studying degree on IT so I need the clear understanding of what is needed."/>
    <s v="Technical Mentor"/>
    <s v="Full Time Employee"/>
    <s v="African (South Africa)"/>
    <s v="Male"/>
    <s v="30 - 39"/>
    <s v="FNB Core Banking Platform (Johan Van Rooyen)"/>
    <s v="South Africa"/>
    <s v="FNB"/>
    <s v="59600005979 FNB Personal and Private IT Collections IT"/>
    <s v="Systems Analyst"/>
    <s v="3 - 5 Years"/>
    <s v="Business/Systems Analysis"/>
    <s v="3806111"/>
    <x v="602"/>
    <s v="Full Time Employee"/>
    <s v="African (South Africa)"/>
    <s v="Male"/>
    <s v="30 - 39"/>
    <s v="FNB Collections and Platform Enablement (Burton Hammond)"/>
    <s v="South Africa"/>
    <s v="FNB"/>
    <s v="79700003307 Collections Platform"/>
    <s v="Business Support Specialist"/>
    <s v="11 -15 Years"/>
    <s v="Operations"/>
    <s v="Create Mentorship Event for Mandla Mthembu with Aobakwe Kgobokoe"/>
    <d v="2026-02-03T00:00:00"/>
    <d v="2026-11-27T00:00:00"/>
    <m/>
  </r>
  <r>
    <s v="8876925"/>
    <x v="366"/>
    <s v="2026 goals_x000a_1. Achieve targets._x000a_2. Stay courageous._x000a_3. Try something new exciting."/>
    <s v="Transition Mentor"/>
    <s v="Full Time Employee"/>
    <s v="African (South Africa)"/>
    <s v="Female"/>
    <s v="20 - 29"/>
    <s v="CDO Kernel iNterfaceX (Etienne Le Roux)"/>
    <s v="South Africa"/>
    <s v="FNB"/>
    <s v="21800004054 CDO Kernel iNterfaceX Cyber Security"/>
    <s v="IT Security Analyst"/>
    <s v="1 Year"/>
    <s v="IT Security"/>
    <s v="8885781"/>
    <x v="603"/>
    <s v="FirstJob 18.2 Internal"/>
    <s v="African (South Africa)"/>
    <s v="Female"/>
    <s v="20 - 29"/>
    <s v="FNB Points of Presence (Ren Nandkumar)"/>
    <s v="South Africa"/>
    <s v="FNB"/>
    <s v="7710710300 FNB POP Branch Delivery Youth Development"/>
    <s v="FirstJob Learner"/>
    <s v="&lt;1 Year"/>
    <s v="Specialised Development Programs (Graduate/ Trainee)"/>
    <s v="Create Mentorship Event for Reabetsoe Moshoeshoe with Ofentse Pilane"/>
    <d v="2026-01-27T00:00:00"/>
    <d v="2026-11-30T00:00:00"/>
    <m/>
  </r>
  <r>
    <s v="8870688"/>
    <x v="376"/>
    <s v="This year I want to archive the following goals._x000a_1.I want to earn myself a permeant position at my current role at FNB._x000a_2.I want to learn new skills which will help me contribute to the organization. _x000a_3.I want to grow my knowledge and talent so I can be able to empower others."/>
    <s v="Transition Mentor"/>
    <s v="Full Time Employee"/>
    <s v="African (South Africa)"/>
    <s v="Female"/>
    <s v="20 - 29"/>
    <s v="FR Life Assurance (Simon Bonarius)"/>
    <s v="South Africa"/>
    <s v="FNB"/>
    <s v="61500010754 FR Life Growth Portfolio"/>
    <s v="Data Scientist"/>
    <s v="2 Years"/>
    <s v="Analytics"/>
    <s v="8884416"/>
    <x v="604"/>
    <s v="FirstJob 18.2 Internal"/>
    <s v="African (South Africa)"/>
    <s v="Male"/>
    <s v="20 - 29"/>
    <s v="FNB Wealth and Investments (Melany Woods)"/>
    <s v="South Africa"/>
    <s v="FNB"/>
    <s v="47100005652 FNB Youth Employment Scheme"/>
    <s v="FirstJob Learner"/>
    <s v="&lt;1 Year"/>
    <s v="Specialised Development Programs (Graduate/ Trainee)"/>
    <s v="Create Mentorship Event for Thapelo Phatudi with Luleka Righteous Khumalo"/>
    <d v="2026-01-27T00:00:00"/>
    <d v="2026-10-31T00:00:00"/>
    <m/>
  </r>
  <r>
    <s v="8870860"/>
    <x v="356"/>
    <s v="identity career paths within FNB_x000a_how to reach my targets faster_x000a_building ready work skills"/>
    <s v="Transition Mentor"/>
    <s v="Full Time Employee"/>
    <s v="African (South Africa)"/>
    <s v="Male"/>
    <s v="20 - 29"/>
    <s v="FNB Commercial Sales Gauteng (Zakhele Maseko)"/>
    <s v="South Africa"/>
    <s v="FNB"/>
    <s v="34200006248 FNB Commercial Sales Gauteng Klipriver 60 to 150M"/>
    <s v="Client Portfolio Analyst"/>
    <s v="2 Years"/>
    <s v="Client Services Support and Delivery"/>
    <s v="8885569"/>
    <x v="605"/>
    <s v="FirstJob 18.2 Internal"/>
    <s v="African (South Africa)"/>
    <s v="Female"/>
    <s v="20 - 29"/>
    <s v="FNB Points of Presence (Penny Manganye)"/>
    <s v="South Africa"/>
    <s v="FNB"/>
    <s v="7710710300 FNB POP Branch Delivery Youth Development"/>
    <s v="FirstJob Learner"/>
    <s v="&lt;1 Year"/>
    <s v="Specialised Development Programs (Graduate/ Trainee)"/>
    <s v="Create Mentorship Event for Precious Phalwane with Liso Tabata"/>
    <d v="2026-01-27T00:00:00"/>
    <d v="2026-11-30T00:00:00"/>
    <m/>
  </r>
  <r>
    <s v="8877693"/>
    <x v="354"/>
    <s v="1. I want to learn more than i already know about the banking industry._x000a_2. Improve my knowledge on sales._x000a_3. Get my certificate at the end the program."/>
    <s v="Transition Mentor"/>
    <s v="Full Time Employee"/>
    <s v="African (South Africa)"/>
    <s v="Male"/>
    <s v="20 - 29"/>
    <s v="FNB ConnectMe (Desree Riba)"/>
    <s v="South Africa"/>
    <s v="FNB"/>
    <s v="47100001963 CoE Graduate Programme"/>
    <s v="Graduate Programme"/>
    <s v="1 Year"/>
    <s v="Specialised Development Programs (Graduate/ Trainee)"/>
    <s v="8885680"/>
    <x v="606"/>
    <s v="FirstJob 18.2 Internal"/>
    <s v="African (South Africa)"/>
    <s v="Female"/>
    <s v="20 - 29"/>
    <s v="FNB Points of Presence (Khulu Bongelo)"/>
    <s v="South Africa"/>
    <s v="FNB"/>
    <s v="7710710300 FNB POP Branch Delivery Youth Development"/>
    <s v="FirstJob Learner"/>
    <s v="&lt;1 Year"/>
    <s v="Specialised Development Programs (Graduate/ Trainee)"/>
    <s v="Create Mentorship Event for Karabelo Innocent Finger with Gudani Khuswana"/>
    <d v="2026-01-28T00:00:00"/>
    <d v="2026-11-30T00:00:00"/>
    <m/>
  </r>
  <r>
    <s v="8876417"/>
    <x v="358"/>
    <s v="This year, I wish to:_x000a__x000a_Learn- How to confidently approach customers with a clear voice. _x000a_Do- I want to be able to go out and look for sales and be able to achieve my targets. _x000a_Achieve- I wish to achieve my goals and be able to secure a permanent position."/>
    <s v="Transition Mentor"/>
    <s v="Full Time Employee"/>
    <s v="Indian (South Africa)"/>
    <s v="Male"/>
    <s v="20 - 29"/>
    <s v="FNB Dynamic Decisioning (Rene Meintjes)"/>
    <s v="South Africa"/>
    <s v="FNB"/>
    <s v="23900003941 FNB Dynamic Decisioning Cortex"/>
    <s v="Developer"/>
    <s v="1 Year"/>
    <s v="IT Development"/>
    <s v="8885570"/>
    <x v="607"/>
    <s v="FirstJob 18.2 Internal"/>
    <s v="African (South Africa)"/>
    <s v="Female"/>
    <s v="20 - 29"/>
    <s v="FNB Points of Presence (Ismail Mohamed)"/>
    <s v="South Africa"/>
    <s v="FNB"/>
    <s v="7710710300 FNB POP Branch Delivery Youth Development"/>
    <s v="FirstJob Learner"/>
    <s v="&lt;1 Year"/>
    <s v="Specialised Development Programs (Graduate/ Trainee)"/>
    <s v="Create Mentorship Event for Nosipho Angela Sithole with Kaylyn Karuppen"/>
    <d v="2026-01-27T00:00:00"/>
    <d v="2026-11-30T00:00:00"/>
    <m/>
  </r>
  <r>
    <s v="8877646"/>
    <x v="380"/>
    <s v="1. Understand how to handle crisis in tough communication situations like data breach, addressing issues that can affect customers and business._x000a_2. Know how to measure communication success using analytics to show impact _x000a_3. Internal PR keeping employees informed and on brand"/>
    <s v="Transition Mentor"/>
    <s v="Full Time Employee"/>
    <s v="African (South Africa)"/>
    <s v="Male"/>
    <s v="20 - 29"/>
    <s v="CDO Infrastructure and Security Services (Tate Mphahlele)"/>
    <s v="South Africa"/>
    <s v="FNB"/>
    <s v="20700005088 CDO Infrastructure and Security Services Business Intelligence"/>
    <s v="Business Intelligence Developer"/>
    <s v="1 Year"/>
    <s v="Business Intelligence"/>
    <s v="8884129"/>
    <x v="608"/>
    <s v="FirstJob 18.2 Internal"/>
    <s v="African (South Africa)"/>
    <s v="Male"/>
    <s v="20 - 29"/>
    <s v="FNB COO Head Office (Mareli Benn)"/>
    <s v="South Africa"/>
    <s v="FNB"/>
    <s v="47100005652 FNB Youth Employment Scheme"/>
    <s v="FirstJob Learner"/>
    <s v="&lt;1 Year"/>
    <s v="Specialised Development Programs (Graduate/ Trainee)"/>
    <s v="Create Mentorship Event for Mondli Chauke with Tokelo Monare"/>
    <d v="2026-01-27T00:00:00"/>
    <d v="2026-09-30T00:00:00"/>
    <m/>
  </r>
  <r>
    <s v="8877127"/>
    <x v="377"/>
    <s v="1. Gain fresh perspective_x000a_2. Strengthen my knowledge_x000a_3. Refine communication skills"/>
    <s v="Transition Mentor"/>
    <s v="Full Time Employee"/>
    <s v="African (South Africa)"/>
    <s v="Male"/>
    <s v="20 - 29"/>
    <s v="FNB Loans (Kgomotso Sebitlo)"/>
    <s v="South Africa"/>
    <s v="FNB"/>
    <s v="79100009082 FNB Consumer Loans Support Credit"/>
    <s v="Data Scientist"/>
    <s v="1 Year"/>
    <s v="Analytics"/>
    <s v="8884218"/>
    <x v="609"/>
    <s v="FirstJob 18.2 Internal"/>
    <s v="African (South Africa)"/>
    <s v="Male"/>
    <s v="30 - 39"/>
    <s v="FNB Personal Human Capital (Vanessa Mileham)"/>
    <s v="South Africa"/>
    <s v="FNB"/>
    <s v="47100005652 FNB Youth Employment Scheme"/>
    <s v="FirstJob Learner"/>
    <s v="&lt;1 Year"/>
    <s v="Specialised Development Programs (Graduate/ Trainee)"/>
    <s v="Close Mentorship Event for Nyiko Magomani with Nathan Ngqwebo_x000a__x000a_Create Mentorship Event for Nyiko Magomani with Nathan Ngqwebo"/>
    <d v="2026-01-27T00:00:00"/>
    <d v="2026-10-31T00:00:00"/>
    <s v="Mentor Withdrawal - Availability"/>
  </r>
  <r>
    <s v="8871842"/>
    <x v="381"/>
    <s v="I want to be the best Sweet Spot first jobber in the FNB history._x000a__x000a_To obtain NQF 5 Certificate at FNB_x000a__x000a_Be permanently employed at FNB"/>
    <s v="Transition Mentor"/>
    <s v="Full Time Employee"/>
    <s v="African (South Africa)"/>
    <s v="Male"/>
    <s v="20 - 29"/>
    <s v="FNB Chief Risk Office Interactions and Risk Analytics (Tumisho Mabelane)"/>
    <s v="South Africa"/>
    <s v="FNB"/>
    <s v="39400003184 FNB Chief Risk Office Interactions and Risk Analytics"/>
    <s v="Data Scientist"/>
    <s v="1 Year"/>
    <s v="Analytics"/>
    <s v="8885890"/>
    <x v="610"/>
    <s v="FirstJob 18.2 Internal"/>
    <s v="African (South Africa)"/>
    <s v="Female"/>
    <s v="20 - 29"/>
    <s v="FNB Points of Presence (Tessa Nkewana)"/>
    <s v="South Africa"/>
    <s v="FNB"/>
    <s v="7710710300 FNB POP Branch Delivery Youth Development"/>
    <s v="FirstJob Learner"/>
    <s v="&lt;1 Year"/>
    <s v="Specialised Development Programs (Graduate/ Trainee)"/>
    <s v="Create Mentorship Event for Khonaye Ntshwanti with Msimisi Dlamini"/>
    <d v="2026-01-27T00:00:00"/>
    <d v="2026-12-01T00:00:00"/>
    <m/>
  </r>
  <r>
    <s v="8876892"/>
    <x v="351"/>
    <s v="Customer service _x000a_Know all the banking products_x000a_Bank Challenges"/>
    <s v="Transition Mentor"/>
    <s v="Full Time Employee"/>
    <s v="African (South Africa)"/>
    <s v="Male"/>
    <s v="20 - 29"/>
    <s v="FNB Central Finance (Siyasanga Makiwane)"/>
    <s v="South Africa"/>
    <s v="FNB"/>
    <s v="39400004965 FNB Finance Analytics"/>
    <s v="Data Scientist"/>
    <s v="1 Year"/>
    <s v="Analytics"/>
    <s v="8885551"/>
    <x v="611"/>
    <s v="FirstJob 18.2 Internal"/>
    <s v="African (South Africa)"/>
    <s v="Female"/>
    <s v="20 - 29"/>
    <s v="FNB Points of Presence (Ashveer Kissoon)"/>
    <s v="South Africa"/>
    <s v="FNB"/>
    <s v="7710710300 FNB POP Branch Delivery Youth Development"/>
    <s v="FirstJob Learner"/>
    <s v="&lt;1 Year"/>
    <s v="Specialised Development Programs (Graduate/ Trainee)"/>
    <s v="Create Mentorship Event for Nosihle Gcaba with Malamba Lavhengwa"/>
    <d v="2026-01-26T00:00:00"/>
    <d v="2026-11-30T00:00:00"/>
    <m/>
  </r>
  <r>
    <s v="8876734"/>
    <x v="382"/>
    <s v="Adapting in the workplace_x000a_Reaching sales targets_x000a_Learning valuable skills"/>
    <s v="Workplace  Buddy"/>
    <s v="Full Time Employee"/>
    <s v="African (South Africa)"/>
    <s v="Male"/>
    <s v="20 - 29"/>
    <s v="FNB Commercial Cash (Andries Vermaak)"/>
    <s v="South Africa"/>
    <s v="FNB"/>
    <s v="25200006132 FNB Commercial IT Application Development Cash"/>
    <s v="Data Scientist"/>
    <s v="1 Year"/>
    <s v="Analytics"/>
    <s v="8885588"/>
    <x v="612"/>
    <s v="FirstJob 18.2 Internal"/>
    <s v="African (South Africa)"/>
    <s v="Female"/>
    <s v="30 - 39"/>
    <s v="FNB Points of Presence (Charlton Willemse)"/>
    <s v="South Africa"/>
    <s v="FNB"/>
    <s v="7710710300 FNB POP Branch Delivery Youth Development"/>
    <s v="FirstJob Learner"/>
    <s v="&lt;1 Year"/>
    <s v="Specialised Development Programs (Graduate/ Trainee)"/>
    <s v="Create Mentorship Event for Nonceba Ludidi with Costa Muthai"/>
    <d v="2026-02-03T00:00:00"/>
    <d v="2026-11-27T00:00:00"/>
    <m/>
  </r>
  <r>
    <s v="8870735"/>
    <x v="360"/>
    <s v="This year i want to achieve the following goals:_x000a_1. Successfully complete the qualification I am enrolled in._x000a_2.Learn and understand more about all the departments in my business unit._x000a_3.Aquire a permanent position in my department."/>
    <s v="Transition Mentor"/>
    <s v="Full Time Employee"/>
    <s v="Indian (South Africa)"/>
    <s v="Male"/>
    <s v="20 - 29"/>
    <s v="FNB Commercial Analytics Insights Data (Ole Moeng)"/>
    <s v="South Africa"/>
    <s v="FNB"/>
    <s v="34300003334 FNB Commercial Analytics Insights and Research"/>
    <s v="Data Scientist"/>
    <s v="2 Years"/>
    <s v="Analytics"/>
    <s v="8884171"/>
    <x v="613"/>
    <s v="FirstJob 18.2 Internal"/>
    <s v="African (South Africa)"/>
    <s v="Male"/>
    <s v="20 - 29"/>
    <s v="FNB Commercial Merchant Services (Khothatso Mackay)"/>
    <s v="South Africa"/>
    <s v="FNB"/>
    <s v="47100005652 FNB Youth Employment Scheme"/>
    <s v="FirstJob Learner"/>
    <s v="&lt;1 Year"/>
    <s v="Specialised Development Programs (Graduate/ Trainee)"/>
    <s v="Create Mentorship Event for Kamogelo Ndlovu with Veroshan Thaver"/>
    <d v="2026-01-27T00:00:00"/>
    <d v="2026-09-30T00:00:00"/>
    <m/>
  </r>
  <r>
    <s v="8877431"/>
    <x v="364"/>
    <s v="Goal 1: Master fundamentals as to get solid in kitchen basics like knife skills, cooking techniques, and food safety._x000a_Goal 2: Learn from the best :Absorb knowledge and skills from experienced chefs, and ask tons of questions._x000a_Goal 3: Gets hands-on experience: Dive into different kitchen stations, work on live orders also cooking for crowds, e.g. buffet, special events."/>
    <s v="Transition Mentor"/>
    <s v="Full Time Employee"/>
    <s v="African (South Africa)"/>
    <s v="Male"/>
    <s v="20 - 29"/>
    <s v="FNB Commercial Credit Scoring (Alfred Friend)"/>
    <s v="South Africa"/>
    <s v="FNB"/>
    <s v="34200003338 FNB Commercial Credit Scoring"/>
    <s v="Graduate Programme"/>
    <s v="1 Year"/>
    <s v="Specialised Development Programs (Graduate/ Trainee)"/>
    <s v="8884267"/>
    <x v="614"/>
    <s v="FirstJob 18.2 Internal"/>
    <s v="African (South Africa)"/>
    <s v="Female"/>
    <s v="20 - 29"/>
    <s v="REMS Real Estate Management Services (Rani Roopnarain)"/>
    <s v="South Africa"/>
    <s v="FNB"/>
    <s v="47100005652 FNB Youth Employment Scheme"/>
    <s v="FirstJob Intern"/>
    <s v="&lt;1 Year"/>
    <s v="Specialised Development Programs (Graduate/ Trainee)"/>
    <s v="Create Mentorship Event for Philiswa Lungeleni Msane with Lehlogonolo Phineas Mbiza"/>
    <d v="2026-01-29T00:00:00"/>
    <d v="2026-09-30T00:00:00"/>
    <m/>
  </r>
  <r>
    <s v="8870794"/>
    <x v="383"/>
    <s v="Goal number 1: I need to get retained at the end at the end of my learnership. _x000a__x000a_Goal number 2: Know how to fit in with corporations and with any corporate culture. _x000a__x000a_Goal number 3: I need to know how to network and set myself apart from the majority."/>
    <s v="Transition Mentor"/>
    <s v="Full Time Employee"/>
    <s v="African (South Africa)"/>
    <s v="Male"/>
    <s v="20 - 29"/>
    <s v="DirectAxis (Siphelo Malinde)"/>
    <s v="South Africa"/>
    <s v="FNB"/>
    <s v="99700009159 FNB DA Operations Executives"/>
    <s v="Functional Configuration Consultant"/>
    <s v="2 Years"/>
    <s v="Business/Systems Analysis"/>
    <s v="8884128"/>
    <x v="615"/>
    <s v="FirstJob 18.2 Internal"/>
    <s v="African (South Africa)"/>
    <s v="Male"/>
    <s v="20 - 29"/>
    <s v="FNB Wealth and Investments (Ndumiso Masala)"/>
    <s v="South Africa"/>
    <s v="FNB"/>
    <s v="47100005652 FNB Youth Employment Scheme"/>
    <s v="FirstJob Learner"/>
    <s v="&lt;1 Year"/>
    <s v="Specialised Development Programs (Graduate/ Trainee)"/>
    <s v="Create Mentorship Event for Bonga Sondlo with Tebogo Matome Raphadu"/>
    <d v="2026-01-26T00:00:00"/>
    <d v="2026-09-30T00:00:00"/>
    <m/>
  </r>
  <r>
    <s v="4830601"/>
    <x v="384"/>
    <s v="Hi, I hope you’re well. My name is Mbhalenhle Mahuhushi, and I recently joined RMB in October 2025 through the Operations Experience Graduate Programme. I’m currently placed within the GoldenSource Business Analysis team under Munnera._x000a__x000a_I came across your profile on LinkedIn and was really inspired by your journey. Even though our educational backgrounds are quite different, I deeply admire the depth of your expertise and the direction your career has taken. Your work sits in a space I’m very interested in exploring and eventually growing into._x000a__x000a_I’m currently in a stage where I’m trying to strengthen my technical capabilities, sharpen my analytical thinking, and broaden my understanding of the business. I would really appreciate the opportunity to learn from you, whether through occasional conversations, guidance on development areas, or any insights you feel would help someone early in their career._x000a__x000a_If you’re open to it, I would be grateful for the chance to connect and potentially explore a mentorship relationship. Thank you for considering my request, and either way, I truly appreciate the work you do and the inspiration it provides._x000a__x000a_Kind regards"/>
    <s v="Career Mentor"/>
    <s v="Full Time Employee"/>
    <s v="African (South Africa)"/>
    <s v="Female"/>
    <s v="40 - 49"/>
    <s v="RMBSA Client Group Operations (Helen Wood)"/>
    <s v="South Africa"/>
    <s v="RMB"/>
    <s v="77800000CPE RMBSA Client Operations Product Enablement"/>
    <s v="Client Profile Management Operations Head"/>
    <s v="11 -15 Years"/>
    <s v="Administration"/>
    <s v="8884622"/>
    <x v="564"/>
    <s v="FirstJob 18.2 Internal"/>
    <s v="African (South Africa)"/>
    <s v="Female"/>
    <s v="20 - 29"/>
    <s v="RMBSA Operations Product Owner Golden Source (Muneera Khan)"/>
    <s v="South Africa"/>
    <s v="RMB"/>
    <s v="77800000RMJ RMBSA Central COO Leadership Team"/>
    <s v="FirstJob Graduate"/>
    <s v="&lt;1 Year"/>
    <s v="Specialised Development Programs (Graduate/ Trainee)"/>
    <s v="Create Mentorship Event for Mbhalenhle Mahuhushi with Tshepiso Mngomezulu"/>
    <d v="2026-01-20T00:00:00"/>
    <m/>
    <m/>
  </r>
  <r>
    <s v="8870709"/>
    <x v="385"/>
    <s v="This year i would like to achieve the following goals:_x000a__x000a_1. Develop new skills, especially in problem-solving and analytical thinking._x000a_2. Build strong technical skills along with effective communication abilities._x000a_3. Secure a job in a technical field where I can continue learning and developing myself."/>
    <s v="Transition Mentor"/>
    <s v="Full Time Employee"/>
    <s v="African (South Africa)"/>
    <s v="Male"/>
    <s v="20 - 29"/>
    <s v="CDO Kernel iNterfaceX (Denisha Rambaran)"/>
    <s v="South Africa"/>
    <s v="FNB"/>
    <s v="21800004117 CDO Kernel iNterfaceX Data Science Engineering"/>
    <s v="Data Engineer"/>
    <s v="2 Years"/>
    <s v="Data Management, Maintenance and Security"/>
    <s v="8884212"/>
    <x v="616"/>
    <s v="FirstJob 18.2 Internal"/>
    <s v="African (South Africa)"/>
    <s v="Male"/>
    <s v="20 - 29"/>
    <s v="FNB Commercial TxP (Maganda Nthimbane)"/>
    <s v="South Africa"/>
    <s v="FNB"/>
    <s v="47100005652 FNB Youth Employment Scheme"/>
    <s v="FirstJob Learner"/>
    <s v="&lt;1 Year"/>
    <s v="Specialised Development Programs (Graduate/ Trainee)"/>
    <s v="Create Mentorship Event for Siphesihle Anderson Kwelemthini with Ronewa Errol Maemu Tshikosi"/>
    <d v="2026-01-27T00:00:00"/>
    <d v="2026-10-02T00:00:00"/>
    <m/>
  </r>
  <r>
    <s v="8870709"/>
    <x v="385"/>
    <m/>
    <s v="Transition Mentor"/>
    <s v="Full Time Employee"/>
    <s v="African (South Africa)"/>
    <s v="Male"/>
    <s v="20 - 29"/>
    <s v="CDO Kernel iNterfaceX (Denisha Rambaran)"/>
    <s v="South Africa"/>
    <s v="FNB"/>
    <s v="21800004117 CDO Kernel iNterfaceX Data Science Engineering"/>
    <s v="Data Engineer"/>
    <s v="2 Years"/>
    <s v="Data Management, Maintenance and Security"/>
    <s v="8885543"/>
    <x v="617"/>
    <s v="FirstJob 18.2 Internal"/>
    <s v="African (South Africa)"/>
    <s v="Female"/>
    <s v="20 - 29"/>
    <s v="FNB Points of Presence (Nicolene Maritz (Inherited))"/>
    <s v="South Africa"/>
    <s v="FNB"/>
    <s v="7710710300 FNB POP Branch Delivery Youth Development"/>
    <s v="FirstJob Learner"/>
    <s v="&lt;1 Year"/>
    <s v="Specialised Development Programs (Graduate/ Trainee)"/>
    <s v="Create Mentorship Event for Mmapaseka Mmamogale with Ronewa Errol Maemu Tshikosi"/>
    <d v="2025-12-01T00:00:00"/>
    <d v="2026-11-30T00:00:00"/>
    <m/>
  </r>
  <r>
    <s v="8877693"/>
    <x v="354"/>
    <s v="Goal 1- Building a strong solid foundation in banking by learning the systems and understand how the bank works and understand my role and excel in it._x000a_Goal 2- Develop good judgement and risk awareness _x000a_Goal 3- Grow professionally in the financial industry"/>
    <s v="Transition Mentor"/>
    <s v="Full Time Employee"/>
    <s v="African (South Africa)"/>
    <s v="Male"/>
    <s v="20 - 29"/>
    <s v="FNB ConnectMe (Desree Riba)"/>
    <s v="South Africa"/>
    <s v="FNB"/>
    <s v="47100001963 CoE Graduate Programme"/>
    <s v="Graduate Programme"/>
    <s v="1 Year"/>
    <s v="Specialised Development Programs (Graduate/ Trainee)"/>
    <s v="8885693"/>
    <x v="618"/>
    <s v="FirstJob 18.2 Internal"/>
    <s v="African (South Africa)"/>
    <s v="Female"/>
    <s v="20 - 29"/>
    <s v="FNB Points of Presence (Yota Christodoulou)"/>
    <s v="South Africa"/>
    <s v="FNB"/>
    <s v="7710710300 FNB POP Branch Delivery Youth Development"/>
    <s v="FirstJob Learner"/>
    <s v="&lt;1 Year"/>
    <s v="Specialised Development Programs (Graduate/ Trainee)"/>
    <s v="Create Mentorship Event for Winnie Sithole with Gudani Khuswana"/>
    <d v="2026-01-28T00:00:00"/>
    <d v="2026-01-31T00:00:00"/>
    <m/>
  </r>
  <r>
    <s v="8876776"/>
    <x v="386"/>
    <s v="1.Systems knowledge_x000a_2.Academics_x000a_3.Excellence in doing my job._x000a_4.Emotional intelligence"/>
    <s v="Transition Mentor"/>
    <s v="Full Time Employee"/>
    <s v="White (South Africa)"/>
    <s v="Male"/>
    <s v="20 - 29"/>
    <s v="FNB Connect and Service Provider (Marlon Joel)"/>
    <s v="South Africa"/>
    <s v="FNB"/>
    <s v="83100002439 FNB Connect BI"/>
    <s v="Data Scientist"/>
    <s v="1 Year"/>
    <s v="Analytics"/>
    <s v="8884194"/>
    <x v="619"/>
    <s v="FirstJob 18.2 Internal"/>
    <s v="African (South Africa)"/>
    <s v="Female"/>
    <s v="20 - 29"/>
    <s v="FNB Personal Segment Advisory and Suites (Veronica Nhlapo)"/>
    <s v="South Africa"/>
    <s v="FNB"/>
    <s v="47100005652 FNB Youth Employment Scheme"/>
    <s v="FirstJob Learner"/>
    <s v="&lt;1 Year"/>
    <s v="Specialised Development Programs (Graduate/ Trainee)"/>
    <s v="Create Mentorship Event for Amishoni Vivian Shirindza with Rohan Schoeman"/>
    <d v="2026-01-29T00:00:00"/>
    <d v="2026-10-31T00:00:00"/>
    <m/>
  </r>
  <r>
    <s v="8876184"/>
    <x v="387"/>
    <s v="My three top goals:_x000a_1. Finish the learnership without breaking any rules._x000a_2. Pass my assignments with outstanding marks._x000a_3. Build my first career path."/>
    <s v="Transition Mentor"/>
    <s v="Full Time Employee"/>
    <s v="African (South Africa)"/>
    <s v="Female"/>
    <s v="20 - 29"/>
    <s v="CDO Kernel iNterfaceX (Tendani Munyai)"/>
    <s v="South Africa"/>
    <s v="FNB"/>
    <s v="21800003954 CDO Kernel iNterfaceX Assisted and Sales Dev sales"/>
    <s v="Graduate Programme"/>
    <s v="1 Year"/>
    <s v="Specialised Development Programs (Graduate/ Trainee)"/>
    <s v="8885673"/>
    <x v="620"/>
    <s v="FirstJob 18.2 Internal"/>
    <s v="African (South Africa)"/>
    <s v="Female"/>
    <s v="19 and under"/>
    <s v="FNB Points of Presence (Sfiso Sibiya)"/>
    <s v="South Africa"/>
    <s v="FNB"/>
    <s v="7710710300 FNB POP Branch Delivery Youth Development"/>
    <s v="FirstJob Learner"/>
    <s v="&lt;1 Year"/>
    <s v="Specialised Development Programs (Graduate/ Trainee)"/>
    <s v="Create Mentorship Event for Sphelele Ndhlovu with Nobuhle Mlahleki"/>
    <d v="2026-01-29T00:00:00"/>
    <d v="2026-12-01T00:00:00"/>
    <m/>
  </r>
  <r>
    <s v="8877829"/>
    <x v="388"/>
    <s v="Develop a deeper understanding of FNB's talent acquisition and development strategies._x000a__x000a_Improve my skills in HR analytics and reporting._x000a__x000a_Position myself for a permanent role in the HC department."/>
    <s v="Transition Mentor"/>
    <s v="Full Time Employee"/>
    <s v="African (South Africa)"/>
    <s v="Female"/>
    <s v="20 - 29"/>
    <s v="FR Life Assurance (Kholiswa Mvumvu)"/>
    <s v="South Africa"/>
    <s v="FNB"/>
    <s v="61500010304 FR Insure and Invest Distribution"/>
    <s v="Data Scientist"/>
    <s v="1 Year"/>
    <s v="Analytics"/>
    <s v="8884144"/>
    <x v="621"/>
    <s v="FirstJob 18.2 Internal"/>
    <s v="African (South Africa)"/>
    <s v="Female"/>
    <s v="20 - 29"/>
    <s v="FNB Points of Presence (Sibusiso Malinga)"/>
    <s v="South Africa"/>
    <s v="FNB"/>
    <s v="47100005652 FNB Youth Employment Scheme"/>
    <s v="FirstJob Learner"/>
    <s v="&lt;1 Year"/>
    <s v="Specialised Development Programs (Graduate/ Trainee)"/>
    <s v="Create Mentorship Event for Nqobile Nhlapho with Sizolwethu Mthombeni"/>
    <d v="2026-01-30T00:00:00"/>
    <d v="2026-09-30T00:00:00"/>
    <m/>
  </r>
  <r>
    <s v="8877793"/>
    <x v="379"/>
    <s v="1. Improve my sales numbers_x000a_2. Learn more about the banking industry_x000a_3. Become a permanent member at FNB"/>
    <s v="Transition Mentor"/>
    <s v="Full Time Employee"/>
    <s v="Indian (South Africa)"/>
    <s v="Male"/>
    <s v="20 - 29"/>
    <s v="FNB Commercial EFT (Gerjo Schreuder)"/>
    <s v="South Africa"/>
    <s v="FNB"/>
    <s v="68400003918 FNB Commercial EFT Product House Product"/>
    <s v="Product Specialist"/>
    <s v="1 Year"/>
    <s v="Product Support, Development and Analysis"/>
    <s v="8885764"/>
    <x v="622"/>
    <s v="FirstJob 18.2 Internal"/>
    <s v="African (South Africa)"/>
    <s v="Male"/>
    <s v="30 - 39"/>
    <s v="FNB Points of Presence (Celia Motswiane)"/>
    <s v="South Africa"/>
    <s v="FNB"/>
    <s v="7710710300 FNB POP Branch Delivery Youth Development"/>
    <s v="FirstJob Learner"/>
    <s v="&lt;1 Year"/>
    <s v="Specialised Development Programs (Graduate/ Trainee)"/>
    <s v="Create Mentorship Event for Molefi Macdonald Modumaela with Talhah Shahzada"/>
    <d v="2026-01-28T00:00:00"/>
    <d v="2026-11-30T00:00:00"/>
    <m/>
  </r>
  <r>
    <s v="5666961"/>
    <x v="389"/>
    <s v="I want to learn more about finance and economy at large, help clients to have more financial freedom and help with acknowledge about investments._x000a__x000a_Achieve understanding of financial success and economical skills."/>
    <s v="Transition Mentor"/>
    <s v="Full Time Employee"/>
    <s v="Indian (South Africa)"/>
    <s v="Male"/>
    <s v="20 - 29"/>
    <s v="CDO Kernel iNterfaceX (Justin Rademan)"/>
    <s v="South Africa"/>
    <s v="FNB"/>
    <s v="21800004034 CDO Kernel iNterfaceX Web Services"/>
    <s v="Web Designer"/>
    <s v="2 Years"/>
    <s v="IT Development"/>
    <s v="8884207"/>
    <x v="623"/>
    <s v="FirstJob 18.2 Internal"/>
    <s v="African (South Africa)"/>
    <s v="Female"/>
    <s v="19 and under"/>
    <s v="FNB Commercial Cash (Jen Cleland)"/>
    <s v="South Africa"/>
    <s v="FNB"/>
    <s v="47100005652 FNB Youth Employment Scheme"/>
    <s v="FirstJob Learner"/>
    <s v="&lt;1 Year"/>
    <s v="Specialised Development Programs (Graduate/ Trainee)"/>
    <s v="Create Mentorship Event for Kutlwano Lekgetho with Muhammad Moosa"/>
    <d v="2026-01-29T00:00:00"/>
    <d v="2026-09-28T00:00:00"/>
    <m/>
  </r>
  <r>
    <s v="5666961"/>
    <x v="389"/>
    <s v="This year I want to achieve the following goal:_x000a_1. Gaining practical banking skills_x000a_2. Gaining communication skills _x000a_3. Get a permanent position at the end of the learnership"/>
    <s v="Transition Mentor"/>
    <s v="Full Time Employee"/>
    <s v="Indian (South Africa)"/>
    <s v="Male"/>
    <s v="20 - 29"/>
    <s v="CDO Kernel iNterfaceX (Justin Rademan)"/>
    <s v="South Africa"/>
    <s v="FNB"/>
    <s v="21800004034 CDO Kernel iNterfaceX Web Services"/>
    <s v="Web Designer"/>
    <s v="2 Years"/>
    <s v="IT Development"/>
    <s v="8885564"/>
    <x v="624"/>
    <s v="FirstJob 18.2 Internal"/>
    <s v="African (South Africa)"/>
    <s v="Female"/>
    <s v="20 - 29"/>
    <s v="FNB Points of Presence (Zinhle Pikwa)"/>
    <s v="South Africa"/>
    <s v="FNB"/>
    <s v="7710710300 FNB POP Branch Delivery Youth Development"/>
    <s v="FirstJob Learner"/>
    <s v="&lt;1 Year"/>
    <s v="Specialised Development Programs (Graduate/ Trainee)"/>
    <s v="Create Mentorship Event for Gugu Yeni with Muhammad Moosa"/>
    <d v="2026-01-16T00:00:00"/>
    <d v="2026-12-01T00:00:00"/>
    <m/>
  </r>
  <r>
    <s v="8877431"/>
    <x v="364"/>
    <s v="Grow Into a High‑Performing, Career‑Ready Employee_x000a__x000a_gain leadership skills._x000a__x000a_Build Strong Banking &amp; Financial Skills."/>
    <s v="Transition Mentor"/>
    <s v="Full Time Employee"/>
    <s v="African (South Africa)"/>
    <s v="Male"/>
    <s v="20 - 29"/>
    <s v="FNB Commercial Credit Scoring (Alfred Friend)"/>
    <s v="South Africa"/>
    <s v="FNB"/>
    <s v="34200003338 FNB Commercial Credit Scoring"/>
    <s v="Graduate Programme"/>
    <s v="1 Year"/>
    <s v="Specialised Development Programs (Graduate/ Trainee)"/>
    <s v="8884220"/>
    <x v="625"/>
    <s v="FirstJob 18.2 Internal"/>
    <s v="African (South Africa)"/>
    <s v="Male"/>
    <s v="20 - 29"/>
    <s v="FNB Commercial Public Sector (Thobela Jemsana)"/>
    <s v="South Africa"/>
    <s v="FNB"/>
    <s v="84100002705 FNB Commercial Public Sector KZN"/>
    <s v="FirstJob Learner"/>
    <s v="&lt;1 Year"/>
    <s v="Specialised Development Programs (Graduate/ Trainee)"/>
    <s v="Create Mentorship Event for Sabelo Mshiywa with Lehlogonolo Phineas Mbiza"/>
    <d v="2026-01-26T00:00:00"/>
    <d v="2026-12-01T00:00:00"/>
    <m/>
  </r>
  <r>
    <s v="8877127"/>
    <x v="377"/>
    <s v="This is year I want to achieve the following goals:_x000a_1: permanent advance _x000a_2:Growth in banking"/>
    <s v="Transition Mentor"/>
    <s v="Full Time Employee"/>
    <s v="African (South Africa)"/>
    <s v="Male"/>
    <s v="20 - 29"/>
    <s v="FNB Loans (Kgomotso Sebitlo)"/>
    <s v="South Africa"/>
    <s v="FNB"/>
    <s v="79100009082 FNB Consumer Loans Support Credit"/>
    <s v="Data Scientist"/>
    <s v="1 Year"/>
    <s v="Analytics"/>
    <s v="8885581"/>
    <x v="626"/>
    <s v="FirstJob 18.2 Internal"/>
    <s v="African (South Africa)"/>
    <s v="Female"/>
    <s v="20 - 29"/>
    <s v="FNB Points of Presence (Dimakatso Mokoena)"/>
    <s v="South Africa"/>
    <s v="FNB"/>
    <s v="7710710300 FNB POP Branch Delivery Youth Development"/>
    <s v="FirstJob Learner"/>
    <s v="&lt;1 Year"/>
    <s v="Specialised Development Programs (Graduate/ Trainee)"/>
    <s v="Create Mentorship Event for Nhluvuko Rookie Maluleke with Nathan Ngqwebo"/>
    <d v="2026-01-29T00:00:00"/>
    <m/>
    <m/>
  </r>
  <r>
    <s v="8877028"/>
    <x v="390"/>
    <s v="1. I want to learn at the teller department _x000a_2. Be proficient in sales and sell _x000a_3. Be comfortable in making presentations"/>
    <s v="Transition Mentor"/>
    <s v="Full Time Employee"/>
    <s v="African (South Africa)"/>
    <s v="Male"/>
    <s v="20 - 29"/>
    <s v="FNB Wealth and Investments (Karabo Ditsebe)"/>
    <s v="South Africa"/>
    <s v="FNB"/>
    <s v="47100001963 CoE Graduate Programme"/>
    <s v="Graduate Programme"/>
    <s v="1 Year"/>
    <s v="Specialised Development Programs (Graduate/ Trainee)"/>
    <s v="8885614"/>
    <x v="627"/>
    <s v="FirstJob 18.2 Internal"/>
    <s v="African (South Africa)"/>
    <s v="Male"/>
    <s v="30 - 39"/>
    <s v="FNB Points of Presence (Ntsikelelo Buti)"/>
    <s v="South Africa"/>
    <s v="FNB"/>
    <s v="7710710300 FNB POP Branch Delivery Youth Development"/>
    <s v="FirstJob Learner"/>
    <s v="&lt;1 Year"/>
    <s v="Specialised Development Programs (Graduate/ Trainee)"/>
    <s v="Create Mentorship Event for Phumlile Lureme with Andisa Mashimbye"/>
    <d v="2026-01-28T00:00:00"/>
    <d v="2026-11-30T00:00:00"/>
    <m/>
  </r>
  <r>
    <s v="8876184"/>
    <x v="387"/>
    <s v="Bridging the gap for graduates and first-time joiners to the workplace_x000a__x000a_Learn how to navigate the system"/>
    <s v="Leadership Mentor"/>
    <s v="Full Time Employee"/>
    <s v="African (South Africa)"/>
    <s v="Female"/>
    <s v="20 - 29"/>
    <s v="CDO Kernel iNterfaceX (Tendani Munyai)"/>
    <s v="South Africa"/>
    <s v="FNB"/>
    <s v="21800003954 CDO Kernel iNterfaceX Assisted and Sales Dev sales"/>
    <s v="Graduate Programme"/>
    <s v="1 Year"/>
    <s v="Specialised Development Programs (Graduate/ Trainee)"/>
    <s v="8884324"/>
    <x v="628"/>
    <s v="FirstJob 18.2 Internal"/>
    <s v="African (South Africa)"/>
    <s v="Male"/>
    <s v="20 - 29"/>
    <s v="FNB Volunteers (Solomon Mzinyane)"/>
    <s v="South Africa"/>
    <s v="FNB"/>
    <s v="47100005652 FNB Youth Employment Scheme"/>
    <s v="FirstJob Learner"/>
    <s v="&lt;1 Year"/>
    <s v="Specialised Development Programs (Graduate/ Trainee)"/>
    <s v="Create Mentorship Event for Stanley Malepe with Nobuhle Mlahleki"/>
    <d v="2026-02-06T00:00:00"/>
    <m/>
    <m/>
  </r>
  <r>
    <s v="8877028"/>
    <x v="390"/>
    <s v="This year I want to learn the following:_x000a_1. Communication skills _x000a_2. Good organizational skills_x000a_3. Allow room for growth"/>
    <s v="Transition Mentor"/>
    <s v="Full Time Employee"/>
    <s v="African (South Africa)"/>
    <s v="Male"/>
    <s v="20 - 29"/>
    <s v="FNB Wealth and Investments (Karabo Ditsebe)"/>
    <s v="South Africa"/>
    <s v="FNB"/>
    <s v="47100001963 CoE Graduate Programme"/>
    <s v="Graduate Programme"/>
    <s v="1 Year"/>
    <s v="Specialised Development Programs (Graduate/ Trainee)"/>
    <s v="8884200"/>
    <x v="629"/>
    <s v="FirstJob 18.2 Internal"/>
    <s v="African (South Africa)"/>
    <s v="Female"/>
    <s v="20 - 29"/>
    <s v="FNB Finance Business Solutions (Sandra Block)"/>
    <s v="South Africa"/>
    <s v="FNB"/>
    <s v="47100005652 FNB Youth Employment Scheme"/>
    <s v="FirstJob Learner"/>
    <s v="&lt;1 Year"/>
    <s v="Specialised Development Programs (Graduate/ Trainee)"/>
    <s v="Create Mentorship Event for Mamosa Mokoena with Andisa Mashimbye"/>
    <d v="2026-01-27T00:00:00"/>
    <d v="2026-09-30T00:00:00"/>
    <m/>
  </r>
  <r>
    <s v="8876748"/>
    <x v="391"/>
    <s v="mentoring and helping in managing and coping with my studies my studies"/>
    <s v="Career Mentor"/>
    <s v="Full Time Employee"/>
    <s v="African (South Africa)"/>
    <s v="Male"/>
    <s v="20 - 29"/>
    <s v="FNB Connect and Service Provider (Stephan Snyman)"/>
    <s v="South Africa"/>
    <s v="FNB"/>
    <s v="83100006591 FNB Connnect Technology Channel and Integration"/>
    <s v="Java Developer"/>
    <s v="1 Year"/>
    <s v="IT Development"/>
    <s v="8885556"/>
    <x v="630"/>
    <s v="FirstJob 18.2 Internal"/>
    <s v="African (South Africa)"/>
    <s v="Female"/>
    <s v="20 - 29"/>
    <s v="FNB Points of Presence (Dion Sibiya)"/>
    <s v="South Africa"/>
    <s v="FNB"/>
    <s v="7710710300 FNB POP Branch Delivery Youth Development"/>
    <s v="FirstJob Learner"/>
    <s v="&lt;1 Year"/>
    <s v="Specialised Development Programs (Graduate/ Trainee)"/>
    <s v="Create Mentorship Event for Lindokuhle Madonsela with Sandile Mthiyane"/>
    <d v="2026-01-30T00:00:00"/>
    <d v="2026-11-30T00:00:00"/>
    <m/>
  </r>
  <r>
    <s v="8877632"/>
    <x v="392"/>
    <s v="I want to learn how to open accounts, do transactions and achieve a permanent job with FNB"/>
    <s v="Transition Mentor"/>
    <s v="Full Time Employee"/>
    <s v="African (South Africa)"/>
    <s v="Female"/>
    <s v="20 - 29"/>
    <s v="CDO Kernel iNterfaceX (Donna-Jeanne Rudman)"/>
    <s v="South Africa"/>
    <s v="FNB"/>
    <s v="21800005099 CDO Kernel iNterfaceX App Business Analysis"/>
    <s v="Business Analyst"/>
    <s v="1 Year"/>
    <s v="Process and Business Analysis"/>
    <s v="8885558"/>
    <x v="631"/>
    <s v="FirstJob 18.2 Internal"/>
    <s v="African (South Africa)"/>
    <s v="Female"/>
    <s v="20 - 29"/>
    <s v="FNB Points of Presence (Sibo Buthelezi)"/>
    <s v="South Africa"/>
    <s v="FNB"/>
    <s v="7710710300 FNB POP Branch Delivery Youth Development"/>
    <s v="FirstJob Learner"/>
    <s v="&lt;1 Year"/>
    <s v="Specialised Development Programs (Graduate/ Trainee)"/>
    <s v="Create Mentorship Event for Snenhlanhla Bridget Shabalala with Ntsako Rebecca Zondani"/>
    <d v="2026-01-27T00:00:00"/>
    <d v="2026-11-30T00:00:00"/>
    <m/>
  </r>
  <r>
    <s v="4877594"/>
    <x v="145"/>
    <s v="I need a mentor to guide me and as well as help me to accelerate my professional growth in the banking industry. I need a mentor because there is a lot to learn from them. I want to learn and grow with banking, and I know that I can only do that through mentorship from my mentor."/>
    <s v="Career Mentor"/>
    <s v="Full Time Employee"/>
    <s v="African (South Africa)"/>
    <s v="Male"/>
    <s v="30 - 39"/>
    <s v="FNB Private Banking and Advisory (Elaine Knoetsec)"/>
    <s v="South Africa"/>
    <s v="FNB"/>
    <s v="34100003292 PB&amp;A Inland Central"/>
    <s v="Head of Sales Enablement"/>
    <s v="6 - 10 Years"/>
    <s v="Sales Management"/>
    <s v="8885762"/>
    <x v="632"/>
    <s v="FirstJob 18.2 Internal"/>
    <s v="African (South Africa)"/>
    <s v="Female"/>
    <s v="20 - 29"/>
    <s v="FNB Points of Presence (Esther Masombuka)"/>
    <s v="South Africa"/>
    <s v="FNB"/>
    <s v="7710710300 FNB POP Branch Delivery Youth Development"/>
    <s v="FirstJob Learner"/>
    <s v="&lt;1 Year"/>
    <s v="Specialised Development Programs (Graduate/ Trainee)"/>
    <s v="Create Mentorship Event for Stella Lekhoaba with Allen Chapingidza"/>
    <d v="2026-02-02T00:00:00"/>
    <d v="2026-12-15T00:00:00"/>
    <m/>
  </r>
  <r>
    <s v="8877632"/>
    <x v="392"/>
    <s v="This year i want to achieve the following goals;_x000a_1.understanding clearly _x000a_2. further my learning_x000a_3. be productive and finishing on time"/>
    <s v="Transition Mentor"/>
    <s v="Full Time Employee"/>
    <s v="African (South Africa)"/>
    <s v="Female"/>
    <s v="20 - 29"/>
    <s v="CDO Kernel iNterfaceX (Donna-Jeanne Rudman)"/>
    <s v="South Africa"/>
    <s v="FNB"/>
    <s v="21800005099 CDO Kernel iNterfaceX App Business Analysis"/>
    <s v="Business Analyst"/>
    <s v="1 Year"/>
    <s v="Process and Business Analysis"/>
    <s v="8885774"/>
    <x v="633"/>
    <s v="FirstJob 18.2 Internal"/>
    <s v="African (South Africa)"/>
    <s v="Female"/>
    <s v="20 - 29"/>
    <s v="FNB Points of Presence (Wanda Mitton)"/>
    <s v="South Africa"/>
    <s v="FNB"/>
    <s v="7710710300 FNB POP Branch Delivery Youth Development"/>
    <s v="FirstJob Learner"/>
    <s v="&lt;1 Year"/>
    <s v="Specialised Development Programs (Graduate/ Trainee)"/>
    <s v="Create Mentorship Event for Tshegofatso Mokoto with Ntsako Rebecca Zondani"/>
    <d v="2026-01-27T00:00:00"/>
    <d v="2026-11-30T00:00:00"/>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2">
  <r>
    <x v="0"/>
    <s v="Zanele Mboweni"/>
    <s v="F8877523@fnb.co.za"/>
    <s v="F8884211@fnb.co.za"/>
  </r>
  <r>
    <x v="1"/>
    <s v="Innocent Ntsako Chauke"/>
    <s v="F8877523@fnb.co.za"/>
    <s v="F8884130@fnb.co.za"/>
  </r>
  <r>
    <x v="2"/>
    <s v="Mamosa Mokoena"/>
    <s v="f8877028@fnb.co.za"/>
    <s v="F8884200@fnb.co.za"/>
  </r>
  <r>
    <x v="3"/>
    <s v="Phumlile Lureme"/>
    <s v="f8877028@fnb.co.za"/>
    <s v="F8885614@fnb.co.za"/>
  </r>
  <r>
    <x v="3"/>
    <s v="Nokuthula Rosette Tsotetsi"/>
    <s v="f8877028@fnb.co.za"/>
    <s v="F8885796@fnb.co.za"/>
  </r>
  <r>
    <x v="4"/>
    <s v="Anelisa Mankayi"/>
    <s v="F8870687@fnb.co.za"/>
    <s v="F8885591@fnb.co.za"/>
  </r>
  <r>
    <x v="4"/>
    <s v="Gift Sikhulile Mashele"/>
    <s v="F8870687@fnb.co.za"/>
    <s v="F8885847@fnb.co.za"/>
  </r>
  <r>
    <x v="4"/>
    <s v="Gratitude Monareng"/>
    <s v="F8870687@fnb.co.za"/>
    <s v="F8885589@fnb.co.za"/>
  </r>
  <r>
    <x v="5"/>
    <s v="Pfarelo Mudau"/>
    <s v="F8871829@fnb.co.za"/>
    <s v="F8884132@fnb.co.za"/>
  </r>
  <r>
    <x v="5"/>
    <s v="Dumisani Mbadu"/>
    <s v="F8871829@fnb.co.za"/>
    <s v="F8884301@fnb.co.za"/>
  </r>
  <r>
    <x v="5"/>
    <s v="Kagisho Tladi"/>
    <s v="F8871829@fnb.co.za"/>
    <s v="F8885643@fnb.co.za"/>
  </r>
  <r>
    <x v="6"/>
    <s v="Thando Idha Danisa"/>
    <s v="F8876185@fnb.co.za"/>
    <s v="F8884345@fnb.co.za"/>
  </r>
  <r>
    <x v="6"/>
    <s v="Buhlebendalo Immaculate Mbele"/>
    <s v="F8876185@fnb.co.za"/>
    <s v="F8885690@fnb.co.za"/>
  </r>
  <r>
    <x v="6"/>
    <s v="Anelisa John"/>
    <s v="F8876185@fnb.co.za"/>
    <s v="F8885576@fnb.co.za"/>
  </r>
  <r>
    <x v="7"/>
    <s v="Nonceba Ludidi"/>
    <s v="F8876734@fnb.co.za"/>
    <s v="F8885588@fnb.co.za"/>
  </r>
  <r>
    <x v="7"/>
    <s v="Mbongeni Lekhuleni"/>
    <s v="F8876734@fnb.co.za"/>
    <s v="F8885682@fnb.co.za"/>
  </r>
  <r>
    <x v="7"/>
    <s v="Zethu Sibango"/>
    <s v="F8876734@fnb.co.za"/>
    <s v="F8885694@fnb.co.za"/>
  </r>
  <r>
    <x v="8"/>
    <s v="Nkhensani Shibambo"/>
    <s v="F8872220@fnb.co.za"/>
    <s v="F8884143@fnb.co.za"/>
  </r>
  <r>
    <x v="8"/>
    <s v="Chesley Gustav"/>
    <s v="F8872220@fnb.co.za"/>
    <s v="F8884358@fnb.co.za"/>
  </r>
  <r>
    <x v="9"/>
    <s v="Phillippa Tshinabe"/>
    <s v="F5667151@fnb.co.za"/>
    <s v="F8884206@fnb.co.za"/>
  </r>
  <r>
    <x v="9"/>
    <s v="Thato Molefe"/>
    <s v="F5667151@fnb.co.za"/>
    <s v="F8884213@fnb.co.za"/>
  </r>
  <r>
    <x v="10"/>
    <s v="Karabelo Finger"/>
    <s v="F8877693@fnb.co.za"/>
    <s v="F8885680@fnb.co.za"/>
  </r>
  <r>
    <x v="10"/>
    <s v="Winnie Sithole"/>
    <s v="F8877693@fnb.co.za"/>
    <s v="F8885693@fnb.co.za"/>
  </r>
  <r>
    <x v="10"/>
    <s v="Azwiitiwi Singo"/>
    <s v="F8877693@fnb.co.za"/>
    <s v="F8885688@fnb.co.za"/>
  </r>
  <r>
    <x v="11"/>
    <s v="Katlego Modieginyana"/>
    <s v="F8870928@fnb.co.za"/>
    <s v="F8884198@fnb.co.za"/>
  </r>
  <r>
    <x v="11"/>
    <s v="Vangile Mhlambi"/>
    <s v="F8870928@fnb.co.za"/>
    <s v="F8884137@fnb.co.za"/>
  </r>
  <r>
    <x v="12"/>
    <s v="Thabang Mokobela"/>
    <s v="w8870818@wesbank.co.za"/>
    <s v="F8885565@fnb.co.za"/>
  </r>
  <r>
    <x v="12"/>
    <s v="Nombuso Faith Nkambule"/>
    <s v="w8870818@wesbank.co.za"/>
    <s v="F8884150@fnb.co.za"/>
  </r>
  <r>
    <x v="13"/>
    <s v="Kgothatso Phillep Lebese"/>
    <s v="F8876998@fnb.co.za"/>
    <s v="F8885583@fnb.co.za"/>
  </r>
  <r>
    <x v="13"/>
    <s v="Kgotatso Madela"/>
    <s v="F8876998@fnb.co.za"/>
    <s v="F8885759@fnb.co.za"/>
  </r>
  <r>
    <x v="14"/>
    <s v="Noluthando Ndlovu"/>
    <s v="F8870913@fnb.co.za"/>
    <s v="F8885825@fnb.co.za"/>
  </r>
  <r>
    <x v="14"/>
    <s v="Ncediwe Mphantsi"/>
    <s v="F8870913@fnb.co.za"/>
    <s v="F8885615@fnb.co.za"/>
  </r>
  <r>
    <x v="15"/>
    <s v="Oratile Mathibe"/>
    <s v="F8877102@fnb.co.za"/>
    <s v="F8885674@fnb.co.za"/>
  </r>
  <r>
    <x v="15"/>
    <s v="Aviwe Mdingi"/>
    <s v="F8877102@fnb.co.za"/>
    <s v="F8885559@fnb.co.za"/>
  </r>
  <r>
    <x v="15"/>
    <s v="Mulisa Nthangeni"/>
    <s v="F8877102@fnb.co.za"/>
    <s v="F8884139@fnb.co.za"/>
  </r>
  <r>
    <x v="16"/>
    <s v="Nosipho Angela Sithole"/>
    <s v="F8876417@fnb.co.za"/>
    <s v="F8885570@fnb.co.za"/>
  </r>
  <r>
    <x v="16"/>
    <s v="Vongani Bilankulu"/>
    <s v="F8876417@fnb.co.za"/>
    <s v="F8885602@fnb.co.za"/>
  </r>
  <r>
    <x v="16"/>
    <s v="Tidimalo Albert Monyai"/>
    <s v="F8876417@fnb.co.za"/>
    <s v="F8884146@fnb.co.za"/>
  </r>
  <r>
    <x v="17"/>
    <s v="Philiswa Lungeleni Msane"/>
    <s v="F8877431@fnb.co.za"/>
    <s v="F8884267@fnb.co.za"/>
  </r>
  <r>
    <x v="17"/>
    <s v="Xivono Maluleke"/>
    <s v="F8877431@fnb.co.za"/>
    <s v="F8884133@fnb.co.za"/>
  </r>
  <r>
    <x v="17"/>
    <s v="Sabelo Mshiywa"/>
    <s v="F8877431@fnb.co.za"/>
    <s v="F8884220@fnb.co.za"/>
  </r>
  <r>
    <x v="18"/>
    <s v="Shawn Tshinabe"/>
    <s v="F8870860@fnb.co.za"/>
    <s v="F8884199@fnb.co.za"/>
  </r>
  <r>
    <x v="18"/>
    <s v="Tsakiso Mathebula"/>
    <s v="F8870860@fnb.co.za"/>
    <s v="F8884197@fnb.co.za"/>
  </r>
  <r>
    <x v="18"/>
    <s v="Precious Phalwane"/>
    <s v="F8870860@fnb.co.za"/>
    <s v="F8885569@fnb.co.za"/>
  </r>
  <r>
    <x v="19"/>
    <s v="Itumeleng Phetoe"/>
    <s v="F8870688@fnb.co.za"/>
    <s v="F8884141@fnb.co.za"/>
  </r>
  <r>
    <x v="19"/>
    <s v="Nomthandazo Chabalala"/>
    <s v="F8870688@fnb.co.za"/>
    <s v="F8884203@fnb.co.za"/>
  </r>
  <r>
    <x v="19"/>
    <s v="Thapelo Phatudi"/>
    <s v="F8870688@fnb.co.za"/>
    <s v="F8884416@fnb.co.za"/>
  </r>
  <r>
    <x v="20"/>
    <s v="Fanelesibonge Cele"/>
    <s v="F8876543@fnb.co.za"/>
    <s v="F8885552@fnb.co.za"/>
  </r>
  <r>
    <x v="20"/>
    <s v="Morongwa Masuku"/>
    <s v="F8876543@fnb.co.za"/>
    <s v="F8885587@fnb.co.za"/>
  </r>
  <r>
    <x v="21"/>
    <s v="Nosihle Gcaba"/>
    <s v="F8876892@fnb.co.za"/>
    <s v="F8885551@fnb.co.za"/>
  </r>
  <r>
    <x v="21"/>
    <s v="Cwenga Mpompo"/>
    <s v="F8876892@fnb.co.za"/>
    <s v="F8885609@fnb.co.za"/>
  </r>
  <r>
    <x v="21"/>
    <s v="Nonhlakanipho Prayer Masanabo"/>
    <s v="F8876892@fnb.co.za"/>
    <s v="F8885603@fnb.co.za"/>
  </r>
  <r>
    <x v="22"/>
    <s v="Yonela Siswana"/>
    <s v="F8877419@fnb.co.za"/>
    <s v="F8885642@fnb.co.za"/>
  </r>
  <r>
    <x v="22"/>
    <s v="Nyiko Maluleke"/>
    <s v="F8877419@fnb.co.za"/>
    <s v="F8885717@fnb.co.za"/>
  </r>
  <r>
    <x v="23"/>
    <s v="Lwando Shange"/>
    <s v="f8876985@fnb.co.za"/>
    <s v="F8885797@fnb.co.za"/>
  </r>
  <r>
    <x v="23"/>
    <s v="Tebogo Matoko"/>
    <s v="f8876985@fnb.co.za"/>
    <s v="F8884248@fnb.co.za"/>
  </r>
  <r>
    <x v="23"/>
    <s v="Thabiso Thobejane"/>
    <s v="f8876985@fnb.co.za"/>
    <s v="F8884261@fnb.co.za"/>
  </r>
  <r>
    <x v="24"/>
    <s v="Shalom Mosime"/>
    <s v="F8876444@fnb.co.za"/>
    <s v="F8885560@fnb.co.za"/>
  </r>
  <r>
    <x v="24"/>
    <s v="Khomotso Sekoba"/>
    <s v="F8876444@fnb.co.za"/>
    <s v="F8885633@fnb.co.za"/>
  </r>
  <r>
    <x v="25"/>
    <s v="Naledi Mogotlane"/>
    <s v="F8877705@fnb.co.za"/>
    <s v="F8885561@fnb.co.za"/>
  </r>
  <r>
    <x v="25"/>
    <s v="Luvhuno Kopane"/>
    <s v="F8877705@fnb.co.za"/>
    <s v="F8884148@fnb.co.za"/>
  </r>
  <r>
    <x v="26"/>
    <s v="Stella Lekhoaba"/>
    <s v="F8870827@fnb.co.za"/>
    <s v="F8885762@fnb.co.za"/>
  </r>
  <r>
    <x v="26"/>
    <s v="Timyiko Ndobe"/>
    <s v="F8870827@fnb.co.za"/>
    <s v="F8884241@fnb.co.za"/>
  </r>
  <r>
    <x v="26"/>
    <s v="Lyla Maluleke"/>
    <s v="F8870827@fnb.co.za"/>
    <s v="F8884149@fnb.co.za"/>
  </r>
  <r>
    <x v="27"/>
    <s v="Khonaye Ntshwanti"/>
    <s v="F8871842@fnb.co.za"/>
    <s v="F8885890@fnb.co.za"/>
  </r>
  <r>
    <x v="27"/>
    <s v="Motshabo Lekganyane"/>
    <s v="F8871842@fnb.co.za"/>
    <s v="F8885625@fnb.co.za"/>
  </r>
  <r>
    <x v="27"/>
    <s v="Nelisiwe Hlatshwayo"/>
    <s v="F8871842@fnb.co.za"/>
    <s v="F8885586@fnb.co.za"/>
  </r>
  <r>
    <x v="28"/>
    <s v="Dikeledi Masiteng"/>
    <s v="f8875752@fnb.co.za"/>
    <s v="F8885681@fnb.co.za"/>
  </r>
  <r>
    <x v="28"/>
    <s v="Katleho Sondlo"/>
    <s v="f8875752@fnb.co.za"/>
    <s v="F8884136@fnb.co.za"/>
  </r>
  <r>
    <x v="28"/>
    <s v="Karabo Machaka"/>
    <s v="f8875752@fnb.co.za"/>
    <s v="F8885760@fnb.co.za"/>
  </r>
  <r>
    <x v="29"/>
    <s v="Busisiwe Masombuka"/>
    <s v="F8870829@fnb.co.za"/>
    <s v="F8884350@fnb.co.za"/>
  </r>
  <r>
    <x v="29"/>
    <s v="Zamashenge Nkosi"/>
    <s v="F8870829@fnb.co.za"/>
    <s v="F8885675@fnb.co.za"/>
  </r>
  <r>
    <x v="29"/>
    <s v="Maketa Mogajane"/>
    <s v="F8870829@fnb.co.za"/>
    <s v="F8885677@fnb.co.za"/>
  </r>
  <r>
    <x v="30"/>
    <s v="Thobile Buthelezi"/>
    <s v="F8877127@fnb.co.za"/>
    <s v="F8885763@fnb.co.za"/>
  </r>
  <r>
    <x v="30"/>
    <s v="Nhluvuko Maluleke"/>
    <s v="F8877127@fnb.co.za"/>
    <s v="F8885581@fnb.co.za"/>
  </r>
  <r>
    <x v="30"/>
    <s v="Thabo Mthembu"/>
    <s v="F8877127@fnb.co.za"/>
    <s v="F8884135@fnb.co.za"/>
  </r>
  <r>
    <x v="31"/>
    <s v="Nosiphiwe Zulu"/>
    <s v="F8875371@fnb.co.za"/>
    <s v="F8885575@fnb.co.za"/>
  </r>
  <r>
    <x v="31"/>
    <s v="Simthandile Jiyane"/>
    <s v="F8875371@fnb.co.za"/>
    <s v="F8884323@fnb.co.za"/>
  </r>
  <r>
    <x v="31"/>
    <s v="Zusakhe Gidimisana"/>
    <s v="F8875371@fnb.co.za"/>
    <s v="F8884300@fnb.co.za"/>
  </r>
  <r>
    <x v="32"/>
    <s v="Masesi Motaung"/>
    <s v="F8876746@fnb.co.za"/>
    <s v="F8884247@fnb.co.za"/>
  </r>
  <r>
    <x v="32"/>
    <s v="Dithapelo Mabilo"/>
    <s v="F8876746@fnb.co.za"/>
    <s v="F8885592@fnb.co.za"/>
  </r>
  <r>
    <x v="32"/>
    <s v="Nontokozo Maphanga"/>
    <s v="F8876746@fnb.co.za"/>
    <s v="F8885744@fnb.co.za"/>
  </r>
  <r>
    <x v="33"/>
    <s v="Bakhusele Mayekiso"/>
    <s v="F8875725@fnb.co.za"/>
    <s v="F8885678@fnb.co.za"/>
  </r>
  <r>
    <x v="33"/>
    <s v="Londeka Nxumalo"/>
    <s v="F8875725@fnb.co.za"/>
    <s v="F8885676@fnb.co.za"/>
  </r>
  <r>
    <x v="34"/>
    <s v="Mosima Lucia Mnisi"/>
    <s v="F5469368@fnb.co.za"/>
    <s v="F8885686@fnb.co.za"/>
  </r>
  <r>
    <x v="34"/>
    <s v="Kopano Thupae"/>
    <s v="F5469368@fnb.co.za"/>
    <s v="F8885706@fnb.co.za"/>
  </r>
  <r>
    <x v="35"/>
    <s v="Stanley Malepe"/>
    <s v="F8876184@fnb.co.za"/>
    <s v="F8884324@fnb.co.za"/>
  </r>
  <r>
    <x v="35"/>
    <s v="S'phelele Ndhlovu"/>
    <s v="F8876184@fnb.co.za"/>
    <s v="F8885673@fnb.co.za"/>
  </r>
  <r>
    <x v="36"/>
    <s v="Lihle Konzeka"/>
    <s v="f8876703@fnb.co.za"/>
    <s v="F8885701@fnb.co.za"/>
  </r>
  <r>
    <x v="36"/>
    <s v="Nicholas Mavhungu"/>
    <s v="f8876703@fnb.co.za"/>
    <s v="F8884208@fnb.co.za"/>
  </r>
  <r>
    <x v="36"/>
    <s v="Nomosebenzi Zwane"/>
    <s v="f8876703@fnb.co.za"/>
    <s v="F8884357@fnb.co.za"/>
  </r>
  <r>
    <x v="37"/>
    <s v="Sibahlesonke Mnguni"/>
    <s v="F8877126@fnb.co.za"/>
    <s v="F8884227@fnb.co.za"/>
  </r>
  <r>
    <x v="37"/>
    <s v="Penchele Kakudi"/>
    <s v="F8877126@fnb.co.za"/>
    <s v="F8885572@fnb.co.za"/>
  </r>
  <r>
    <x v="38"/>
    <s v="S'lindile Gumede"/>
    <s v="F8877632@fnb.co.za"/>
    <s v="F8885850@fnb.co.za"/>
  </r>
  <r>
    <x v="38"/>
    <s v="Snenhlanhla Shabalala"/>
    <s v="F8877632@fnb.co.za"/>
    <s v="F8885558@fnb.co.za"/>
  </r>
  <r>
    <x v="38"/>
    <s v="Tshegofatso Mokoto"/>
    <s v="F8877632@fnb.co.za"/>
    <s v="F8885774@fnb.co.za"/>
  </r>
  <r>
    <x v="39"/>
    <s v="Nondumiso Mthembu"/>
    <s v="F8872041@fnb.co.za"/>
    <s v="F8885634@fnb.co.za"/>
  </r>
  <r>
    <x v="39"/>
    <s v="Ntanganedzeni Phidzaulima"/>
    <s v="F8872041@fnb.co.za"/>
    <s v="F8885557@fnb.co.za"/>
  </r>
  <r>
    <x v="39"/>
    <s v="Gaolatlheope Moraka"/>
    <s v="F8872041@fnb.co.za"/>
    <s v="F8885566@fnb.co.za"/>
  </r>
  <r>
    <x v="40"/>
    <s v="Reabetsoe Moshoeshoe"/>
    <s v="F8876925@fnb.co.za"/>
    <s v="F8885781@fnb.co.za"/>
  </r>
  <r>
    <x v="40"/>
    <s v="Ntshuxeko Isaac Ndlovu"/>
    <s v="F8876925@fnb.co.za"/>
    <s v="F8884201@fnb.co.za"/>
  </r>
  <r>
    <x v="41"/>
    <s v="Liso Maphithiza"/>
    <s v="F8877584@fnb.co.za"/>
    <s v="F8885549@fnb.co.za"/>
  </r>
  <r>
    <x v="41"/>
    <s v="Thimna Selana"/>
    <s v="F8877584@fnb.co.za"/>
    <s v="F8885780@fnb.co.za"/>
  </r>
  <r>
    <x v="41"/>
    <s v="Bonolo Ntoloane"/>
    <s v="F8877584@fnb.co.za"/>
    <s v="F8885584@fnb.co.za"/>
  </r>
  <r>
    <x v="42"/>
    <s v="Melusi Ngubeni"/>
    <s v="F8877384@fnb.co.za"/>
    <s v="F8885550@fnb.co.za"/>
  </r>
  <r>
    <x v="42"/>
    <s v="Muzivukile Gcabashe"/>
    <s v="F8877384@fnb.co.za"/>
    <s v="F8885632@fnb.co.za"/>
  </r>
  <r>
    <x v="43"/>
    <s v="Alexander Sibande"/>
    <s v="F8876776@fnb.co.za"/>
    <s v="F8884246@fnb.co.za"/>
  </r>
  <r>
    <x v="43"/>
    <s v="Dumile Mtshali"/>
    <s v="F8876776@fnb.co.za"/>
    <s v="F8885718@fnb.co.za"/>
  </r>
  <r>
    <x v="43"/>
    <s v="Amishoni Shirindza"/>
    <s v="F8876776@fnb.co.za"/>
    <s v="F8884194@fnb.co.za"/>
  </r>
  <r>
    <x v="44"/>
    <s v="Mmapaseka Mmamogale"/>
    <s v="F8870709@fnb.co.za"/>
    <s v="F8885543@fnb.co.za"/>
  </r>
  <r>
    <x v="44"/>
    <s v="Siphesihle Kwelemthini"/>
    <s v="F8870709@fnb.co.za"/>
    <s v="F8884212@fnb.co.za"/>
  </r>
  <r>
    <x v="44"/>
    <s v="Isago Rampai"/>
    <s v="F8870709@fnb.co.za"/>
    <s v="F8885761@fnb.co.za"/>
  </r>
  <r>
    <x v="45"/>
    <s v="Nombulelo Nkosi"/>
    <s v="F8874853@fnb.co.za"/>
    <s v="F8885544@fnb.co.za"/>
  </r>
  <r>
    <x v="45"/>
    <s v="Nonyameko Mbali"/>
    <s v="F8874853@fnb.co.za"/>
    <s v="F8885716@fnb.co.za"/>
  </r>
  <r>
    <x v="45"/>
    <s v="Nosisa Zungu"/>
    <s v="F8874853@fnb.co.za"/>
    <s v="F8884131@fnb.co.za"/>
  </r>
  <r>
    <x v="46"/>
    <s v="Erron Goliath"/>
    <s v="F8870861@fnb.co.za"/>
    <s v="F8885702@fnb.co.za"/>
  </r>
  <r>
    <x v="46"/>
    <s v="Maela Monareng"/>
    <s v="F8870861@fnb.co.za"/>
    <s v="F8885801@fnb.co.za"/>
  </r>
  <r>
    <x v="46"/>
    <s v="Sithembile Mzinya"/>
    <s v="F8870861@fnb.co.za"/>
    <s v="F8884202@fnb.co.za"/>
  </r>
  <r>
    <x v="47"/>
    <s v="Nyiko Magomani"/>
    <s v="F8876748@fnb.co.za"/>
    <s v="F8884218@fnb.co.za"/>
  </r>
  <r>
    <x v="47"/>
    <s v="Lindokuhle Madonsela"/>
    <s v="F8876748@fnb.co.za"/>
    <s v="F8885556@fnb.co.za"/>
  </r>
  <r>
    <x v="47"/>
    <s v="Johnathan Kruger"/>
    <s v="F8876748@fnb.co.za"/>
    <s v="F8884138@fnb.co.za"/>
  </r>
  <r>
    <x v="48"/>
    <s v="Zimasile Mnothoza"/>
    <s v="w8870766@wesbank.co.za"/>
    <s v="F8885683@fnb.co.za"/>
  </r>
  <r>
    <x v="48"/>
    <s v="Kamogelo Malepe Mankoana"/>
    <s v="w8870766@wesbank.co.za"/>
    <s v="F8884215@fnb.co.za"/>
  </r>
  <r>
    <x v="48"/>
    <s v="Nazlee Maharaj"/>
    <s v="w8870766@wesbank.co.za"/>
    <s v="F8884290@fnb.co.za"/>
  </r>
  <r>
    <x v="49"/>
    <s v="Phumlani Ncewula"/>
    <s v="F8870816@fnb.co.za"/>
    <s v="F8885685@fnb.co.za"/>
  </r>
  <r>
    <x v="49"/>
    <s v="Lebohang Majoro"/>
    <s v="F8870816@fnb.co.za"/>
    <s v="F8885703@fnb.co.za"/>
  </r>
  <r>
    <x v="50"/>
    <s v="Thaveesh Singh Narrandes"/>
    <s v="F8870813@fnb.co.za"/>
    <s v="F8885610@fnb.co.za"/>
  </r>
  <r>
    <x v="50"/>
    <s v="Shrika Jaikishor"/>
    <s v="F8870813@fnb.co.za"/>
    <s v="F8884126@fnb.co.za"/>
  </r>
  <r>
    <x v="51"/>
    <s v="Oagile Moritiemang Sebokolodi"/>
    <s v="F8876931@fnb.co.za"/>
    <s v="F8885585@fnb.co.za"/>
  </r>
  <r>
    <x v="51"/>
    <s v="Elmon Ramagoshi"/>
    <s v="F8876931@fnb.co.za"/>
    <s v="F8884204@fnb.co.za"/>
  </r>
  <r>
    <x v="51"/>
    <s v="Lwando Memela"/>
    <s v="F8876931@fnb.co.za"/>
    <s v="F8885684@fnb.co.za"/>
  </r>
  <r>
    <x v="52"/>
    <s v="Rudzani Ravele"/>
    <s v="F8876667@fnb.co.za"/>
    <s v="F8884295@fnb.co.za"/>
  </r>
  <r>
    <x v="52"/>
    <s v="Goobamang Matlhako"/>
    <s v="F8876667@fnb.co.za"/>
    <s v="F8885849@fnb.co.za"/>
  </r>
  <r>
    <x v="53"/>
    <s v="Nqobile Nhlapho"/>
    <s v="F8877829@fnb.co.za"/>
    <s v="F8884144@fnb.co.za"/>
  </r>
  <r>
    <x v="53"/>
    <s v="Bridgette Gumbe"/>
    <s v="F8877829@fnb.co.za"/>
    <s v="F8885773@fnb.co.za"/>
  </r>
  <r>
    <x v="53"/>
    <s v="Zamantungwa Khumalo"/>
    <s v="F8877829@fnb.co.za"/>
    <s v="F8885679@fnb.co.za"/>
  </r>
  <r>
    <x v="54"/>
    <s v="Keletso Mabula"/>
    <s v="F5666961@fnb.co.za"/>
    <s v="F8885698@fnb.co.za"/>
  </r>
  <r>
    <x v="54"/>
    <s v="Gugu Yeni"/>
    <s v="F5666961@fnb.co.za"/>
    <s v="F8885564@fnb.co.za"/>
  </r>
  <r>
    <x v="54"/>
    <s v="Kutlwano Lekgetho"/>
    <s v="F5666961@fnb.co.za"/>
    <s v="F8884207@fnb.co.za"/>
  </r>
  <r>
    <x v="55"/>
    <s v="Molefi Modumaela"/>
    <s v="F8877793@fnb.co.za"/>
    <s v="F8885764@fnb.co.za"/>
  </r>
  <r>
    <x v="55"/>
    <s v="Xihluke Mabunda"/>
    <s v="F8877793@fnb.co.za"/>
    <s v="F8884214@fnb.co.za"/>
  </r>
  <r>
    <x v="56"/>
    <s v="Bonga Sondlo"/>
    <s v="F8870794@fnb.co.za"/>
    <s v="F8884128@fnb.co.za"/>
  </r>
  <r>
    <x v="56"/>
    <s v="Betty Thuke"/>
    <s v="F8870794@fnb.co.za"/>
    <s v="F8885707@fnb.co.za"/>
  </r>
  <r>
    <x v="57"/>
    <s v="Keitumetse Majoro"/>
    <s v="F8877296@fnb.co.za"/>
    <s v="F8885582@fnb.co.za"/>
  </r>
  <r>
    <x v="57"/>
    <s v="Asemahle Ndlebe"/>
    <s v="F8877296@fnb.co.za"/>
    <s v="F8884219@fnb.co.za"/>
  </r>
  <r>
    <x v="58"/>
    <s v="Phindile Mpumelelo Nimrod Mayeke"/>
    <s v="F8876968@fnb.co.za"/>
    <s v="F8885622@fnb.co.za"/>
  </r>
  <r>
    <x v="58"/>
    <s v="Sibusiso Shezi"/>
    <s v="F8876968@fnb.co.za"/>
    <s v="F8885705@fnb.co.za"/>
  </r>
  <r>
    <x v="59"/>
    <s v="Phelisa Mgwali"/>
    <s v="F8877646@fnb.co.za"/>
    <s v="F8885888@fnb.co.za"/>
  </r>
  <r>
    <x v="59"/>
    <s v="Mondli Bennedic Chauke"/>
    <s v="F8877646@fnb.co.za"/>
    <s v="F8884129@fnb.co.za"/>
  </r>
  <r>
    <x v="59"/>
    <s v="Nkosinomusa Dladla"/>
    <s v="F8877646@fnb.co.za"/>
    <s v="F8874225@fnb.co.za"/>
  </r>
  <r>
    <x v="60"/>
    <s v="Lwazi Jakalase"/>
    <s v="F8877848@fnb.co.za"/>
    <s v="F8884140@fnb.co.za"/>
  </r>
  <r>
    <x v="60"/>
    <s v="Trecia Ndlovu"/>
    <s v="F8877848@fnb.co.za"/>
    <s v="F8884205@fnb.co.za"/>
  </r>
  <r>
    <x v="61"/>
    <s v="Khwezi Ntsele"/>
    <s v="F8871831@fnb.co.za"/>
    <s v="F8884145@fnb.co.za"/>
  </r>
  <r>
    <x v="61"/>
    <s v="Zellne Botha"/>
    <s v="F8871831@fnb.co.za"/>
    <s v="F8884366@fnb.co.za"/>
  </r>
  <r>
    <x v="61"/>
    <s v="Gugu Vananda"/>
    <s v="F8871831@fnb.co.za"/>
    <s v="F8884142@fnb.co.za"/>
  </r>
  <r>
    <x v="62"/>
    <s v="Asanda Ngcobo"/>
    <s v="F8870735@fnb.co.za"/>
    <s v="F8885687@fnb.co.za"/>
  </r>
  <r>
    <x v="62"/>
    <s v="Rozetta Raman"/>
    <s v="F8870735@fnb.co.za"/>
    <s v="F8885590@fnb.co.za"/>
  </r>
  <r>
    <x v="62"/>
    <s v="Kamogelo Ndlovu"/>
    <s v="F8870735@fnb.co.za"/>
    <s v="F8884171@fnb.co.za"/>
  </r>
  <r>
    <x v="63"/>
    <s v="Papi Tsotetsi"/>
    <s v="F8877430@fnb.co.za"/>
    <s v="F8885545@fnb.co.za"/>
  </r>
  <r>
    <x v="63"/>
    <s v="Nthabiseng Letsoalo"/>
    <s v="F8877430@fnb.co.za"/>
    <s v="F8884172@fnb.co.za"/>
  </r>
  <r>
    <x v="64"/>
    <s v="Nondumiso Magongo"/>
    <s v="F8879012@fnb.co.za"/>
    <s v="F8885692@fnb.co.za"/>
  </r>
  <r>
    <x v="64"/>
    <s v="Kopano Mpya"/>
    <s v="F8879012@fnb.co.za"/>
    <s v="F8884134@fnb.co.za"/>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02">
  <r>
    <s v="5183472"/>
    <x v="0"/>
    <x v="0"/>
    <x v="0"/>
    <s v="Zambia"/>
    <s v="FNB"/>
    <s v="FNB Zambia Operations (Mubukwanu Mutiti (Inherited))"/>
    <s v="55300003086 FNB Zambia Operations"/>
    <s v="Full Time Employee"/>
    <s v="Process, Operations and Administration"/>
    <s v="Administration Assistant"/>
    <s v="4 year(s), 5 month(s), 2 day(s)"/>
    <s v="30 - 39"/>
    <s v="Male"/>
    <s v="N/A (Zambia)"/>
  </r>
  <r>
    <s v="5495989"/>
    <x v="1"/>
    <x v="0"/>
    <x v="0"/>
    <s v="Botswana"/>
    <s v="FNB"/>
    <s v="FNB Botswana Channels (Mpho Nthutang)"/>
    <s v="501071600 FNB Botswana Kanye Branch"/>
    <s v="Full Time Employee"/>
    <s v="Sales and Client Services"/>
    <s v="Sales and Service Consultant"/>
    <s v="3 year(s), 4 month(s), 2 day(s)"/>
    <s v="30 - 39"/>
    <s v="Female"/>
    <s v="African (Botswana)"/>
  </r>
  <r>
    <s v="5009642"/>
    <x v="2"/>
    <x v="0"/>
    <x v="1"/>
    <s v="Botswana"/>
    <s v="FNB"/>
    <s v="FNB Botswana Marketing and Communications (Peo Porogo)"/>
    <s v="5010152700 FNB Botswana Marketing and Communications"/>
    <s v="Full Time Employee"/>
    <s v="Marketing and Communication"/>
    <s v="Marketing Manager"/>
    <s v="7 year(s), 7 month(s), 2 day(s)"/>
    <s v="30 - 39"/>
    <s v="Female"/>
    <s v="African (Botswana)"/>
  </r>
  <r>
    <s v="5109140"/>
    <x v="3"/>
    <x v="0"/>
    <x v="0"/>
    <s v="South Africa"/>
    <s v="FNB"/>
    <s v="FNB Chief Executive Office (Harry Kellan)"/>
    <s v="83300001939 FNB Executives"/>
    <s v="Expatriate - In"/>
    <s v="Process, Operations and Administration"/>
    <s v="Chief Executive Officer"/>
    <s v="7 year(s), 11 month(s), 6 day(s)"/>
    <s v="50 - 59"/>
    <s v="Male"/>
    <s v="African (South Africa)"/>
  </r>
  <r>
    <s v="4997751"/>
    <x v="4"/>
    <x v="0"/>
    <x v="0"/>
    <s v="Botswana"/>
    <s v="FNB"/>
    <s v="FNB Rand Merchant Bank Botswana (Harriet Mlalazi)"/>
    <s v="5010160660 FNB Botswana Service Centre"/>
    <s v="Full Time Employee"/>
    <s v="Sales and Client Services"/>
    <s v="Service Head"/>
    <s v="9 year(s), 6 month(s), 13 day(s)"/>
    <s v="40 - 49"/>
    <s v="Female"/>
    <m/>
  </r>
  <r>
    <s v="4714849"/>
    <x v="5"/>
    <x v="0"/>
    <x v="0"/>
    <s v="Zambia"/>
    <s v="FNB"/>
    <s v="FNB Zambia Retail Segment (Chileshe Bwali-sakala)"/>
    <s v="55300016152 FNB Zambia Corporate Sales"/>
    <s v="Full Time Employee"/>
    <s v="Sales and Client Services"/>
    <s v="Relationship Manager"/>
    <s v="12 year(s), 4 month(s), 2 day(s)"/>
    <s v="40 - 49"/>
    <s v="Male"/>
    <s v="N/A (Zambia)"/>
  </r>
  <r>
    <s v="3872521"/>
    <x v="6"/>
    <x v="0"/>
    <x v="0"/>
    <s v="Zambia"/>
    <s v="FNB"/>
    <s v="FNB Zambia Credit (Martin Mukonje)"/>
    <s v="55300003075 FNB Zambia Credit"/>
    <s v="Full Time Employee"/>
    <s v="Credit"/>
    <s v="Credit Analyst"/>
    <s v="13 year(s), 8 month(s), 2 day(s)"/>
    <s v="30 - 39"/>
    <s v="Female"/>
    <m/>
  </r>
  <r>
    <s v="4930088"/>
    <x v="7"/>
    <x v="0"/>
    <x v="0"/>
    <s v="Lesotho"/>
    <s v="FNB"/>
    <s v="FNB Lesotho (Lehlohonolo Seitlheko)"/>
    <s v="51800000189 FNB Lesotho Pioneer Branch"/>
    <s v="Full Time Employee"/>
    <s v="Sales and Client Services"/>
    <s v="Client Service Representative"/>
    <s v="9 year(s), 9 month(s), 2 day(s)"/>
    <s v="30 - 39"/>
    <s v="Female"/>
    <s v="African (Lesotho)"/>
  </r>
  <r>
    <s v="4989171"/>
    <x v="8"/>
    <x v="0"/>
    <x v="0"/>
    <s v="Botswana"/>
    <s v="FNB"/>
    <s v="FNB Botswana Wealth (Tshepiso Scheffers)"/>
    <s v="5010160500 FNB Botswana Consumer Banking"/>
    <s v="Full Time Employee"/>
    <s v="Product"/>
    <s v="Customer Value Proposition Manager"/>
    <s v="9 year(s), 7 month(s), 19 day(s)"/>
    <s v="30 - 39"/>
    <s v="Female"/>
    <s v="African (Botswana)"/>
  </r>
  <r>
    <s v="4804473"/>
    <x v="9"/>
    <x v="0"/>
    <x v="1"/>
    <s v="Botswana"/>
    <s v="FNB"/>
    <s v="FNB Botswana Marketing and Communications (Peo Porogo)"/>
    <s v="5010164200 FNB Botswana Client Services"/>
    <s v="Full Time Employee"/>
    <s v="Sales and Client Services"/>
    <s v="Service Manager"/>
    <s v="10 year(s), 9 month(s), 2 day(s)"/>
    <s v="40 - 49"/>
    <s v="Female"/>
    <s v="African (Botswana)"/>
  </r>
  <r>
    <s v="4868455"/>
    <x v="10"/>
    <x v="0"/>
    <x v="0"/>
    <s v="Botswana"/>
    <s v="FNB"/>
    <s v="FNB Botswana Channels (Thapelo Kamodi)"/>
    <s v="5010717300 FNB Botswana Cash Plus"/>
    <s v="Full Time Employee"/>
    <s v="Sales and Client Services"/>
    <s v="Cash Plus Banker"/>
    <s v="10 year(s), 8 month(s), 2 day(s)"/>
    <s v="30 - 39"/>
    <s v="Male"/>
    <m/>
  </r>
  <r>
    <s v="4873033"/>
    <x v="11"/>
    <x v="0"/>
    <x v="2"/>
    <s v="Botswana"/>
    <s v="FNB"/>
    <s v="FNB Botswana Business Support WesBank (Goeme Ganetsang)"/>
    <s v="5010394500 FNB Botswana Business Support"/>
    <s v="Full Time Employee"/>
    <s v="Sales and Client Services"/>
    <s v="Client Portfolio Analyst"/>
    <s v="10 year(s), 3 month(s), 19 day(s)"/>
    <s v="30 - 39"/>
    <s v="Male"/>
    <m/>
  </r>
  <r>
    <s v="2893622"/>
    <x v="12"/>
    <x v="0"/>
    <x v="0"/>
    <s v="Botswana"/>
    <s v="FNB"/>
    <s v="FNB Botswana Operations (Nonofo Molwane)"/>
    <s v="501070500 FNB Botswana Cash Centre"/>
    <s v="Full Time Employee"/>
    <s v="Process, Operations and Administration"/>
    <s v="Cash Operations Manager"/>
    <s v="22 year(s), 5 month(s), 23 day(s)"/>
    <s v="40 - 49"/>
    <s v="Male"/>
    <m/>
  </r>
  <r>
    <s v="4633369"/>
    <x v="13"/>
    <x v="0"/>
    <x v="0"/>
    <s v="Zambia"/>
    <s v="FNB"/>
    <s v="FNB Zambia Retail Segment (Jeremiah Namitondo)"/>
    <s v="55300009179 FNB Zambia Choma Branch"/>
    <s v="Full Time Employee"/>
    <s v="Sales and Client Services"/>
    <s v="Branch Manager"/>
    <s v="12 year(s), 6 month(s), 12 day(s)"/>
    <s v="30 - 39"/>
    <s v="Female"/>
    <m/>
  </r>
  <r>
    <s v="3246388"/>
    <x v="14"/>
    <x v="0"/>
    <x v="1"/>
    <s v="Botswana"/>
    <s v="FNB"/>
    <s v="FNB Botswana Retail Banking (Boniface Seane)"/>
    <s v="5010292200 FNB Botswana Channels Head Office"/>
    <s v="Full Time Employee"/>
    <s v="Legal, Risk and Compliance"/>
    <s v="Risk Manager"/>
    <s v="17 year(s), 4 month(s), 26 day(s)"/>
    <s v="40 - 49"/>
    <s v="Female"/>
    <m/>
  </r>
  <r>
    <s v="3330370"/>
    <x v="15"/>
    <x v="0"/>
    <x v="0"/>
    <s v="Lesotho"/>
    <s v="FNB"/>
    <s v="FNB Lesotho (Fusi Sefatsane)"/>
    <s v="51800001851 FNB Lesotho Kingway Branch"/>
    <s v="Full Time Employee"/>
    <s v="Sales and Client Services"/>
    <s v="Branch Manager"/>
    <s v="17 year(s), 1 month(s), 12 day(s)"/>
    <s v="30 - 39"/>
    <s v="Female"/>
    <s v="African (Lesotho)"/>
  </r>
  <r>
    <s v="4739736"/>
    <x v="16"/>
    <x v="0"/>
    <x v="0"/>
    <s v="Botswana"/>
    <s v="FNB"/>
    <s v="FNB Botswana Audit Management (Theetso Nkwe)"/>
    <s v="5010166100 FNB Botswana Audit"/>
    <s v="Full Time Employee"/>
    <s v="Legal, Risk and Compliance"/>
    <s v="Senior Audit Manager"/>
    <s v="12 year(s), 1 month(s), 2 day(s)"/>
    <s v="40 - 49"/>
    <s v="Female"/>
    <m/>
  </r>
  <r>
    <s v="4827430"/>
    <x v="17"/>
    <x v="0"/>
    <x v="0"/>
    <s v="Botswana"/>
    <s v="FNB"/>
    <s v="FNB Botswana Channels (Benni Dikobe)"/>
    <s v="501073600 FNB Botswana Mall Branch"/>
    <s v="Full Time Employee"/>
    <s v="Sales and Client Services"/>
    <s v="Branch Manager"/>
    <s v="11 year(s), 3 month(s), 5 day(s)"/>
    <s v="50 - 59"/>
    <s v="Female"/>
    <m/>
  </r>
  <r>
    <s v="3243605"/>
    <x v="18"/>
    <x v="0"/>
    <x v="0"/>
    <s v="Botswana"/>
    <s v="FNB"/>
    <s v="FNB Rand Merchant Bank Botswana (Harriet Mlalazi)"/>
    <s v="5010342500 RMB Botswana Flow Risk"/>
    <s v="Full Time Employee"/>
    <s v="Capital Markets and Invest"/>
    <s v="Global Market Head"/>
    <s v="10 year(s), 6 month(s), 21 day(s)"/>
    <s v="40 - 49"/>
    <s v="Female"/>
    <m/>
  </r>
  <r>
    <s v="5436346"/>
    <x v="19"/>
    <x v="0"/>
    <x v="3"/>
    <s v="Zambia"/>
    <s v="FNB"/>
    <s v="FNB Zambia Chief Executive Office (Kapumpe Chola)"/>
    <s v="55300003079 FNB Zambia Information Technology"/>
    <s v="Full Time Employee"/>
    <s v="Technology"/>
    <s v="Chief Information Officer"/>
    <s v="4 year(s), 4 month(s), 14 day(s)"/>
    <s v="40 - 49"/>
    <s v="Male"/>
    <s v="N/A (Zambia)"/>
  </r>
  <r>
    <s v="5066220"/>
    <x v="20"/>
    <x v="0"/>
    <x v="0"/>
    <s v="Botswana"/>
    <s v="FNB"/>
    <s v="FNB Botswana Human Capital (Kaone Kopi)"/>
    <s v="5010152800 FNB Botswana Human Capital"/>
    <s v="Full Time Employee"/>
    <s v="Human Capital"/>
    <s v="Human Capital Business Partner"/>
    <s v="8 year(s), 6 month(s), 2 day(s)"/>
    <s v="40 - 49"/>
    <s v="Male"/>
    <s v="African (Botswana)"/>
  </r>
  <r>
    <s v="5385571"/>
    <x v="21"/>
    <x v="0"/>
    <x v="0"/>
    <s v="Zambia"/>
    <s v="FNB"/>
    <s v="FNB Zambia Chief Executive Office (Kapumpe Chola)"/>
    <s v="55300003061 FNB Zambia Retail Segment"/>
    <s v="Full Time Employee"/>
    <s v="Sales and Client Services"/>
    <s v="Retail Head"/>
    <s v="4 year(s), 11 month(s), 9 day(s)"/>
    <s v="40 - 49"/>
    <s v="Female"/>
    <m/>
  </r>
  <r>
    <s v="5101646"/>
    <x v="22"/>
    <x v="0"/>
    <x v="4"/>
    <s v="Zambia"/>
    <s v="FNB"/>
    <s v="FNB Zambia Retail Segment (Mike Nyimbili)"/>
    <s v="55300003645 FNB Zambia Kasama Branch"/>
    <s v="Full Time Employee"/>
    <s v="Sales and Client Services"/>
    <s v="Multi Skilled Consultant"/>
    <s v="8 year(s), 0 month(s), 10 day(s)"/>
    <s v="30 - 39"/>
    <s v="Female"/>
    <m/>
  </r>
  <r>
    <s v="5173353"/>
    <x v="23"/>
    <x v="0"/>
    <x v="4"/>
    <s v="Zambia"/>
    <s v="FNB"/>
    <s v="FNB Zambia Retail Segment (Nancy Simutowe)"/>
    <s v="55300009278 FNB Zambia Industrial Branch"/>
    <s v="Full Time Employee"/>
    <s v="Sales and Client Services"/>
    <s v="Counter Support Coordinator"/>
    <s v="4 year(s), 5 month(s), 24 day(s)"/>
    <s v="30 - 39"/>
    <s v="Female"/>
    <m/>
  </r>
  <r>
    <s v="4974220"/>
    <x v="24"/>
    <x v="0"/>
    <x v="5"/>
    <s v="Botswana"/>
    <s v="FNB"/>
    <s v="FNB Botswana Brokerage (Govern Maseba)"/>
    <s v="5010166400 FNB Botswana Brokerage"/>
    <s v="Full Time Employee"/>
    <s v="Finance"/>
    <s v="Reconciliation Officer"/>
    <s v="8 year(s), 3 month(s), 2 day(s)"/>
    <s v="30 - 39"/>
    <s v="Male"/>
    <s v="African (Botswana)"/>
  </r>
  <r>
    <s v="4904699"/>
    <x v="25"/>
    <x v="0"/>
    <x v="0"/>
    <s v="Botswana"/>
    <s v="FNB"/>
    <s v="FNB Botswana Retail (One Molefe)"/>
    <s v="5010344300 FNB Botswana Wesbank Retail Segment"/>
    <s v="Full Time Employee"/>
    <s v="Sales and Client Services"/>
    <s v="Business Development Officer"/>
    <s v="9 year(s), 6 month(s), 2 day(s)"/>
    <s v="30 - 39"/>
    <s v="Male"/>
    <s v="African (Botswana)"/>
  </r>
  <r>
    <s v="5004608"/>
    <x v="26"/>
    <x v="0"/>
    <x v="6"/>
    <s v="Lesotho"/>
    <s v="FNB"/>
    <s v="FNB Lesotho (Daniel Mohau)"/>
    <s v="51800001852 FNB Lesotho OPC"/>
    <s v="Full Time Employee"/>
    <s v="Process, Operations and Administration"/>
    <s v="Team Leader Back Office"/>
    <s v="8 year(s), 9 month(s), 2 day(s)"/>
    <s v="30 - 39"/>
    <s v="Female"/>
    <s v="African (Lesotho)"/>
  </r>
  <r>
    <s v="4846443"/>
    <x v="27"/>
    <x v="0"/>
    <x v="0"/>
    <s v="Zambia"/>
    <s v="FNB"/>
    <s v="FNB Broader Africa (Bydon Longwe)"/>
    <s v="55300004651 FNB Zambia FCC"/>
    <s v="Full Time Employee"/>
    <s v="Process, Operations and Administration"/>
    <s v="Chief Executive Officer"/>
    <s v="11 year(s), 0 month(s), 28 day(s)"/>
    <s v="50 - 59"/>
    <s v="Female"/>
    <m/>
  </r>
  <r>
    <s v="4778561"/>
    <x v="28"/>
    <x v="0"/>
    <x v="0"/>
    <s v="Zambia"/>
    <s v="FNB"/>
    <s v="FNB Zambia Retail Segment (Njavwa Nakapizye)"/>
    <s v="55300003645 FNB Zambia Kasama Branch"/>
    <s v="Full Time Employee"/>
    <s v="Process, Operations and Administration"/>
    <s v="Branch Administrator"/>
    <s v="11 year(s), 8 month(s), 2 day(s)"/>
    <s v="30 - 39"/>
    <s v="Male"/>
    <m/>
  </r>
  <r>
    <s v="4846583"/>
    <x v="29"/>
    <x v="0"/>
    <x v="0"/>
    <s v="Zambia"/>
    <s v="FNB"/>
    <s v="FNB Zambia Compliance (Eugenius Hambokoma)"/>
    <s v="55300003087 FNB Zambia Compliance"/>
    <s v="Full Time Employee"/>
    <s v="Legal, Risk and Compliance"/>
    <s v="Financial Crime Analyst"/>
    <s v="10 year(s), 11 month(s), 2 day(s)"/>
    <s v="30 - 39"/>
    <s v="Male"/>
    <m/>
  </r>
  <r>
    <s v="4847393"/>
    <x v="30"/>
    <x v="0"/>
    <x v="0"/>
    <s v="Zambia"/>
    <s v="FNB"/>
    <s v="FNB Zambia Retail Segment (Kateule Musonda)"/>
    <s v="55300009187 FNB Zambia Lusaka Private Suite"/>
    <s v="Full Time Employee"/>
    <s v="Process, Operations and Administration"/>
    <s v="Branch Administrator"/>
    <s v="11 year(s), 0 month(s), 28 day(s)"/>
    <s v="30 - 39"/>
    <s v="Male"/>
    <m/>
  </r>
  <r>
    <s v="3511235"/>
    <x v="31"/>
    <x v="0"/>
    <x v="7"/>
    <s v="Botswana"/>
    <s v="FNB"/>
    <s v="FNB Botswana Operations (Bookeditswe Matladi-Molebatsi)"/>
    <s v="5010343200 FNB Botswana RMB Operations"/>
    <s v="Full Time Employee"/>
    <s v="Finance"/>
    <s v="Reconciliation Officer"/>
    <s v="12 year(s), 11 month(s), 2 day(s)"/>
    <s v="30 - 39"/>
    <s v="Female"/>
    <s v="African (Botswana)"/>
  </r>
  <r>
    <s v="4784545"/>
    <x v="32"/>
    <x v="0"/>
    <x v="0"/>
    <s v="Botswana"/>
    <s v="FNB"/>
    <s v="FNB Botswana Retail (Serwalo Mabotho)"/>
    <s v="5010292200 FNB Botswana Channels Head Office"/>
    <s v="Full Time Employee"/>
    <s v="Sales and Client Services"/>
    <s v="Service Manager"/>
    <s v="9 year(s), 5 month(s), 2 day(s)"/>
    <s v="30 - 39"/>
    <s v="Female"/>
    <m/>
  </r>
  <r>
    <s v="3244318"/>
    <x v="33"/>
    <x v="0"/>
    <x v="0"/>
    <s v="Botswana"/>
    <s v="FNB"/>
    <s v="FNB Botswana Operations (Otile Olekantse)"/>
    <s v="5010123600 FNB Botswana Francistown Mini Cash Centre"/>
    <s v="Full Time Employee"/>
    <s v="Sales and Client Services"/>
    <s v="Cash Centre Bulk Teller"/>
    <s v="18 year(s), 3 month(s), 2 day(s)"/>
    <s v="40 - 49"/>
    <s v="Female"/>
    <s v="African (Botswana)"/>
  </r>
  <r>
    <s v="2815966"/>
    <x v="34"/>
    <x v="0"/>
    <x v="0"/>
    <s v="Botswana"/>
    <s v="FNB"/>
    <s v="FNB Botswana Wealth (Tshepiso Scheffers)"/>
    <s v="5010209700 FNB Botswana Premier"/>
    <s v="Full Time Employee"/>
    <s v="Sales and Client Services"/>
    <s v="Senior Premier Manager"/>
    <s v="24 year(s), 7 month(s), 0 day(s)"/>
    <s v="40 - 49"/>
    <s v="Female"/>
    <m/>
  </r>
  <r>
    <s v="3511847"/>
    <x v="35"/>
    <x v="0"/>
    <x v="0"/>
    <s v="Botswana"/>
    <s v="FNB"/>
    <s v="FNB Botswana Operations (Lesego Tamajobe)"/>
    <s v="5010164100 FNB Botswana Call Centre"/>
    <s v="Full Time Employee"/>
    <s v="Sales and Client Services"/>
    <s v="Service Manager"/>
    <s v="12 year(s), 7 month(s), 2 day(s)"/>
    <s v="30 - 39"/>
    <s v="Male"/>
    <m/>
  </r>
  <r>
    <s v="3506622"/>
    <x v="36"/>
    <x v="0"/>
    <x v="1"/>
    <s v="Botswana"/>
    <s v="FNB"/>
    <s v="FNB Botswana Enabler (Mike Rammelane)"/>
    <s v="5010151500 FNB Botswana Credit Head Office"/>
    <s v="Full Time Employee"/>
    <s v="Credit"/>
    <s v="Credit Manager"/>
    <s v="16 year(s), 0 month(s), 2 day(s)"/>
    <s v="30 - 39"/>
    <s v="Female"/>
    <m/>
  </r>
  <r>
    <s v="3247449"/>
    <x v="37"/>
    <x v="0"/>
    <x v="0"/>
    <s v="South Africa"/>
    <s v="FNB"/>
    <s v="FNB Points of Presence (Jacques Ackerman (Inherited))"/>
    <s v="771037100 FNB POP Branch Delivery Woodlands Boulevard"/>
    <s v="Full Time Employee"/>
    <s v="Sales and Client Services"/>
    <s v="Universal Advisor"/>
    <s v="18 year(s), 7 month(s), 2 day(s)"/>
    <s v="40 - 49"/>
    <s v="Female"/>
    <s v="African (South Africa)"/>
  </r>
  <r>
    <s v="3278212"/>
    <x v="38"/>
    <x v="0"/>
    <x v="5"/>
    <s v="South Africa"/>
    <s v="RMB"/>
    <s v="FR Hyphen Sales and Solutions (Gerrie Butler (Inherited))"/>
    <s v="23300002345 FR Hyphen Commercial and Client Management"/>
    <s v="Full Time Employee"/>
    <s v="Process, Operations and Administration"/>
    <s v="Business Solutions Head"/>
    <s v="18 year(s), 7 month(s), 22 day(s)"/>
    <s v="40 - 49"/>
    <s v="Male"/>
    <s v="Indian (South Africa)"/>
  </r>
  <r>
    <s v="3282961"/>
    <x v="39"/>
    <x v="0"/>
    <x v="0"/>
    <s v="South Africa"/>
    <s v="FNB"/>
    <s v="FNB Commercial Credit (Lenashan Chetty)"/>
    <s v="34200005513 FNB Commercial Credit Public Sector"/>
    <s v="Full Time Employee"/>
    <s v="Credit"/>
    <s v="Credit Head"/>
    <s v="10 year(s), 5 month(s), 2 day(s)"/>
    <s v="40 - 49"/>
    <s v="Female"/>
    <s v="African (South Africa)"/>
  </r>
  <r>
    <s v="3290328"/>
    <x v="40"/>
    <x v="0"/>
    <x v="0"/>
    <s v="South Africa"/>
    <s v="FNB"/>
    <s v="FNB Points of Presence (Llewellyn Phillips)"/>
    <s v="771014200 FNB POP Branch Delivery Pretoria"/>
    <s v="Full Time Employee"/>
    <s v="Sales and Client Services"/>
    <s v="Local Market Sales and Service Manager"/>
    <s v="18 year(s), 8 month(s), 18 day(s)"/>
    <s v="40 - 49"/>
    <s v="Female"/>
    <s v="African (South Africa)"/>
  </r>
  <r>
    <s v="3292800"/>
    <x v="41"/>
    <x v="0"/>
    <x v="0"/>
    <s v="South Africa"/>
    <s v="FNB"/>
    <s v="FNB Commercial EFT (Hossain Ally)"/>
    <s v="68400009949 FNB Commercial EFT Product House"/>
    <s v="Full Time Employee"/>
    <s v="Sales and Client Services"/>
    <s v="Service Manager"/>
    <s v="18 year(s), 7 month(s), 19 day(s)"/>
    <s v="30 - 39"/>
    <s v="Female"/>
    <s v="White (South Africa)"/>
  </r>
  <r>
    <s v="3209105"/>
    <x v="42"/>
    <x v="0"/>
    <x v="0"/>
    <s v="South Africa"/>
    <s v="FNB"/>
    <s v="FNB Chief Risk Office (Emma Mer)"/>
    <s v="39400001871 FNB Chief Risk Office Executive"/>
    <s v="Full Time Employee"/>
    <s v="Process, Operations and Administration"/>
    <s v="Chief Operating Officer"/>
    <s v="19 year(s), 0 month(s), 12 day(s)"/>
    <s v="40 - 49"/>
    <s v="Female"/>
    <s v="Indian (South Africa)"/>
  </r>
  <r>
    <s v="3251268"/>
    <x v="43"/>
    <x v="0"/>
    <x v="0"/>
    <s v="South Africa"/>
    <s v="FNB"/>
    <s v="FNB Loans (Kyle Ferris)"/>
    <s v="79100007564 FNB Consumer Loans Unsecured Pillar"/>
    <s v="Full Time Employee"/>
    <s v="Sales and Client Services"/>
    <s v="Growth Manager"/>
    <s v="18 year(s), 11 month(s), 2 day(s)"/>
    <s v="40 - 49"/>
    <s v="Male"/>
    <s v="Coloured (South Africa)"/>
  </r>
  <r>
    <s v="3252965"/>
    <x v="44"/>
    <x v="0"/>
    <x v="0"/>
    <s v="South Africa"/>
    <s v="RMB"/>
    <s v="RMBSA Client Group Technology Application Support (Subhash Panday)"/>
    <s v="77800000MTY RMB - RMB Marketing Technology"/>
    <s v="Full Time Employee"/>
    <s v="Technology"/>
    <s v="Scrum Master"/>
    <s v="18 year(s), 8 month(s), 18 day(s)"/>
    <s v="40 - 49"/>
    <s v="Male"/>
    <s v="Indian (South Africa)"/>
  </r>
  <r>
    <s v="3262766"/>
    <x v="45"/>
    <x v="0"/>
    <x v="0"/>
    <s v="South Africa"/>
    <s v="FNB"/>
    <s v="FNB HSL (Mamazile Zikalala)"/>
    <s v="21200001437 HSL Middle Sub Segment"/>
    <s v="Full Time Employee"/>
    <s v="Process, Operations and Administration"/>
    <s v="Administrator"/>
    <s v="7 year(s), 0 month(s), 2 day(s)"/>
    <s v="40 - 49"/>
    <s v="Female"/>
    <s v="African (South Africa)"/>
  </r>
  <r>
    <s v="3199703"/>
    <x v="46"/>
    <x v="0"/>
    <x v="0"/>
    <s v="South Africa"/>
    <s v="FNB"/>
    <s v="CDO Kernel iNterfaceX (Leonna Pillay)"/>
    <s v="21800002561 CDO Kernel iNterfaceX Contact Centre"/>
    <s v="Full Time Employee"/>
    <s v="Product"/>
    <s v="Product Support Specialist"/>
    <s v="18 year(s), 6 month(s), 2 day(s)"/>
    <s v="40 - 49"/>
    <s v="Female"/>
    <s v="Indian (South Africa)"/>
  </r>
  <r>
    <s v="3210103"/>
    <x v="47"/>
    <x v="0"/>
    <x v="0"/>
    <s v="South Africa"/>
    <s v="FNB"/>
    <s v="CDO Infrastructure and Security Services (Grant Hassett)"/>
    <s v="20700001974 CDO Infrastructure and Security Services Information Security Management"/>
    <s v="Full Time Employee"/>
    <s v="Legal, Risk and Compliance"/>
    <s v="IT Governance Specialist"/>
    <s v="18 year(s), 9 month(s), 18 day(s)"/>
    <s v="50 - 59"/>
    <s v="Male"/>
    <s v="White (South Africa)"/>
  </r>
  <r>
    <s v="3252396"/>
    <x v="48"/>
    <x v="0"/>
    <x v="0"/>
    <s v="South Africa"/>
    <s v="FNB"/>
    <s v="FNB Chief Risk Office Executive (Brandon Olivier)"/>
    <s v="39400004555 FNB Chief Risk Office Screening Services COO"/>
    <s v="Full Time Employee"/>
    <s v="Process, Operations and Administration"/>
    <s v="Operations Head"/>
    <s v="13 year(s), 0 month(s), 13 day(s)"/>
    <s v="30 - 39"/>
    <s v="Male"/>
    <s v="Indian (South Africa)"/>
  </r>
  <r>
    <s v="3115011"/>
    <x v="49"/>
    <x v="0"/>
    <x v="0"/>
    <s v="South Africa"/>
    <s v="FNB"/>
    <s v="FNB Commercial Cash Centre Johannesburg (Stephen Phokojoe)"/>
    <s v="76100000483 FNB Commercial Cash Centre Johannesburg"/>
    <s v="Full Time Employee"/>
    <s v="Process, Operations and Administration"/>
    <s v="Cash Supervisor"/>
    <s v="19 year(s), 11 month(s), 2 day(s)"/>
    <s v="50 - 59"/>
    <s v="Female"/>
    <s v="African (South Africa)"/>
  </r>
  <r>
    <s v="3158373"/>
    <x v="50"/>
    <x v="0"/>
    <x v="0"/>
    <s v="South Africa"/>
    <s v="FNB"/>
    <s v="FNB Points of Presence (Mpho Maloka)"/>
    <s v="7710276700 FNB POP Branch Delivery Mall Of Africa"/>
    <s v="Full Time Employee"/>
    <s v="Process, Operations and Administration"/>
    <s v="Local Market Operations Manager"/>
    <s v="19 year(s), 8 month(s), 26 day(s)"/>
    <s v="40 - 49"/>
    <s v="Male"/>
    <s v="African (South Africa)"/>
  </r>
  <r>
    <s v="3173496"/>
    <x v="51"/>
    <x v="0"/>
    <x v="0"/>
    <s v="South Africa"/>
    <s v="FNB"/>
    <s v="FNB Points of Presence (Poovan Pillay)"/>
    <s v="771045200 FNB POP Branch Delivery Ulundi"/>
    <s v="Full Time Employee"/>
    <s v="Sales and Client Services"/>
    <s v="Associate"/>
    <s v="19 year(s), 10 month(s), 2 day(s)"/>
    <s v="40 - 49"/>
    <s v="Male"/>
    <s v="African (South Africa)"/>
  </r>
  <r>
    <s v="3189058"/>
    <x v="52"/>
    <x v="0"/>
    <x v="0"/>
    <s v="South Africa"/>
    <s v="FNB"/>
    <s v="FNB Central Finance (Renier Van Der Merwe)"/>
    <s v="39400001373 FNB CFP Service Delivery"/>
    <s v="Full Time Employee"/>
    <s v="Technology"/>
    <s v="Agile Coach"/>
    <s v="5 year(s), 10 month(s), 25 day(s)"/>
    <s v="40 - 49"/>
    <s v="Female"/>
    <s v="Coloured (South Africa)"/>
  </r>
  <r>
    <s v="3174042"/>
    <x v="53"/>
    <x v="0"/>
    <x v="0"/>
    <s v="South Africa"/>
    <s v="FNB"/>
    <s v="FNB Points of Presence (Baldwin Mashaba)"/>
    <s v="771099400 FNB POP Branch Delivery Waterfall Mall"/>
    <s v="Full Time Employee"/>
    <s v="Sales and Client Services"/>
    <s v="Local Market Sales and Service Manager"/>
    <s v="19 year(s), 8 month(s), 19 day(s)"/>
    <s v="40 - 49"/>
    <s v="Female"/>
    <s v="African (South Africa)"/>
  </r>
  <r>
    <s v="3097935"/>
    <x v="54"/>
    <x v="0"/>
    <x v="8"/>
    <s v="South Africa"/>
    <s v="FNB"/>
    <s v="FNB Wealth (Lisle Ellapen)"/>
    <s v="34100003291 PB&amp;A Advice Academy"/>
    <s v="Full Time Employee"/>
    <s v="Human Capital"/>
    <s v="Learning Specialist"/>
    <s v="20 year(s), 3 month(s), 24 day(s)"/>
    <s v="40 - 49"/>
    <s v="Female"/>
    <s v="White (South Africa)"/>
  </r>
  <r>
    <s v="3117189"/>
    <x v="55"/>
    <x v="0"/>
    <x v="0"/>
    <s v="South Africa"/>
    <s v="FNB"/>
    <s v="FNB Commercial Sales Kwa-Zulu Natal (Asheen Magjee)"/>
    <s v="34200006953 FNB Commercial Sales Shared Services KwaZulu Natal"/>
    <s v="Full Time Employee"/>
    <s v="Process, Operations and Administration"/>
    <s v="Chief Operating Officer"/>
    <s v="14 year(s), 10 month(s), 26 day(s)"/>
    <s v="40 - 49"/>
    <s v="Female"/>
    <s v="Indian (South Africa)"/>
  </r>
  <r>
    <s v="3212998"/>
    <x v="56"/>
    <x v="0"/>
    <x v="0"/>
    <s v="South Africa"/>
    <s v="FNB"/>
    <s v="FNB Commercial Merchant Services (John Mlangeni (Inherited))"/>
    <s v="22800008303 FNB Commercial Merchant Services Pricing Analytics"/>
    <s v="Full Time Employee"/>
    <s v="Data and Analytics"/>
    <s v="Business Intelligence Head"/>
    <s v="18 year(s), 7 month(s), 2 day(s)"/>
    <s v="40 - 49"/>
    <s v="Female"/>
    <s v="Coloured (South Africa)"/>
  </r>
  <r>
    <s v="3019055"/>
    <x v="57"/>
    <x v="0"/>
    <x v="1"/>
    <s v="South Africa"/>
    <s v="RMB"/>
    <s v="Rest of Africa (Luke Woodford (Inherited))"/>
    <s v="77800000CCA RMBSA Broader Africa Finance Team"/>
    <s v="Full Time Employee"/>
    <s v="Finance"/>
    <s v="Finance Head"/>
    <s v="20 year(s), 9 month(s), 2 day(s)"/>
    <s v="50 - 59"/>
    <s v="Male"/>
    <s v="White (South Africa)"/>
  </r>
  <r>
    <s v="3020312"/>
    <x v="58"/>
    <x v="0"/>
    <x v="0"/>
    <s v="South Africa"/>
    <s v="FNB"/>
    <s v="FNB Commercial Chief Information Office (Ismail Sibda)"/>
    <s v="34200007536 FNB Commercial CJP Exco"/>
    <s v="Full Time Employee"/>
    <s v="Technology"/>
    <s v="Business Unit Chief Information Officer"/>
    <s v="17 year(s), 8 month(s), 0 day(s)"/>
    <s v="40 - 49"/>
    <s v="Female"/>
    <s v="African (South Africa)"/>
  </r>
  <r>
    <s v="3063119"/>
    <x v="59"/>
    <x v="0"/>
    <x v="0"/>
    <s v="South Africa"/>
    <s v="FNB"/>
    <s v="FNB Points of Presence (Craig Field)"/>
    <s v="7710236900 FNB POP Regional Office Gauteng South"/>
    <s v="Full Time Employee"/>
    <s v="Sales and Client Services"/>
    <s v="Client Experience Manager"/>
    <s v="3 year(s), 3 month(s), 9 day(s)"/>
    <s v="40 - 49"/>
    <s v="Female"/>
    <s v="African (South Africa)"/>
  </r>
  <r>
    <s v="3082644"/>
    <x v="60"/>
    <x v="0"/>
    <x v="0"/>
    <s v="South Africa"/>
    <s v="FNB"/>
    <s v="FNB Commercial Sales Inland (Regita Lawrence)"/>
    <s v="34200006563 FNB Commercial Sales North West Enterprise"/>
    <s v="Full Time Employee"/>
    <s v="Sales and Client Services"/>
    <s v="Client Portfolio Executive"/>
    <s v="12 year(s), 11 month(s), 2 day(s)"/>
    <s v="40 - 49"/>
    <s v="Female"/>
    <s v="African (South Africa)"/>
  </r>
  <r>
    <s v="3101320"/>
    <x v="61"/>
    <x v="0"/>
    <x v="0"/>
    <s v="South Africa"/>
    <s v="FNB"/>
    <s v="FNB Finance Business Solutions (Jacqueline Crawford)"/>
    <s v="32100002445 FNB Finance Business Solutions Procurement Support"/>
    <s v="Full Time Employee"/>
    <s v="Process, Operations and Administration"/>
    <s v="Procurement Sourcing Specialist"/>
    <s v="20 year(s), 5 month(s), 2 day(s)"/>
    <s v="40 - 49"/>
    <s v="Female"/>
    <s v="African (South Africa)"/>
  </r>
  <r>
    <s v="3083713"/>
    <x v="62"/>
    <x v="0"/>
    <x v="0"/>
    <s v="South Africa"/>
    <s v="FNB"/>
    <s v="FNB Commercial Sales Gauteng South and Central (Caiphus Nyuswa)"/>
    <s v="34300006534 FNB Commercial Growth Gauteng South West South"/>
    <s v="Full Time Employee"/>
    <s v="Sales and Client Services"/>
    <s v="Business Manager"/>
    <s v="20 year(s), 8 month(s), 2 day(s)"/>
    <s v="40 - 49"/>
    <s v="Male"/>
    <s v="African (South Africa)"/>
  </r>
  <r>
    <s v="3084590"/>
    <x v="63"/>
    <x v="0"/>
    <x v="4"/>
    <s v="South Africa"/>
    <s v="FNB"/>
    <s v="FNB Chief Finance Office iFinance (Parmasivan Pillay)"/>
    <s v="39400001999 FNB Finance"/>
    <s v="Full Time Employee"/>
    <s v="Data and Analytics"/>
    <s v="Chief Data and Analytics Officer"/>
    <s v="20 year(s), 7 month(s), 2 day(s)"/>
    <s v="40 - 49"/>
    <s v="Male"/>
    <s v="White (South Africa)"/>
  </r>
  <r>
    <s v="2879573"/>
    <x v="64"/>
    <x v="0"/>
    <x v="0"/>
    <s v="South Africa"/>
    <s v="FNB"/>
    <s v="FNB Points of Presence (Heather Rossouw)"/>
    <s v="7710891900 FNB POP Operations Implementation Mngrs"/>
    <s v="Full Time Employee"/>
    <s v="Process, Operations and Administration"/>
    <s v="Implementation Manager"/>
    <s v="22 year(s), 10 month(s), 2 day(s)"/>
    <s v="40 - 49"/>
    <s v="Female"/>
    <s v="African (South Africa)"/>
  </r>
  <r>
    <s v="3021173"/>
    <x v="65"/>
    <x v="0"/>
    <x v="0"/>
    <s v="South Africa"/>
    <s v="FNB"/>
    <s v="FNB HSL (Chris Labuschagne)"/>
    <s v="21200001436 FNB HSL"/>
    <s v="Full Time Employee"/>
    <s v="Product"/>
    <s v="Product Head"/>
    <s v="19 year(s), 4 month(s), 2 day(s)"/>
    <s v="40 - 49"/>
    <s v="Female"/>
    <s v="Indian (South Africa)"/>
  </r>
  <r>
    <s v="3021238"/>
    <x v="66"/>
    <x v="0"/>
    <x v="0"/>
    <s v="South Africa"/>
    <s v="FNB"/>
    <s v="FNB Personal Exco (Sashin Sookroo)"/>
    <s v="83100009547 FNB Connect EXCO"/>
    <s v="Full Time Employee"/>
    <s v="Process, Operations and Administration"/>
    <s v="Chief Operating Officer"/>
    <s v="19 year(s), 3 month(s), 16 day(s)"/>
    <s v="40 - 49"/>
    <s v="Male"/>
    <s v="Indian (South Africa)"/>
  </r>
  <r>
    <s v="3021467"/>
    <x v="67"/>
    <x v="0"/>
    <x v="0"/>
    <s v="South Africa"/>
    <s v="FNB"/>
    <s v="FNB Commercial Sales Gauteng South and Central (Kabelo Motheane)"/>
    <s v="34300006528 FNB Commercial Growth Gauteng East Eastern Ekurhuleni"/>
    <s v="Full Time Employee"/>
    <s v="Sales and Client Services"/>
    <s v="Area Manager"/>
    <s v="7 year(s), 10 month(s), 12 day(s)"/>
    <s v="40 - 49"/>
    <s v="Male"/>
    <s v="African (South Africa)"/>
  </r>
  <r>
    <s v="2694972"/>
    <x v="68"/>
    <x v="0"/>
    <x v="1"/>
    <s v="South Africa"/>
    <s v="FNB"/>
    <s v="FNB Retail Cash Investments Chief Executive Office (Himal Parbhoo)"/>
    <s v="65100004404 FNB Premium Cash Investments Development"/>
    <s v="Full Time Employee"/>
    <s v="Sales and Client Services"/>
    <s v="Business Development Head"/>
    <s v="27 year(s), 4 month(s), 2 day(s)"/>
    <s v="40 - 49"/>
    <s v="Male"/>
    <s v="White (South Africa)"/>
  </r>
  <r>
    <s v="2862212"/>
    <x v="69"/>
    <x v="0"/>
    <x v="9"/>
    <s v="South Africa"/>
    <s v="FNB"/>
    <s v="FNB Commercial Forex CVM (Cindy-Lee Mayes)"/>
    <s v="81800006277 FNB Commercial Forex Growth"/>
    <s v="Full Time Employee"/>
    <s v="Sales and Client Services"/>
    <s v="National Sales Head"/>
    <s v="24 year(s), 2 month(s), 2 day(s)"/>
    <s v="40 - 49"/>
    <s v="Male"/>
    <s v="African (South Africa)"/>
  </r>
  <r>
    <s v="2862638"/>
    <x v="70"/>
    <x v="0"/>
    <x v="0"/>
    <s v="South Africa"/>
    <s v="WesBank"/>
    <s v="FNB Commercial Chief Executive Office ABF (Khantse Radebe)"/>
    <s v="30100007269 WB ABF Operations Head Office"/>
    <s v="Full Time Employee"/>
    <s v="Process, Operations and Administration"/>
    <s v="Executive Personal Assistant"/>
    <s v="24 year(s), 0 month(s), 2 day(s)"/>
    <s v="50 - 59"/>
    <s v="Female"/>
    <s v="White (South Africa)"/>
  </r>
  <r>
    <s v="2882590"/>
    <x v="71"/>
    <x v="0"/>
    <x v="0"/>
    <s v="South Africa"/>
    <s v="FNB"/>
    <s v="FNB Points of Presence (Zweli Zulu)"/>
    <s v="771035900 FNB POP Branch Delivery Lephalale"/>
    <s v="Full Time Employee"/>
    <s v="Sales and Client Services"/>
    <s v="Associate"/>
    <s v="8 year(s), 3 month(s), 30 day(s)"/>
    <s v="40 - 49"/>
    <s v="Female"/>
    <s v="African (South Africa)"/>
  </r>
  <r>
    <s v="2938618"/>
    <x v="72"/>
    <x v="0"/>
    <x v="0"/>
    <s v="South Africa"/>
    <s v="FNB"/>
    <s v="FNB Retail Judgemental Credit (Nevi Govender)"/>
    <s v="85500006814 RJC Head Office"/>
    <s v="Full Time Employee"/>
    <s v="Credit"/>
    <s v="Credit Manager"/>
    <s v="22 year(s), 4 month(s), 1 day(s)"/>
    <s v="50 - 59"/>
    <s v="Female"/>
    <s v="Coloured (South Africa)"/>
  </r>
  <r>
    <s v="2667509"/>
    <x v="73"/>
    <x v="0"/>
    <x v="0"/>
    <s v="South Africa"/>
    <s v="FNB"/>
    <s v="FNB Points of Presence (Bernice O Reilly)"/>
    <s v="7710669900 FNB POP Branch Finance"/>
    <s v="Full Time Employee"/>
    <s v="Finance"/>
    <s v="Financial Manager"/>
    <s v="14 year(s), 3 month(s), 23 day(s)"/>
    <s v="40 - 49"/>
    <s v="Female"/>
    <s v="White (South Africa)"/>
  </r>
  <r>
    <s v="2703173"/>
    <x v="74"/>
    <x v="0"/>
    <x v="0"/>
    <s v="South Africa"/>
    <s v="FNB"/>
    <s v="REMS Real Estate Management Services (Eve Kathar)"/>
    <s v="22300002373 REMS Campus Security"/>
    <s v="Full Time Employee"/>
    <s v="Support Services"/>
    <s v="Security Coordinator"/>
    <s v="18 year(s), 1 month(s), 2 day(s)"/>
    <s v="50 - 59"/>
    <s v="Male"/>
    <s v="African (South Africa)"/>
  </r>
  <r>
    <s v="2836998"/>
    <x v="75"/>
    <x v="0"/>
    <x v="0"/>
    <s v="South Africa"/>
    <s v="FNB"/>
    <s v="FNB Points of Presence (Pravesh Rajcoomar)"/>
    <s v="7710299500 FNB Points of Presence Sales and Collaboration"/>
    <s v="Full Time Employee"/>
    <s v="Sales and Client Services"/>
    <s v="New Business and Sales Head"/>
    <s v="23 year(s), 8 month(s), 28 day(s)"/>
    <s v="50 - 59"/>
    <s v="Female"/>
    <s v="White (South Africa)"/>
  </r>
  <r>
    <s v="2793423"/>
    <x v="76"/>
    <x v="0"/>
    <x v="0"/>
    <s v="Namibia"/>
    <s v="FNB"/>
    <s v="FNB Namibia Limited (Isdor Angula)"/>
    <s v="302031B9D555 FNB Namibia Human Capital"/>
    <s v="Full Time Employee"/>
    <s v="Human Capital"/>
    <s v="Human Capital Head"/>
    <s v="23 year(s), 11 month(s), 14 day(s)"/>
    <s v="40 - 49"/>
    <s v="Female"/>
    <s v="Racially disadvantaged (Namibia)"/>
  </r>
  <r>
    <s v="2765101"/>
    <x v="77"/>
    <x v="0"/>
    <x v="5"/>
    <s v="South Africa"/>
    <s v="FNB"/>
    <s v="FNB Commercial Sales KwaZulu Natal (Hannes Grobler)"/>
    <s v="34200008651 FNB Commercial KZN Non Hubbed Inland"/>
    <s v="Full Time Employee"/>
    <s v="Sales and Client Services"/>
    <s v="Business Relationship Manager"/>
    <s v="12 year(s), 4 month(s), 2 day(s)"/>
    <s v="50 - 59"/>
    <s v="Male"/>
    <s v="African (South Africa)"/>
  </r>
  <r>
    <s v="2698498"/>
    <x v="78"/>
    <x v="0"/>
    <x v="0"/>
    <s v="South Africa"/>
    <s v="FNB"/>
    <s v="FNB Points of Presence (Vanessa Dones-Smythe)"/>
    <s v="7710893100 FNB POP Staff Engagement Head"/>
    <s v="Full Time Employee"/>
    <s v="Process, Operations and Administration"/>
    <s v="Corporate Wardrobe Specialist"/>
    <s v="27 year(s), 0 month(s), 0 day(s)"/>
    <s v="40 - 49"/>
    <s v="Female"/>
    <s v="African (South Africa)"/>
  </r>
  <r>
    <s v="2363895"/>
    <x v="79"/>
    <x v="0"/>
    <x v="0"/>
    <s v="South Africa"/>
    <s v="FNB"/>
    <s v="FNB Commercial Sales Gauteng North (Thabang Mafora)"/>
    <s v="34300006539 FNB Commercial Growth Tshwane South"/>
    <s v="Full Time Employee"/>
    <s v="Sales and Client Services"/>
    <s v="Business Advisor"/>
    <s v="30 year(s), 8 month(s), 2 day(s)"/>
    <s v="50 - 59"/>
    <s v="Female"/>
    <s v="African (South Africa)"/>
  </r>
  <r>
    <s v="2152649"/>
    <x v="80"/>
    <x v="0"/>
    <x v="0"/>
    <s v="South Africa"/>
    <s v="FNB"/>
    <s v="FNB Private Segment (Philani Phakamani Potwana)"/>
    <s v="41200007842 FNB Private Core Banking Exco"/>
    <s v="Full Time Employee"/>
    <s v="Process, Operations and Administration"/>
    <s v="Chief Operating Officer"/>
    <s v="37 year(s), 1 month(s), 0 day(s)"/>
    <s v="50 - 59"/>
    <s v="Male"/>
    <s v="White (South Africa)"/>
  </r>
  <r>
    <s v="2408678"/>
    <x v="81"/>
    <x v="0"/>
    <x v="0"/>
    <s v="South Africa"/>
    <s v="FNB"/>
    <s v="FNB Private Banking and Advisory (Marius Pentz)"/>
    <s v="34100004225 PB&amp;A Willowbridge Affluent"/>
    <s v="Full Time Employee"/>
    <s v="Sales and Client Services"/>
    <s v="Channel Management Head"/>
    <s v="29 year(s), 8 month(s), 14 day(s)"/>
    <s v="50 - 59"/>
    <s v="Female"/>
    <s v="White (South Africa)"/>
  </r>
  <r>
    <s v="2364484"/>
    <x v="82"/>
    <x v="0"/>
    <x v="0"/>
    <s v="South Africa"/>
    <s v="FNB"/>
    <s v="FNB Business Branch Channel (Jaco Gerber)"/>
    <s v="34300004135 FNB Business Contact Centre Head Office"/>
    <s v="Full Time Employee"/>
    <s v="Sales and Client Services"/>
    <s v="New Business and Sales Head"/>
    <s v="31 year(s), 0 month(s), 2 day(s)"/>
    <s v="40 - 49"/>
    <s v="Female"/>
    <s v="Indian (South Africa)"/>
  </r>
  <r>
    <s v="2369443"/>
    <x v="83"/>
    <x v="0"/>
    <x v="0"/>
    <s v="South Africa"/>
    <s v="FNB"/>
    <s v="FNB Points of Presence (Mari Da Silva)"/>
    <s v="771030900 FNB POP Branch Delivery Mtubatuba"/>
    <s v="Full Time Employee"/>
    <s v="Sales and Client Services"/>
    <s v="Universal Advisor"/>
    <s v="30 year(s), 8 month(s), 2 day(s)"/>
    <s v="40 - 49"/>
    <s v="Female"/>
    <s v="White (South Africa)"/>
  </r>
  <r>
    <s v="2599929"/>
    <x v="84"/>
    <x v="0"/>
    <x v="0"/>
    <s v="South Africa"/>
    <s v="FNB"/>
    <s v="FNB Cash Investments (Pregasen Padiachee)"/>
    <s v="65100006551 FNB Premium Cash Investments Liabilities"/>
    <s v="Full Time Employee"/>
    <s v="Sales and Client Services"/>
    <s v="Sales Enablement Head"/>
    <s v="18 year(s), 3 month(s), 2 day(s)"/>
    <s v="40 - 49"/>
    <s v="Male"/>
    <s v="Indian (South Africa)"/>
  </r>
  <r>
    <s v="2047136"/>
    <x v="85"/>
    <x v="0"/>
    <x v="0"/>
    <s v="South Africa"/>
    <s v="FNB"/>
    <s v="FNB nav Head Office (Dheshen Moodley)"/>
    <s v="39400003192 FNB nav Head Office"/>
    <s v="Fixed Term Contractor"/>
    <s v="Technology"/>
    <s v="Systems Owner"/>
    <s v="27 year(s), 7 month(s), 1 day(s)"/>
    <s v="60 - 64"/>
    <s v="Female"/>
    <s v="White (South Africa)"/>
  </r>
  <r>
    <s v="0176656"/>
    <x v="86"/>
    <x v="0"/>
    <x v="0"/>
    <s v="South Africa"/>
    <s v="FNB"/>
    <s v="FNB International SA Credit (Yogesh Borkar)"/>
    <s v="83200005733 FNB International SA Credit"/>
    <s v="Full Time Employee"/>
    <s v="Credit"/>
    <s v="Credit Head"/>
    <s v="25 year(s), 11 month(s), 27 day(s)"/>
    <s v="50 - 59"/>
    <s v="Male"/>
    <s v="White (South Africa)"/>
  </r>
  <r>
    <s v="2053527"/>
    <x v="87"/>
    <x v="0"/>
    <x v="0"/>
    <s v="South Africa"/>
    <s v="FNB"/>
    <s v="FNB Commercial Sales Cape (Stephan Claassen)"/>
    <s v="34300005001 FNB Commercial Growth Cape Head Office"/>
    <s v="Full Time Employee"/>
    <s v="Sales and Client Services"/>
    <s v="Regional Head"/>
    <s v="39 year(s), 8 month(s), 19 day(s)"/>
    <s v="50 - 59"/>
    <s v="Male"/>
    <s v="Coloured (South Africa)"/>
  </r>
  <r>
    <s v="0181455"/>
    <x v="88"/>
    <x v="0"/>
    <x v="0"/>
    <s v="South Africa"/>
    <s v="WesBank"/>
    <s v="WB Motor Sales Channel (Matshego Nkwe)"/>
    <s v="30100008077 WB Motor Direct Business"/>
    <s v="Full Time Employee"/>
    <s v="Process, Operations and Administration"/>
    <s v="Sales Operations Manager"/>
    <s v="24 year(s), 4 month(s), 2 day(s)"/>
    <s v="40 - 49"/>
    <s v="Female"/>
    <s v="Coloured (South Africa)"/>
  </r>
  <r>
    <s v="2057379"/>
    <x v="89"/>
    <x v="0"/>
    <x v="0"/>
    <s v="South Africa"/>
    <s v="FNB"/>
    <s v="FNB Points of Presence (Natalie Hall)"/>
    <s v="7710404200 FNB POP Internal Communications"/>
    <s v="Full Time Employee"/>
    <s v="Marketing and Communication"/>
    <s v="Communications Manager"/>
    <s v="39 year(s), 6 month(s), 13 day(s)"/>
    <s v="50 - 59"/>
    <s v="Female"/>
    <s v="White (South Africa)"/>
  </r>
  <r>
    <s v="2060507"/>
    <x v="90"/>
    <x v="0"/>
    <x v="0"/>
    <s v="South Africa"/>
    <s v="FNB"/>
    <s v="FNB CTE Management (Henk Pieterse)"/>
    <s v="86000004302 HR Shared Services Operations Administration"/>
    <s v="Full Time Employee"/>
    <s v="Human Capital"/>
    <s v="Human Resources Client Delivery Coordinator"/>
    <s v="31 year(s), 0 month(s), 2 day(s)"/>
    <s v="50 - 59"/>
    <s v="Female"/>
    <s v="Indian (South Africa)"/>
  </r>
  <r>
    <s v="3118045"/>
    <x v="91"/>
    <x v="0"/>
    <x v="0"/>
    <s v="South Africa"/>
    <s v="FNB"/>
    <s v="FNB R&amp;C Chief Information Office (La-Cell Mouton)"/>
    <s v="79000005998 CDO Banking Central"/>
    <s v="Full Time Employee"/>
    <s v="Technology"/>
    <s v="Chief Information Officer"/>
    <s v="20 year(s), 3 month(s), 15 day(s)"/>
    <s v="50 - 59"/>
    <s v="Male"/>
    <s v="White (South Africa)"/>
  </r>
  <r>
    <s v="3301834"/>
    <x v="92"/>
    <x v="0"/>
    <x v="1"/>
    <s v="South Africa"/>
    <s v="FNB"/>
    <s v="FNB Commercial Chief Data and Analytics (Ryan Prozesky)"/>
    <s v="34300005518 FNB Commercial Data Office"/>
    <s v="Full Time Employee"/>
    <s v="Data and Analytics"/>
    <s v="Data Head"/>
    <s v="18 year(s), 4 month(s), 2 day(s)"/>
    <s v="40 - 49"/>
    <s v="Male"/>
    <s v="African (South Africa)"/>
  </r>
  <r>
    <s v="3300943"/>
    <x v="93"/>
    <x v="0"/>
    <x v="0"/>
    <s v="South Africa"/>
    <s v="FNB"/>
    <s v="FNB Dynamic Decisioning (Leone Van'T Zand)"/>
    <s v="23900007172 FNB Dynamic Decisioning NLP Conversational AI"/>
    <s v="Full Time Employee"/>
    <s v="Data and Analytics"/>
    <s v="Data Engineer"/>
    <s v="9 year(s), 5 month(s), 16 day(s)"/>
    <s v="40 - 49"/>
    <s v="Male"/>
    <s v="Indian (South Africa)"/>
  </r>
  <r>
    <s v="3259803"/>
    <x v="94"/>
    <x v="0"/>
    <x v="10"/>
    <s v="South Africa"/>
    <s v="RMB"/>
    <s v="RMBSA LRC Credit Risk Management (Noah Ngcobo)"/>
    <s v="77800000GCP RMBSA Broader Africa Credit Risk Management Team"/>
    <s v="Full Time Employee"/>
    <s v="Credit"/>
    <s v="Credit Head"/>
    <s v="18 year(s), 6 month(s), 18 day(s)"/>
    <s v="40 - 49"/>
    <s v="Male"/>
    <s v="White (South Africa)"/>
  </r>
  <r>
    <s v="3266362"/>
    <x v="95"/>
    <x v="0"/>
    <x v="0"/>
    <s v="South Africa"/>
    <s v="FNB"/>
    <s v="FNB Commercial TxP (Jackie Eddie-Jansen Van Vuuren)"/>
    <s v="39800007911 FNB Commercial TxP Quality Assurance"/>
    <s v="Full Time Employee"/>
    <s v="Process, Operations and Administration"/>
    <s v="Quality Assurer"/>
    <s v="18 year(s), 9 month(s), 2 day(s)"/>
    <s v="40 - 49"/>
    <s v="Female"/>
    <s v="African (South Africa)"/>
  </r>
  <r>
    <s v="3264831"/>
    <x v="96"/>
    <x v="0"/>
    <x v="0"/>
    <s v="South Africa"/>
    <s v="FNB"/>
    <s v="FNB Points of Presence (Yusuf Sirkoth)"/>
    <s v="7710613300 FNB POP IT Operations"/>
    <s v="Full Time Employee"/>
    <s v="Technology"/>
    <s v="Technical Team Leader"/>
    <s v="18 year(s), 11 month(s), 2 day(s)"/>
    <s v="40 - 49"/>
    <s v="Female"/>
    <s v="African (South Africa)"/>
  </r>
  <r>
    <s v="3279359"/>
    <x v="97"/>
    <x v="0"/>
    <x v="0"/>
    <s v="South Africa"/>
    <s v="FNB"/>
    <s v="CDO Kernel iNterfaceX (Mmushi Mosupi)"/>
    <s v="21800009568 CDO Kernel iNterfaceX Tech App and Mobile QA App"/>
    <s v="Full Time Employee"/>
    <s v="Technology"/>
    <s v="Test Analyst Manager"/>
    <s v="18 year(s), 4 month(s), 2 day(s)"/>
    <s v="40 - 49"/>
    <s v="Male"/>
    <s v="African (South Africa)"/>
  </r>
  <r>
    <s v="3281469"/>
    <x v="98"/>
    <x v="0"/>
    <x v="0"/>
    <s v="South Africa"/>
    <s v="FNB"/>
    <s v="FNB Connect and Service Provider (Aveen Singh)"/>
    <s v="83100005545 FNB Connect Sales Centre"/>
    <s v="Full Time Employee"/>
    <s v="Sales and Client Services"/>
    <s v="Regional Manager"/>
    <s v="18 year(s), 10 month(s), 2 day(s)"/>
    <s v="30 - 39"/>
    <s v="Female"/>
    <s v="Coloured (South Africa)"/>
  </r>
  <r>
    <s v="3265064"/>
    <x v="99"/>
    <x v="0"/>
    <x v="11"/>
    <s v="South Africa"/>
    <s v="FNB"/>
    <s v="FNB Business Value Propositions (Jose' Gomes)"/>
    <s v="34300004119 FNB Business Value Propositions"/>
    <s v="Full Time Employee"/>
    <s v="Sales and Client Services"/>
    <s v="Regional Manager"/>
    <s v="7 year(s), 8 month(s), 2 day(s)"/>
    <s v="40 - 49"/>
    <s v="Male"/>
    <s v="African (South Africa)"/>
  </r>
  <r>
    <s v="3133303"/>
    <x v="100"/>
    <x v="0"/>
    <x v="0"/>
    <s v="South Africa"/>
    <s v="FNB"/>
    <s v="Group Human Capital Chief Information Office (Farid Karolia)"/>
    <s v="47100009663 HC and FNB EnTech Leads"/>
    <s v="Full Time Employee"/>
    <s v="Technology"/>
    <s v="User Experience Manager"/>
    <s v="7 year(s), 9 month(s), 2 day(s)"/>
    <s v="40 - 49"/>
    <s v="Male"/>
    <s v="White (South Africa)"/>
  </r>
  <r>
    <s v="3148785"/>
    <x v="101"/>
    <x v="0"/>
    <x v="0"/>
    <s v="South Africa"/>
    <s v="FNB"/>
    <s v="FNB Points of Presence (Michelle Malan (Inherited))"/>
    <s v="771012900 FNB POP Branch Delivery Vanderbijlpark"/>
    <s v="Full Time Employee"/>
    <s v="Process, Operations and Administration"/>
    <s v="Branch Administrator"/>
    <s v="19 year(s), 11 month(s), 7 day(s)"/>
    <s v="40 - 49"/>
    <s v="Female"/>
    <s v="African (South Africa)"/>
  </r>
  <r>
    <s v="3194582"/>
    <x v="102"/>
    <x v="0"/>
    <x v="0"/>
    <s v="South Africa"/>
    <s v="FNB"/>
    <s v="FNB COO Head Office (Francois Retief)"/>
    <s v="69000009048 FNB Retail COO"/>
    <s v="Full Time Employee"/>
    <s v="Marketing and Communication"/>
    <s v="Volunteers Manager"/>
    <s v="19 year(s), 7 month(s), 2 day(s)"/>
    <s v="40 - 49"/>
    <s v="Male"/>
    <s v="African (South Africa)"/>
  </r>
  <r>
    <s v="3220737"/>
    <x v="103"/>
    <x v="0"/>
    <x v="0"/>
    <s v="South Africa"/>
    <s v="FNB"/>
    <s v="FNB Points of Presence (Brigate Nyakane)"/>
    <s v="7710841400 FNB POP External Sales Local Market"/>
    <s v="OBR With Fixed Pay"/>
    <s v="Sales and Client Services"/>
    <s v="External Sales and Service Advisor Lead OBR"/>
    <s v="8 year(s), 8 month(s), 30 day(s)"/>
    <s v="40 - 49"/>
    <s v="Female"/>
    <s v="African (South Africa)"/>
  </r>
  <r>
    <s v="3086178"/>
    <x v="104"/>
    <x v="0"/>
    <x v="0"/>
    <s v="South Africa"/>
    <s v="FNB"/>
    <s v="FNB Public Relations Office (Sipho Silinda)"/>
    <s v="84100005287 FNB Commercial Public Sector EXCO"/>
    <s v="Full Time Employee"/>
    <s v="Process, Operations and Administration"/>
    <s v="Business Solutions Head"/>
    <s v="20 year(s), 7 month(s), 12 day(s)"/>
    <s v="40 - 49"/>
    <s v="Male"/>
    <s v="African (South Africa)"/>
  </r>
  <r>
    <s v="3149048"/>
    <x v="105"/>
    <x v="0"/>
    <x v="0"/>
    <s v="South Africa"/>
    <s v="FNB"/>
    <s v="FNB Points of Presence (Gareth Lalla)"/>
    <s v="771009800 FNB POP Branch Delivery Pretorius Street"/>
    <s v="Full Time Employee"/>
    <s v="Sales and Client Services"/>
    <s v="Branch Delivery Sales and Service Team Leader"/>
    <s v="19 year(s), 11 month(s), 2 day(s)"/>
    <s v="40 - 49"/>
    <s v="Female"/>
    <s v="African (South Africa)"/>
  </r>
  <r>
    <s v="3054829"/>
    <x v="106"/>
    <x v="0"/>
    <x v="0"/>
    <s v="South Africa"/>
    <s v="FNB"/>
    <s v="FNB Commercial Sales Cape (Philip Poole)"/>
    <s v="34200009138 FNB Commercial Agriculture Western Cape"/>
    <s v="Full Time Employee"/>
    <s v="Sales and Client Services"/>
    <s v="Relationship Analyst"/>
    <s v="21 year(s), 0 month(s), 2 day(s)"/>
    <s v="40 - 49"/>
    <s v="Female"/>
    <s v="Coloured (South Africa)"/>
  </r>
  <r>
    <s v="3089509"/>
    <x v="107"/>
    <x v="0"/>
    <x v="0"/>
    <s v="South Africa"/>
    <s v="FNB"/>
    <s v="FNB Retail Exco (WILSON DIKOBO)"/>
    <s v="85500006814 RJC Head Office"/>
    <s v="Full Time Employee"/>
    <s v="Credit"/>
    <s v="Credit Head"/>
    <s v="11 year(s), 5 month(s), 23 day(s)"/>
    <s v="40 - 49"/>
    <s v="Female"/>
    <s v="African (South Africa)"/>
  </r>
  <r>
    <s v="3004473"/>
    <x v="108"/>
    <x v="0"/>
    <x v="4"/>
    <s v="South Africa"/>
    <s v="FNB"/>
    <s v="FNB Retail COO (Sthokozile Zwezwe (Inherited))"/>
    <s v="69000015126 FNB COO LRC"/>
    <s v="Full Time Employee"/>
    <s v="Legal, Risk and Compliance"/>
    <s v="Risk Manager"/>
    <s v="20 year(s), 8 month(s), 25 day(s)"/>
    <s v="40 - 49"/>
    <s v="Male"/>
    <s v="Coloured (South Africa)"/>
  </r>
  <r>
    <s v="2991004"/>
    <x v="109"/>
    <x v="0"/>
    <x v="2"/>
    <s v="South Africa"/>
    <s v="FNB"/>
    <s v="FNB Commercial Projects and Operations (Luchaan Zeelie)"/>
    <s v="34200008093 FNB Commercial Projects"/>
    <s v="Full Time Employee"/>
    <s v="Process, Operations and Administration"/>
    <s v="Project Management Office Head"/>
    <s v="17 year(s), 7 month(s), 2 day(s)"/>
    <s v="40 - 49"/>
    <s v="Male"/>
    <s v="African (South Africa)"/>
  </r>
  <r>
    <s v="3105857"/>
    <x v="110"/>
    <x v="0"/>
    <x v="0"/>
    <s v="South Africa"/>
    <s v="FNB"/>
    <s v="FNB Points of Presence (Tshwarelo Malele)"/>
    <s v="7710110800 FNB POP Branch Delivery Kabokweni Plaza"/>
    <s v="Full Time Employee"/>
    <s v="Process, Operations and Administration"/>
    <s v="Branch Administrator"/>
    <s v="20 year(s), 6 month(s), 2 day(s)"/>
    <s v="40 - 49"/>
    <s v="Female"/>
    <s v="African (South Africa)"/>
  </r>
  <r>
    <s v="3068463"/>
    <x v="111"/>
    <x v="0"/>
    <x v="0"/>
    <s v="South Africa"/>
    <s v="FNB"/>
    <s v="FNB Commercial Sales Gauteng South and Central (Yudesh Singh)"/>
    <s v="34300006536 FNB Commercial Growth Gauteng South West Rand"/>
    <s v="Full Time Employee"/>
    <s v="Sales and Client Services"/>
    <s v="Business Manager"/>
    <s v="20 year(s), 9 month(s), 2 day(s)"/>
    <s v="40 - 49"/>
    <s v="Female"/>
    <s v="Indian (South Africa)"/>
  </r>
  <r>
    <s v="2765152"/>
    <x v="112"/>
    <x v="0"/>
    <x v="0"/>
    <s v="South Africa"/>
    <s v="FNB"/>
    <s v="FNB Commercial Sales Inland (Pelonolo Mafata)"/>
    <s v="34300009157 FNB Commercial Growth Mpumalanga Gold"/>
    <s v="Full Time Employee"/>
    <s v="Sales and Client Services"/>
    <s v="Area Manager"/>
    <s v="25 year(s), 7 month(s), 15 day(s)"/>
    <s v="50 - 59"/>
    <s v="Female"/>
    <s v="Indian (South Africa)"/>
  </r>
  <r>
    <s v="2887673"/>
    <x v="113"/>
    <x v="0"/>
    <x v="0"/>
    <s v="South Africa"/>
    <s v="FNB"/>
    <s v="FNB Retail COO (Janedrie Naidoo)"/>
    <s v="69000006171 FNB Retail Enterprise Project Management Office"/>
    <s v="Full Time Employee"/>
    <s v="Process, Operations and Administration"/>
    <s v="Programme Manager"/>
    <s v="22 year(s), 10 month(s), 2 day(s)"/>
    <s v="50 - 59"/>
    <s v="Male"/>
    <s v="Indian (South Africa)"/>
  </r>
  <r>
    <s v="2962233"/>
    <x v="114"/>
    <x v="0"/>
    <x v="8"/>
    <s v="South Africa"/>
    <s v="FNB"/>
    <s v="FNB Core Banking Platform (Sandy Pillay)"/>
    <s v="59600005436 FNB Personal and Private IT HR"/>
    <s v="Full Time Employee"/>
    <s v="Human Capital"/>
    <s v="Learning and Development Manager"/>
    <s v="18 year(s), 9 month(s), 2 day(s)"/>
    <s v="50 - 59"/>
    <s v="Male"/>
    <s v="White (South Africa)"/>
  </r>
  <r>
    <s v="2964457"/>
    <x v="115"/>
    <x v="0"/>
    <x v="0"/>
    <s v="South Africa"/>
    <s v="FNB"/>
    <s v="FR Life Assurance (Lee Bromfield)"/>
    <s v="61500010269 FR Life CEO Office"/>
    <s v="Full Time Employee"/>
    <s v="Process, Operations and Administration"/>
    <s v="Executive Head"/>
    <s v="11 year(s), 2 month(s), 2 day(s)"/>
    <s v="40 - 49"/>
    <s v="Male"/>
    <s v="Indian (South Africa)"/>
  </r>
  <r>
    <s v="2745232"/>
    <x v="116"/>
    <x v="0"/>
    <x v="12"/>
    <s v="South Africa"/>
    <s v="FNB"/>
    <s v="FNB Loans (Yaasin Nordien)"/>
    <s v="79100005608 FNB Consumer Loans Support Operations"/>
    <s v="Full Time Employee"/>
    <s v="Sales and Client Services"/>
    <s v="Client Experience Manager"/>
    <s v="26 year(s), 4 month(s), 2 day(s)"/>
    <s v="40 - 49"/>
    <s v="Male"/>
    <s v="White (South Africa)"/>
  </r>
  <r>
    <s v="2867001"/>
    <x v="117"/>
    <x v="0"/>
    <x v="0"/>
    <s v="South Africa"/>
    <s v="FNB"/>
    <s v="FNB Commercial Sales Inland (Themba Mabizela)"/>
    <s v="34200009214 FNB Commercial Sales Mpumalanga Regional"/>
    <s v="Full Time Employee"/>
    <s v="Sales and Client Services"/>
    <s v="Regional Head"/>
    <s v="22 year(s), 2 month(s), 2 day(s)"/>
    <s v="40 - 49"/>
    <s v="Male"/>
    <s v="African (South Africa)"/>
  </r>
  <r>
    <s v="2868970"/>
    <x v="118"/>
    <x v="0"/>
    <x v="0"/>
    <s v="South Africa"/>
    <s v="FNB"/>
    <s v="FNB Central Finance (Junaid Bayat)"/>
    <s v="39400004642 FNB CFP HFM"/>
    <s v="Full Time Employee"/>
    <s v="Technology"/>
    <s v="HFM Developer"/>
    <s v="21 year(s), 7 month(s), 2 day(s)"/>
    <s v="40 - 49"/>
    <s v="Male"/>
    <s v="African (South Africa)"/>
  </r>
  <r>
    <s v="2741903"/>
    <x v="119"/>
    <x v="0"/>
    <x v="0"/>
    <s v="South Africa"/>
    <s v="FNB"/>
    <s v="FNB Points of Presence (Dima Thaba)"/>
    <s v="7710237800 FNB POP Regional Office Gauteng North"/>
    <s v="Full Time Employee"/>
    <s v="Sales and Client Services"/>
    <s v="Area Manager"/>
    <s v="26 year(s), 4 month(s), 2 day(s)"/>
    <s v="40 - 49"/>
    <s v="Male"/>
    <s v="Indian (South Africa)"/>
  </r>
  <r>
    <s v="2770369"/>
    <x v="120"/>
    <x v="0"/>
    <x v="0"/>
    <s v="South Africa"/>
    <s v="FNB"/>
    <s v="FNB Business Platform Niches (Morne Cronje)"/>
    <s v="34300009103 FNB Business Platform Niches"/>
    <s v="Full Time Employee"/>
    <s v="Sales and Client Services"/>
    <s v="Sales Head"/>
    <s v="25 year(s), 10 month(s), 28 day(s)"/>
    <s v="50 - 59"/>
    <s v="Male"/>
    <s v="White (South Africa)"/>
  </r>
  <r>
    <s v="2315335"/>
    <x v="121"/>
    <x v="0"/>
    <x v="0"/>
    <s v="South Africa"/>
    <s v="FNB"/>
    <s v="FNB Human Capital R&amp;C (Donald Khumalo)"/>
    <s v="47100001985 FNB HR Executive"/>
    <s v="Full Time Employee"/>
    <s v="Human Capital"/>
    <s v="Transformation Segment Lead"/>
    <s v="32 year(s), 1 month(s), 2 day(s)"/>
    <s v="50 - 59"/>
    <s v="Female"/>
    <s v="White (South Africa)"/>
  </r>
  <r>
    <s v="2073889"/>
    <x v="122"/>
    <x v="0"/>
    <x v="0"/>
    <s v="South Africa"/>
    <s v="FNB"/>
    <s v="FNB Points of Presence (Chantell Holder)"/>
    <s v="771096300 FNB POP Branch Delivery Bedford Gardens"/>
    <s v="Full Time Employee"/>
    <s v="Sales and Client Services"/>
    <s v="Associate"/>
    <s v="19 year(s), 8 month(s), 2 day(s)"/>
    <s v="50 - 59"/>
    <s v="Female"/>
    <s v="White (South Africa)"/>
  </r>
  <r>
    <s v="2165449"/>
    <x v="123"/>
    <x v="0"/>
    <x v="13"/>
    <s v="South Africa"/>
    <s v="FNB"/>
    <s v="FNB Fiduciary (Leandri Spies)"/>
    <s v="30300004637 FNB WI Fiduciary Low Value"/>
    <s v="Full Time Employee"/>
    <s v="Process, Operations and Administration"/>
    <s v="Estates Manager"/>
    <s v="7 year(s), 9 month(s), 2 day(s)"/>
    <s v="50 - 59"/>
    <s v="Female"/>
    <s v="White (South Africa)"/>
  </r>
  <r>
    <s v="2380129"/>
    <x v="124"/>
    <x v="0"/>
    <x v="0"/>
    <s v="South Africa"/>
    <s v="FNB"/>
    <s v="FNB Commercial Human Capital (Crystal Bagley)"/>
    <s v="34400009735 FNB Commercial Human Resources"/>
    <s v="Full Time Employee"/>
    <s v="Human Capital"/>
    <s v="Human Capital Business Partner"/>
    <s v="30 year(s), 11 month(s), 21 day(s)"/>
    <s v="40 - 49"/>
    <s v="Female"/>
    <s v="Indian (South Africa)"/>
  </r>
  <r>
    <s v="2415089"/>
    <x v="125"/>
    <x v="0"/>
    <x v="0"/>
    <s v="South Africa"/>
    <s v="FNB"/>
    <s v="FNB Finance Business Solutions (Peter Koedyk)"/>
    <s v="32100009321 FNB Finance Business Solutions Procurement Helpdesk"/>
    <s v="Full Time Employee"/>
    <s v="Process, Operations and Administration"/>
    <s v="Supplier Maintenance Manager"/>
    <s v="30 year(s), 0 month(s), 25 day(s)"/>
    <s v="50 - 59"/>
    <s v="Female"/>
    <s v="Indian (South Africa)"/>
  </r>
  <r>
    <s v="2608707"/>
    <x v="126"/>
    <x v="0"/>
    <x v="0"/>
    <s v="South Africa"/>
    <s v="FNB"/>
    <s v="FNB Commercial Merchant Services (Karen Isaacs)"/>
    <s v="22800005028 FNB Commercial Merchant Services Collections"/>
    <s v="Full Time Employee"/>
    <s v="Process, Operations and Administration"/>
    <s v="Administrator"/>
    <s v="17 year(s), 5 month(s), 23 day(s)"/>
    <s v="40 - 49"/>
    <s v="Female"/>
    <s v="Coloured (South Africa)"/>
  </r>
  <r>
    <s v="2675498"/>
    <x v="127"/>
    <x v="0"/>
    <x v="0"/>
    <s v="South Africa"/>
    <s v="FNB"/>
    <s v="FNB Commercial Merchant Services (Netsai Ngidi)"/>
    <s v="22800004061 FNB Commercial Merchant Services Product and Solutions"/>
    <s v="PHI Benefit"/>
    <s v="Human Capital"/>
    <s v="Learning Architect"/>
    <s v="27 year(s), 6 month(s), 21 day(s)"/>
    <s v="50 - 59"/>
    <s v="Female"/>
    <s v="White (South Africa)"/>
  </r>
  <r>
    <s v="2609932"/>
    <x v="128"/>
    <x v="0"/>
    <x v="14"/>
    <s v="South Africa"/>
    <s v="FNB"/>
    <s v="CDO Banking IDS (Mohamed Karim)"/>
    <s v="79000007752 CDO Banking IDS"/>
    <s v="Full Time Employee"/>
    <s v="Technology"/>
    <s v="Application Development Manager"/>
    <s v="28 year(s), 5 month(s), 9 day(s)"/>
    <s v="50 - 59"/>
    <s v="Male"/>
    <s v="Indian (South Africa)"/>
  </r>
  <r>
    <s v="2416824"/>
    <x v="129"/>
    <x v="0"/>
    <x v="0"/>
    <s v="South Africa"/>
    <s v="FNB"/>
    <s v="FNB Points of Presence (Dima Thaba)"/>
    <s v="7710237800 FNB POP Regional Office Gauteng North"/>
    <s v="Full Time Employee"/>
    <s v="Sales and Client Services"/>
    <s v="Area Manager"/>
    <s v="30 year(s), 1 month(s), 2 day(s)"/>
    <s v="40 - 49"/>
    <s v="Male"/>
    <s v="African (South Africa)"/>
  </r>
  <r>
    <s v="0186767"/>
    <x v="130"/>
    <x v="0"/>
    <x v="0"/>
    <s v="South Africa"/>
    <s v="FNB"/>
    <s v="FNB Credit Card Legal Risk and Compliance (Robert Cawse)"/>
    <s v="39400001973 FNB Chief Risk Office Retail and Commercial Compliance"/>
    <s v="Full Time Employee"/>
    <s v="Legal, Risk and Compliance"/>
    <s v="Compliance Practice Lead"/>
    <s v="23 year(s), 6 month(s), 18 day(s)"/>
    <s v="50 - 59"/>
    <s v="Male"/>
    <s v="White (South Africa)"/>
  </r>
  <r>
    <s v="2076225"/>
    <x v="131"/>
    <x v="0"/>
    <x v="0"/>
    <s v="South Africa"/>
    <s v="FNB"/>
    <s v="FNB Commercial Sales Gauteng South and Central (Richard Gunther)"/>
    <s v="34200001223 FNB Commercial Sales Gauteng East 60 to 150M"/>
    <s v="Full Time Employee"/>
    <s v="Sales and Client Services"/>
    <s v="Client Portfolio Executive"/>
    <s v="38 year(s), 7 month(s), 1 day(s)"/>
    <s v="50 - 59"/>
    <s v="Male"/>
    <s v="African (South Africa)"/>
  </r>
  <r>
    <s v="2168324"/>
    <x v="132"/>
    <x v="0"/>
    <x v="15"/>
    <s v="South Africa"/>
    <s v="FNB"/>
    <s v="FNB Commercial Forex Ops Cape Town (Jason De Stadler)"/>
    <s v="81800003195 FNB Commercial Forex Ops Cape Town"/>
    <s v="Full Time Employee"/>
    <s v="Process, Operations and Administration"/>
    <s v="Exchange Control Specialist"/>
    <s v="36 year(s), 4 month(s), 2 day(s)"/>
    <s v="50 - 59"/>
    <s v="Female"/>
    <s v="Indian (South Africa)"/>
  </r>
  <r>
    <s v="2569051"/>
    <x v="133"/>
    <x v="0"/>
    <x v="0"/>
    <s v="South Africa"/>
    <s v="FNB"/>
    <s v="CDO Kernel iDnA (Gio Pera)"/>
    <s v="79000003718 FNB Enablement OCIO PMO"/>
    <s v="Full Time Employee"/>
    <s v="Process, Operations and Administration"/>
    <s v="Project Management Office Portfolio Manager"/>
    <s v="11 year(s), 1 month(s), 2 day(s)"/>
    <s v="50 - 59"/>
    <s v="Male"/>
    <s v="Indian (South Africa)"/>
  </r>
  <r>
    <s v="0079332"/>
    <x v="134"/>
    <x v="0"/>
    <x v="1"/>
    <s v="South Africa"/>
    <s v="WesBank"/>
    <s v="WB Motor Operations (Kreelan Chetty)"/>
    <s v="30100007371 WB WesBank Way"/>
    <s v="Full Time Employee"/>
    <s v="Process, Operations and Administration"/>
    <s v="Consultant Coaching for Effectiveness"/>
    <s v="38 year(s), 7 month(s), 19 day(s)"/>
    <s v="50 - 59"/>
    <s v="Female"/>
    <s v="White (South Africa)"/>
  </r>
  <r>
    <s v="0147834"/>
    <x v="135"/>
    <x v="0"/>
    <x v="0"/>
    <s v="South Africa"/>
    <s v="FNB"/>
    <s v="FNB Finance and Support Group Information Management (Zakeera Mahomed)"/>
    <s v="39400007609 FNB CDAO Information Management"/>
    <s v="Full Time Employee"/>
    <s v="Data and Analytics"/>
    <s v="Group Information Management Head"/>
    <s v="24 year(s), 7 month(s), 2 day(s)"/>
    <s v="40 - 49"/>
    <s v="Female"/>
    <s v="White (South Africa)"/>
  </r>
  <r>
    <s v="2571242"/>
    <x v="136"/>
    <x v="0"/>
    <x v="0"/>
    <s v="South Africa"/>
    <s v="FNB"/>
    <s v="FNB Private Segment (Sizwe Nxedlana)"/>
    <s v="85500008551 FNB Retail Exco"/>
    <s v="Full Time Employee"/>
    <s v="Technology"/>
    <s v="Segment Chief Information Officer"/>
    <s v="28 year(s), 10 month(s), 2 day(s)"/>
    <s v="50 - 59"/>
    <s v="Male"/>
    <s v="Indian (South Africa)"/>
  </r>
  <r>
    <s v="2327902"/>
    <x v="137"/>
    <x v="0"/>
    <x v="0"/>
    <s v="South Africa"/>
    <s v="FirstRand Corporate Centre"/>
    <s v="FNB Internal Audit (Gianni Low)"/>
    <s v="20200006714 FNB Internal Audit"/>
    <s v="Full Time Employee"/>
    <s v="Legal, Risk and Compliance"/>
    <s v="Internal Auditor"/>
    <s v="32 year(s), 3 month(s), 2 day(s)"/>
    <s v="50 - 59"/>
    <s v="Female"/>
    <s v="Indian (South Africa)"/>
  </r>
  <r>
    <s v="2420422"/>
    <x v="138"/>
    <x v="0"/>
    <x v="0"/>
    <s v="South Africa"/>
    <s v="FNB"/>
    <s v="FNB Commercial Sales KwaZulu Natal (Jayendran Pillay (Inherited))"/>
    <s v="34200008041 FNB Commercial KZN Coastal Non Hubbed"/>
    <s v="Full Time Employee"/>
    <s v="Sales and Client Services"/>
    <s v="Client Portfolio Executive"/>
    <s v="30 year(s), 2 month(s), 2 day(s)"/>
    <s v="40 - 49"/>
    <s v="Female"/>
    <s v="White (South Africa)"/>
  </r>
  <r>
    <s v="0152536"/>
    <x v="139"/>
    <x v="0"/>
    <x v="0"/>
    <s v="South Africa"/>
    <s v="WesBank"/>
    <s v="WB Motor Operations (Kreelan Chetty)"/>
    <s v="30100007371 WB WesBank Way"/>
    <s v="Full Time Employee"/>
    <s v="Process, Operations and Administration"/>
    <s v="Delivery Consultant"/>
    <s v="21 year(s), 8 month(s), 2 day(s)"/>
    <s v="40 - 49"/>
    <s v="Female"/>
    <s v="White (South Africa)"/>
  </r>
  <r>
    <s v="0193097"/>
    <x v="140"/>
    <x v="0"/>
    <x v="0"/>
    <s v="South Africa"/>
    <s v="WesBank"/>
    <s v="WB Motor Sales Channel (Elliot Gxolo)"/>
    <s v="30102050100 WB Motor Regional Sales - Eastern Region"/>
    <s v="Full Time Employee"/>
    <s v="Sales and Client Services"/>
    <s v="Regional Head"/>
    <s v="23 year(s), 1 month(s), 2 day(s)"/>
    <s v="40 - 49"/>
    <s v="Male"/>
    <s v="Coloured (South Africa)"/>
  </r>
  <r>
    <s v="2186012"/>
    <x v="141"/>
    <x v="0"/>
    <x v="0"/>
    <s v="South Africa"/>
    <s v="FNB"/>
    <s v="FNB Points of Presence (Ronnela Pillay)"/>
    <s v="771008700 FNB POP Branch Delivery Davenport"/>
    <s v="Full Time Employee"/>
    <s v="Process, Operations and Administration"/>
    <s v="Local Market Operations Manager"/>
    <s v="36 year(s), 9 month(s), 24 day(s)"/>
    <s v="50 - 59"/>
    <s v="Female"/>
    <s v="Indian (South Africa)"/>
  </r>
  <r>
    <s v="2098423"/>
    <x v="142"/>
    <x v="0"/>
    <x v="3"/>
    <s v="South Africa"/>
    <s v="RMB"/>
    <s v="RMBSA IBD Operations Collateral Management (Marisa Gilbert)"/>
    <s v="77800000LAC RMBSA IBD Operations Collateral Management"/>
    <s v="Full Time Employee"/>
    <s v="Process, Operations and Administration"/>
    <s v="Collateral Specialist"/>
    <s v="17 year(s), 3 month(s), 19 day(s)"/>
    <s v="50 - 59"/>
    <s v="Female"/>
    <s v="Coloured (South Africa)"/>
  </r>
  <r>
    <s v="2277042"/>
    <x v="143"/>
    <x v="0"/>
    <x v="0"/>
    <s v="South Africa"/>
    <s v="FNB"/>
    <s v="FNB Commercial Chief Executive Officer Structured Lending Solutions (Jan Baard)"/>
    <s v="33900000847 FNB Commercial Debtor Finance Sales"/>
    <s v="Full Time Employee"/>
    <s v="Product"/>
    <s v="Product Head"/>
    <s v="14 year(s), 8 month(s), 25 day(s)"/>
    <s v="50 - 59"/>
    <s v="Male"/>
    <s v="White (South Africa)"/>
  </r>
  <r>
    <s v="2386712"/>
    <x v="144"/>
    <x v="0"/>
    <x v="0"/>
    <s v="South Africa"/>
    <s v="FNB"/>
    <s v="FNB R&amp;C Chief Information Office (La-Cell Mouton)"/>
    <s v="79000005998 CDO Banking Central"/>
    <s v="Full Time Employee"/>
    <s v="Technology"/>
    <s v="Chief Information Officer"/>
    <s v="19 year(s), 9 month(s), 2 day(s)"/>
    <s v="50 - 59"/>
    <s v="Male"/>
    <s v="Indian (South Africa)"/>
  </r>
  <r>
    <s v="2576627"/>
    <x v="145"/>
    <x v="0"/>
    <x v="0"/>
    <s v="South Africa"/>
    <s v="FNB"/>
    <s v="FNB Affluent (Nozuko Gloria Makhunga)"/>
    <s v="34100005227 PB&amp;A Tshwane Affluent NE"/>
    <s v="Full Time Employee"/>
    <s v="Sales and Client Services"/>
    <s v="Sales and Service Manager"/>
    <s v="29 year(s), 2 month(s), 1 day(s)"/>
    <s v="50 - 59"/>
    <s v="Female"/>
    <s v="White (South Africa)"/>
  </r>
  <r>
    <s v="2746573"/>
    <x v="146"/>
    <x v="0"/>
    <x v="16"/>
    <s v="South Africa"/>
    <s v="FNB"/>
    <s v="FNB Private Segment (Sizwe Nxedlana)"/>
    <s v="85500008551 FNB Retail Exco"/>
    <s v="Full Time Employee"/>
    <s v="Process, Operations and Administration"/>
    <s v="Chief Executive Officer Cash Investments Retail"/>
    <s v="19 year(s), 7 month(s), 2 day(s)"/>
    <s v="40 - 49"/>
    <s v="Male"/>
    <s v="Indian (South Africa)"/>
  </r>
  <r>
    <s v="2423243"/>
    <x v="147"/>
    <x v="0"/>
    <x v="0"/>
    <s v="South Africa"/>
    <s v="FNB"/>
    <s v="FNB Points of Presence (Reuben Fernandez)"/>
    <s v="7710237600 FNB POP Regional Office Mpumalanga"/>
    <s v="Full Time Employee"/>
    <s v="Process, Operations and Administration"/>
    <s v="Regional Operations Manager"/>
    <s v="30 year(s), 4 month(s), 19 day(s)"/>
    <s v="50 - 59"/>
    <s v="Female"/>
    <s v="African (South Africa)"/>
  </r>
  <r>
    <s v="2583917"/>
    <x v="148"/>
    <x v="0"/>
    <x v="0"/>
    <s v="South Africa"/>
    <s v="FNB"/>
    <s v="REMS Real Estate Management Services (Elize Marais)"/>
    <s v="22300006897 REMS Projects"/>
    <s v="Full Time Employee"/>
    <s v="Process, Operations and Administration"/>
    <s v="Site Management Team Leader"/>
    <s v="29 year(s), 1 month(s), 2 day(s)"/>
    <s v="40 - 49"/>
    <s v="Female"/>
    <s v="White (South Africa)"/>
  </r>
  <r>
    <s v="2966794"/>
    <x v="149"/>
    <x v="0"/>
    <x v="17"/>
    <s v="South Africa"/>
    <s v="FNB"/>
    <s v="FNB Points of Presence (Pam Pitout)"/>
    <s v="771006200 FNB POP Branch Delivery Pine Crest"/>
    <s v="Full Time Employee"/>
    <s v="Sales and Client Services"/>
    <s v="Local Market Manager"/>
    <s v="21 year(s), 11 month(s), 2 day(s)"/>
    <s v="50 - 59"/>
    <s v="Female"/>
    <s v="Indian (South Africa)"/>
  </r>
  <r>
    <s v="2855682"/>
    <x v="150"/>
    <x v="0"/>
    <x v="0"/>
    <s v="South Africa"/>
    <s v="FNB"/>
    <s v="FNB Commercial Sales Gauteng North (Zak Sivalingum)"/>
    <s v="34200003323 FNB Commercial Sales Shared Services"/>
    <s v="Full Time Employee"/>
    <s v="Process, Operations and Administration"/>
    <s v="Chief Operating Officer"/>
    <s v="23 year(s), 11 month(s), 2 day(s)"/>
    <s v="50 - 59"/>
    <s v="Female"/>
    <s v="White (South Africa)"/>
  </r>
  <r>
    <s v="2869829"/>
    <x v="151"/>
    <x v="0"/>
    <x v="0"/>
    <s v="South Africa"/>
    <s v="FNB"/>
    <s v="FNB HR Executive (Itumeleng Mosiane)"/>
    <s v="34400009735 FNB Commercial Human Resources"/>
    <s v="Full Time Employee"/>
    <s v="Human Capital"/>
    <s v="Learning Specialist"/>
    <s v="23 year(s), 0 month(s), 2 day(s)"/>
    <s v="40 - 49"/>
    <s v="Female"/>
    <s v="Indian (South Africa)"/>
  </r>
  <r>
    <s v="2285681"/>
    <x v="152"/>
    <x v="0"/>
    <x v="0"/>
    <s v="South Africa"/>
    <s v="FNB"/>
    <s v="FNB International SA (Tsholofelo Mosito)"/>
    <s v="83200009889 FNB International SA Learning and Development"/>
    <s v="Full Time Employee"/>
    <s v="Human Capital"/>
    <s v="Learning Consultant"/>
    <s v="33 year(s), 2 month(s), 28 day(s)"/>
    <s v="50 - 59"/>
    <s v="Male"/>
    <s v="White (South Africa)"/>
  </r>
  <r>
    <s v="2778041"/>
    <x v="153"/>
    <x v="0"/>
    <x v="5"/>
    <s v="South Africa"/>
    <s v="FNB"/>
    <s v="FNB Commercial Lend Pillar Head Office (Nainesh Desai)"/>
    <s v="34200004627 FNB Commercial Lend Head Office"/>
    <s v="Full Time Employee"/>
    <s v="Process, Operations and Administration"/>
    <s v="Business Solutions Specialist"/>
    <s v="25 year(s), 5 month(s), 2 day(s)"/>
    <s v="50 - 59"/>
    <s v="Male"/>
    <s v="Indian (South Africa)"/>
  </r>
  <r>
    <s v="0121266"/>
    <x v="154"/>
    <x v="0"/>
    <x v="0"/>
    <s v="South Africa"/>
    <s v="WesBank"/>
    <s v="FNB Commercial Chief Executive Office ABF (Khantse Radebe)"/>
    <s v="30100007137 WB ABF Inland Shared"/>
    <s v="Full Time Employee"/>
    <s v="Sales and Client Services"/>
    <s v="Head of Sales Business Unit"/>
    <s v="33 year(s), 5 month(s), 2 day(s)"/>
    <s v="50 - 59"/>
    <s v="Male"/>
    <s v="White (South Africa)"/>
  </r>
  <r>
    <s v="2993112"/>
    <x v="155"/>
    <x v="0"/>
    <x v="0"/>
    <s v="South Africa"/>
    <s v="FNB"/>
    <s v="FNB Chief Risk Office IT (Thomas Tonga)"/>
    <s v="39400008197 FNB Chief Risk Office IT"/>
    <s v="Full Time Employee"/>
    <s v="Technology"/>
    <s v="Solutions Architect"/>
    <s v="20 year(s), 11 month(s), 26 day(s)"/>
    <s v="40 - 49"/>
    <s v="Male"/>
    <s v="Indian (South Africa)"/>
  </r>
  <r>
    <s v="3055671"/>
    <x v="156"/>
    <x v="0"/>
    <x v="0"/>
    <s v="South Africa"/>
    <s v="FNB"/>
    <s v="FNB Points of Presence (Zweli Zulu)"/>
    <s v="771033400 FNB POP Branch Delivery Polokwane"/>
    <s v="Full Time Employee"/>
    <s v="Sales and Client Services"/>
    <s v="Local Market Manager"/>
    <s v="21 year(s), 0 month(s), 2 day(s)"/>
    <s v="40 - 49"/>
    <s v="Female"/>
    <s v="African (South Africa)"/>
  </r>
  <r>
    <s v="3150984"/>
    <x v="157"/>
    <x v="0"/>
    <x v="0"/>
    <s v="South Africa"/>
    <s v="FNB"/>
    <s v="FNB Commercial Projects and Operations (Shahnaaz Sallie)"/>
    <s v="34200000850 FNB Commercial Digital Banking EC"/>
    <s v="Full Time Employee"/>
    <s v="Sales and Client Services"/>
    <s v="Platform Manager"/>
    <s v="15 year(s), 10 month(s), 2 day(s)"/>
    <s v="50 - 59"/>
    <s v="Female"/>
    <s v="Indian (South Africa)"/>
  </r>
  <r>
    <s v="3167712"/>
    <x v="158"/>
    <x v="0"/>
    <x v="0"/>
    <s v="South Africa"/>
    <s v="FNB"/>
    <s v="CDO Payments Forex IT (Michael Preston)"/>
    <s v="79000001321 CDO Payments Forex IT Development"/>
    <s v="Full Time Employee"/>
    <s v="Technology"/>
    <s v="Application Development Manager"/>
    <s v="18 year(s), 9 month(s), 2 day(s)"/>
    <s v="50 - 59"/>
    <s v="Male"/>
    <s v="Indian (South Africa)"/>
  </r>
  <r>
    <s v="3167747"/>
    <x v="159"/>
    <x v="0"/>
    <x v="0"/>
    <s v="South Africa"/>
    <s v="FNB"/>
    <s v="CDO Kernel (Outlwile Mookiemang)"/>
    <s v="79000005746 CDO Kernel CIS"/>
    <s v="Full Time Employee"/>
    <s v="Technology"/>
    <s v="Test Analyst"/>
    <s v="18 year(s), 9 month(s), 2 day(s)"/>
    <s v="50 - 59"/>
    <s v="Female"/>
    <s v="White (South Africa)"/>
  </r>
  <r>
    <s v="3167828"/>
    <x v="160"/>
    <x v="0"/>
    <x v="0"/>
    <s v="South Africa"/>
    <s v="FNB"/>
    <s v="FNB HR Executive (Itumeleng Mosiane)"/>
    <s v="34400009735 FNB Commercial Human Resources"/>
    <s v="Full Time Employee"/>
    <s v="Human Capital"/>
    <s v="Learning Specialist"/>
    <s v="18 year(s), 8 month(s), 13 day(s)"/>
    <s v="50 - 59"/>
    <s v="Female"/>
    <s v="African (South Africa)"/>
  </r>
  <r>
    <s v="2433109"/>
    <x v="161"/>
    <x v="0"/>
    <x v="0"/>
    <s v="South Africa"/>
    <s v="FNB"/>
    <s v="FNB Points of Presence (Natasha Botes)"/>
    <s v="771067000 FNB POP Branch Delivery Jeffreys Bay"/>
    <s v="Full Time Employee"/>
    <s v="Sales and Client Services"/>
    <s v="Premier Advisor"/>
    <s v="29 year(s), 0 month(s), 28 day(s)"/>
    <s v="40 - 49"/>
    <s v="Female"/>
    <s v="White (South Africa)"/>
  </r>
  <r>
    <s v="3195155"/>
    <x v="162"/>
    <x v="0"/>
    <x v="0"/>
    <s v="South Africa"/>
    <s v="FNB"/>
    <s v="FR Life Assurance (Maxine Dick)"/>
    <s v="61500010273 FR Life Human Resources"/>
    <s v="Full Time Employee"/>
    <s v="Human Capital"/>
    <s v="Learning Consultant"/>
    <s v="18 year(s), 10 month(s), 2 day(s)"/>
    <s v="30 - 39"/>
    <s v="Female"/>
    <s v="Coloured (South Africa)"/>
  </r>
  <r>
    <s v="2823284"/>
    <x v="163"/>
    <x v="0"/>
    <x v="0"/>
    <s v="South Africa"/>
    <s v="FNB"/>
    <s v="FNB Personal Human Capital (Shalini John)"/>
    <s v="48100009834 FNB Personal Core Banking Human Capital"/>
    <s v="Full Time Employee"/>
    <s v="Human Capital"/>
    <s v="Human Capital Head"/>
    <s v="24 year(s), 9 month(s), 2 day(s)"/>
    <s v="50 - 59"/>
    <s v="Female"/>
    <s v="White (South Africa)"/>
  </r>
  <r>
    <s v="2913259"/>
    <x v="164"/>
    <x v="0"/>
    <x v="0"/>
    <s v="South Africa"/>
    <s v="FNB"/>
    <s v="Group Human Capital Chief Information Office (Farid Karolia)"/>
    <s v="39400001871 FNB Chief Risk Office Executive"/>
    <s v="Full Time Employee"/>
    <s v="Technology"/>
    <s v="Business Unit Chief Information Officer"/>
    <s v="22 year(s), 3 month(s), 26 day(s)"/>
    <s v="40 - 49"/>
    <s v="Male"/>
    <s v="White (South Africa)"/>
  </r>
  <r>
    <s v="2913844"/>
    <x v="165"/>
    <x v="0"/>
    <x v="0"/>
    <s v="South Africa"/>
    <s v="FNB"/>
    <s v="FNB Corporate Affairs Internal Branding (Jennifer Heeger)"/>
    <s v="39400005485 FNB Corporate Affairs Internal Branding"/>
    <s v="Full Time Employee"/>
    <s v="Marketing and Communication"/>
    <s v="Digital Communications Manager"/>
    <s v="22 year(s), 0 month(s), 2 day(s)"/>
    <s v="50 - 59"/>
    <s v="Female"/>
    <s v="African (South Africa)"/>
  </r>
  <r>
    <s v="3168158"/>
    <x v="166"/>
    <x v="0"/>
    <x v="1"/>
    <s v="South Africa"/>
    <s v="FNB"/>
    <s v="CDO Banking (Anban Moodley)"/>
    <s v="79000005432 CDO Banking Application Infrastructure"/>
    <s v="Full Time Employee"/>
    <s v="Technology"/>
    <s v="Technical Specialist"/>
    <s v="18 year(s), 6 month(s), 11 day(s)"/>
    <s v="30 - 39"/>
    <s v="Male"/>
    <s v="Indian (South Africa)"/>
  </r>
  <r>
    <s v="3093042"/>
    <x v="167"/>
    <x v="0"/>
    <x v="0"/>
    <s v="South Africa"/>
    <s v="FNB"/>
    <s v="FNB Commercial Merchant Services (Francina Sutton)"/>
    <s v="22800008678 FNB Commercial Merchant Services Legal Risk Compliance"/>
    <s v="Full Time Employee"/>
    <s v="Process, Operations and Administration"/>
    <s v="Administrator"/>
    <s v="20 year(s), 4 month(s), 15 day(s)"/>
    <s v="50 - 59"/>
    <s v="Female"/>
    <s v="African (South Africa)"/>
  </r>
  <r>
    <s v="3093247"/>
    <x v="168"/>
    <x v="0"/>
    <x v="0"/>
    <s v="South Africa"/>
    <s v="FNB"/>
    <s v="FNB Commercial Human Capital (Lelo Boyana)"/>
    <s v="34400009735 FNB Commercial Human Resources"/>
    <s v="Full Time Employee"/>
    <s v="Human Capital"/>
    <s v="Human Capital Manager"/>
    <s v="18 year(s), 4 month(s), 2 day(s)"/>
    <s v="40 - 49"/>
    <s v="Female"/>
    <s v="White (South Africa)"/>
  </r>
  <r>
    <s v="3111482"/>
    <x v="169"/>
    <x v="0"/>
    <x v="0"/>
    <s v="South Africa"/>
    <s v="FNB"/>
    <s v="FNB Points of Presence (Viv Middendorp)"/>
    <s v="771000400 FNB POP Branch Delivery Century City"/>
    <s v="Full Time Employee"/>
    <s v="Sales and Client Services"/>
    <s v="Local Market Manager"/>
    <s v="20 year(s), 5 month(s), 2 day(s)"/>
    <s v="40 - 49"/>
    <s v="Female"/>
    <s v="Coloured (South Africa)"/>
  </r>
  <r>
    <s v="3221776"/>
    <x v="170"/>
    <x v="0"/>
    <x v="0"/>
    <s v="South Africa"/>
    <s v="FNB"/>
    <s v="FNB Points of Presence (Kobus Steenkamp)"/>
    <s v="771043400 FNB POP Branch Delivery Zastron"/>
    <s v="Full Time Employee"/>
    <s v="Sales and Client Services"/>
    <s v="Associate"/>
    <s v="19 year(s), 2 month(s), 6 day(s)"/>
    <s v="40 - 49"/>
    <s v="Female"/>
    <s v="African (South Africa)"/>
  </r>
  <r>
    <s v="3112756"/>
    <x v="171"/>
    <x v="0"/>
    <x v="12"/>
    <s v="South Africa"/>
    <s v="FNB"/>
    <s v="FNB Core Banking Platform (David Mc Connachie (Inherited))"/>
    <s v="59600007235 FNB Personal and Private IT Home Loans IT Systems"/>
    <s v="Full Time Employee"/>
    <s v="Technology"/>
    <s v="Software Architect"/>
    <s v="14 year(s), 9 month(s), 30 day(s)"/>
    <s v="40 - 49"/>
    <s v="Male"/>
    <s v="White (South Africa)"/>
  </r>
  <r>
    <s v="3143244"/>
    <x v="172"/>
    <x v="0"/>
    <x v="9"/>
    <s v="South Africa"/>
    <s v="FNB"/>
    <s v="FNB International SA (Fazlan Khan)"/>
    <s v="83200003325 FNB International SA Alternative Channels"/>
    <s v="Full Time Employee"/>
    <s v="Product"/>
    <s v="Product Specialist"/>
    <s v="17 year(s), 5 month(s), 2 day(s)"/>
    <s v="40 - 49"/>
    <s v="Female"/>
    <s v="Indian (South Africa)"/>
  </r>
  <r>
    <s v="2968576"/>
    <x v="173"/>
    <x v="0"/>
    <x v="0"/>
    <s v="South Africa"/>
    <s v="FNB"/>
    <s v="FNB POP Chief Executive Office (Zibuyile Nqala)"/>
    <s v="7710396500 FNB POP Executives"/>
    <s v="Full Time Employee"/>
    <s v="Sales and Client Services"/>
    <s v="Regional Head"/>
    <s v="14 year(s), 2 month(s), 30 day(s)"/>
    <s v="40 - 49"/>
    <s v="Female"/>
    <s v="African (South Africa)"/>
  </r>
  <r>
    <s v="3058115"/>
    <x v="174"/>
    <x v="0"/>
    <x v="0"/>
    <s v="South Africa"/>
    <s v="FNB"/>
    <s v="CDO Infrastructure and Security Services (Kgasago Monyela)"/>
    <s v="20700006377 CDO Networks and Security Services Desktop and Mobile Technology"/>
    <s v="Full Time Employee"/>
    <s v="Technology"/>
    <s v="IT Technical Support Manager"/>
    <s v="20 year(s), 4 month(s), 2 day(s)"/>
    <s v="40 - 49"/>
    <s v="Female"/>
    <s v="African (South Africa)"/>
  </r>
  <r>
    <s v="3079902"/>
    <x v="175"/>
    <x v="0"/>
    <x v="0"/>
    <s v="South Africa"/>
    <s v="FNB"/>
    <s v="FR Life Assurance (Trevor Mojalefa)"/>
    <s v="61500010287 FR Life Ops Business Improvement"/>
    <s v="Full Time Employee"/>
    <s v="Process, Operations and Administration"/>
    <s v="Business Analyst Manager"/>
    <s v="11 year(s), 6 month(s), 2 day(s)"/>
    <s v="50 - 59"/>
    <s v="Female"/>
    <s v="African (South Africa)"/>
  </r>
  <r>
    <s v="3015025"/>
    <x v="176"/>
    <x v="0"/>
    <x v="0"/>
    <s v="South Africa"/>
    <s v="FNB"/>
    <s v="FNB Points of Presence (Heather Rossouw)"/>
    <s v="7710891900 FNB POP Operations Implementation Mngrs"/>
    <s v="Full Time Employee"/>
    <s v="Process, Operations and Administration"/>
    <s v="Implementation Manager"/>
    <s v="21 year(s), 9 month(s), 29 day(s)"/>
    <s v="40 - 49"/>
    <s v="Female"/>
    <s v="Indian (South Africa)"/>
  </r>
  <r>
    <s v="2874792"/>
    <x v="177"/>
    <x v="0"/>
    <x v="0"/>
    <s v="South Africa"/>
    <s v="FNB"/>
    <s v="CDO Infrastructure and Security Services (Henry Rehne)"/>
    <s v="20700008751 CDO Networks and Security Employee Network Access"/>
    <s v="Full Time Employee"/>
    <s v="Technology"/>
    <s v="Solutions Architect"/>
    <s v="23 year(s), 8 month(s), 2 day(s)"/>
    <s v="50 - 59"/>
    <s v="Male"/>
    <s v="African (South Africa)"/>
  </r>
  <r>
    <s v="2954869"/>
    <x v="178"/>
    <x v="0"/>
    <x v="0"/>
    <s v="South Africa"/>
    <s v="FNB"/>
    <s v="FNB Points of Presence (Heather Rossouw)"/>
    <s v="7710891900 FNB POP Operations Implementation Mngrs"/>
    <s v="Full Time Employee"/>
    <s v="Process, Operations and Administration"/>
    <s v="Implementation Manager"/>
    <s v="21 year(s), 7 month(s), 1 day(s)"/>
    <s v="40 - 49"/>
    <s v="Female"/>
    <s v="African (South Africa)"/>
  </r>
  <r>
    <s v="3001008"/>
    <x v="179"/>
    <x v="0"/>
    <x v="4"/>
    <s v="South Africa"/>
    <s v="FNB"/>
    <s v="FNB Core Banking Platform (Megan De Saldanha)"/>
    <s v="59600005979 FNB Personal and Private IT Collections IT"/>
    <s v="Full Time Employee"/>
    <s v="Technology"/>
    <s v="Test Analyst Manager"/>
    <s v="20 year(s), 3 month(s), 2 day(s)"/>
    <s v="40 - 49"/>
    <s v="Male"/>
    <s v="Coloured (South Africa)"/>
  </r>
  <r>
    <s v="2752298"/>
    <x v="180"/>
    <x v="0"/>
    <x v="0"/>
    <s v="South Africa"/>
    <s v="FNB"/>
    <s v="FNB Commercial Sales Kwa-Zulu Natal (Asheen Magjee)"/>
    <s v="34200006953 FNB Commercial Sales Shared Services KwaZulu Natal"/>
    <s v="Full Time Employee"/>
    <s v="Sales and Client Services"/>
    <s v="Business Development Head"/>
    <s v="22 year(s), 8 month(s), 2 day(s)"/>
    <s v="40 - 49"/>
    <s v="Male"/>
    <s v="White (South Africa)"/>
  </r>
  <r>
    <s v="2785811"/>
    <x v="181"/>
    <x v="0"/>
    <x v="0"/>
    <s v="South Africa"/>
    <s v="FNB"/>
    <s v="FNB Points of Presence (Kobus Steenkamp)"/>
    <s v="771022700 FNB POP Branch Delivery Frankfort"/>
    <s v="Full Time Employee"/>
    <s v="Sales and Client Services"/>
    <s v="Associate"/>
    <s v="24 year(s), 8 month(s), 6 day(s)"/>
    <s v="50 - 59"/>
    <s v="Female"/>
    <s v="African (South Africa)"/>
  </r>
  <r>
    <s v="2786451"/>
    <x v="182"/>
    <x v="0"/>
    <x v="0"/>
    <s v="South Africa"/>
    <s v="FNB"/>
    <s v="FRG Data and Analytics Office (Lian Van Oudheusden)"/>
    <s v="39400010972 FNB Chief Risk Office Credit Risk and Reporting"/>
    <s v="Full Time Employee"/>
    <s v="Process, Operations and Administration"/>
    <s v="Senior Project Manager"/>
    <s v="6 year(s), 7 month(s), 2 day(s)"/>
    <s v="40 - 49"/>
    <s v="Female"/>
    <s v="Coloured (South Africa)"/>
  </r>
  <r>
    <s v="2787717"/>
    <x v="183"/>
    <x v="0"/>
    <x v="0"/>
    <s v="South Africa"/>
    <s v="FNB"/>
    <s v="FNB HSL (Madinga Dyasi)"/>
    <s v="21200001465 HSL Servicing and Collections Risk Variations"/>
    <s v="Full Time Employee"/>
    <s v="Process, Operations and Administration"/>
    <s v="Operations Manager"/>
    <s v="13 year(s), 10 month(s), 2 day(s)"/>
    <s v="50 - 59"/>
    <s v="Female"/>
    <s v="Coloured (South Africa)"/>
  </r>
  <r>
    <s v="2860538"/>
    <x v="184"/>
    <x v="0"/>
    <x v="0"/>
    <s v="South Africa"/>
    <s v="FNB"/>
    <s v="FNB Points of Presence (Hein Hoffman)"/>
    <s v="771044800 FNB POP Branch Delivery Hyde Park"/>
    <s v="Full Time Employee"/>
    <s v="Process, Operations and Administration"/>
    <s v="Branch Administrator"/>
    <s v="23 year(s), 3 month(s), 2 day(s)"/>
    <s v="40 - 49"/>
    <s v="Female"/>
    <s v="White (South Africa)"/>
  </r>
  <r>
    <s v="2590573"/>
    <x v="185"/>
    <x v="0"/>
    <x v="0"/>
    <s v="Namibia"/>
    <s v="FNB"/>
    <s v="FNB Namibia Chief Executive Office (Conrad Dempsey)"/>
    <s v="302000004623 FNB Namibia FCC"/>
    <s v="Full Time Employee"/>
    <s v="Process, Operations and Administration"/>
    <s v="Chief Operating Officer"/>
    <s v="28 year(s), 8 month(s), 2 day(s)"/>
    <s v="40 - 49"/>
    <s v="Male"/>
    <s v="Racially disadvantaged (Namibia)"/>
  </r>
  <r>
    <s v="2623293"/>
    <x v="186"/>
    <x v="0"/>
    <x v="0"/>
    <s v="South Africa"/>
    <s v="FNB"/>
    <s v="FNB Retail Cash Investments Chief Executive Office (Himal Parbhoo)"/>
    <s v="65100004404 FNB Premium Cash Investments Development"/>
    <s v="Full Time Employee"/>
    <s v="Sales and Client Services"/>
    <s v="Business Development Head"/>
    <s v="28 year(s), 0 month(s), 2 day(s)"/>
    <s v="50 - 59"/>
    <s v="Female"/>
    <s v="White (South Africa)"/>
  </r>
  <r>
    <s v="2879050"/>
    <x v="187"/>
    <x v="0"/>
    <x v="0"/>
    <s v="South Africa"/>
    <s v="FNB"/>
    <s v="FNB Cash Investments (Amrish Misra)"/>
    <s v="65100003694 FNB Cash Investments Commercial Channel"/>
    <s v="Full Time Employee"/>
    <s v="Sales and Client Services"/>
    <s v="National Sales Manager"/>
    <s v="6 year(s), 5 month(s), 2 day(s)"/>
    <s v="40 - 49"/>
    <s v="Male"/>
    <s v="Indian (South Africa)"/>
  </r>
  <r>
    <s v="2725207"/>
    <x v="188"/>
    <x v="0"/>
    <x v="0"/>
    <s v="South Africa"/>
    <s v="FNB"/>
    <s v="FNB Points of Presence (Lindiwe Mokoaleli)"/>
    <s v="7710861100 FNB POP IT Quality Assurance"/>
    <s v="Full Time Employee"/>
    <s v="Technology"/>
    <s v="Test Analyst"/>
    <s v="26 year(s), 6 month(s), 2 day(s)"/>
    <s v="50 - 59"/>
    <s v="Female"/>
    <s v="Coloured (South Africa)"/>
  </r>
  <r>
    <s v="2627388"/>
    <x v="189"/>
    <x v="0"/>
    <x v="0"/>
    <s v="South Africa"/>
    <s v="FNB"/>
    <s v="FNB Commercial Sales Gauteng North (Andile Ncoyini)"/>
    <s v="34200006503 FNB Commercial Sales Gauteng Midrand 10 to 60M"/>
    <s v="Full Time Employee"/>
    <s v="Sales and Client Services"/>
    <s v="Sales Head"/>
    <s v="27 year(s), 2 month(s), 2 day(s)"/>
    <s v="40 - 49"/>
    <s v="Male"/>
    <s v="White (South Africa)"/>
  </r>
  <r>
    <s v="2631806"/>
    <x v="190"/>
    <x v="0"/>
    <x v="0"/>
    <s v="South Africa"/>
    <s v="FNB"/>
    <s v="FNB Commercial Cash (Shamit Nathoo)"/>
    <s v="25200004525 FNB Commercial Cash PH Finance"/>
    <s v="Full Time Employee"/>
    <s v="Finance"/>
    <s v="Financial Manager"/>
    <s v="27 year(s), 9 month(s), 20 day(s)"/>
    <s v="40 - 49"/>
    <s v="Male"/>
    <s v="Indian (South Africa)"/>
  </r>
  <r>
    <s v="2633647"/>
    <x v="191"/>
    <x v="0"/>
    <x v="0"/>
    <s v="South Africa"/>
    <s v="FNB"/>
    <s v="FNB Personal Segment Advisory and Suites (Raihaan Nawaz)"/>
    <s v="97200005297 PSAS Premier Voice"/>
    <s v="Full Time Employee"/>
    <s v="Sales and Client Services"/>
    <s v="Sales and Service Manager"/>
    <s v="18 year(s), 1 month(s), 2 day(s)"/>
    <s v="40 - 49"/>
    <s v="Female"/>
    <s v="African (South Africa)"/>
  </r>
  <r>
    <s v="2692805"/>
    <x v="192"/>
    <x v="0"/>
    <x v="0"/>
    <s v="South Africa"/>
    <s v="FNB"/>
    <s v="FNB Points of Presence (Nikeziwe Mzizi)"/>
    <s v="771008800 FNB POP Branch Delivery Beach"/>
    <s v="Full Time Employee"/>
    <s v="Sales and Client Services"/>
    <s v="Associate"/>
    <s v="16 year(s), 11 month(s), 2 day(s)"/>
    <s v="40 - 49"/>
    <s v="Female"/>
    <s v="Indian (South Africa)"/>
  </r>
  <r>
    <s v="2397498"/>
    <x v="193"/>
    <x v="0"/>
    <x v="0"/>
    <s v="South Africa"/>
    <s v="FNB"/>
    <s v="FNB Points of Presence (Avashni Singh)"/>
    <s v="771008100 FNB POP Branch Delivery Pinetown"/>
    <s v="Full Time Employee"/>
    <s v="Process, Operations and Administration"/>
    <s v="Branch Controller"/>
    <s v="29 year(s), 2 month(s), 2 day(s)"/>
    <s v="50 - 59"/>
    <s v="Female"/>
    <s v="White (South Africa)"/>
  </r>
  <r>
    <s v="2354535"/>
    <x v="194"/>
    <x v="0"/>
    <x v="0"/>
    <s v="South Africa"/>
    <s v="FNB"/>
    <s v="FNB Points of Presence (Phillip Galamadien)"/>
    <s v="7710239100 FNB POP Regional Office Inland"/>
    <s v="Full Time Employee"/>
    <s v="Sales and Client Services"/>
    <s v="Area Manager"/>
    <s v="30 year(s), 5 month(s), 2 day(s)"/>
    <s v="40 - 49"/>
    <s v="Male"/>
    <s v="Coloured (South Africa)"/>
  </r>
  <r>
    <s v="2400782"/>
    <x v="195"/>
    <x v="0"/>
    <x v="0"/>
    <s v="South Africa"/>
    <s v="FNB"/>
    <s v="FNB Private Core Banking (Mo Choonara)"/>
    <s v="41200006384 FNB Private Core Banking Self Employed Value Propositions"/>
    <s v="Full Time Employee"/>
    <s v="Product"/>
    <s v="Product Portfolio Lead"/>
    <s v="9 year(s), 8 month(s), 2 day(s)"/>
    <s v="40 - 49"/>
    <s v="Female"/>
    <s v="White (South Africa)"/>
  </r>
  <r>
    <s v="2404028"/>
    <x v="196"/>
    <x v="0"/>
    <x v="0"/>
    <s v="South Africa"/>
    <s v="FNB"/>
    <s v="FNB Points of Presence (Edmar Topkin)"/>
    <s v="771027100 FNB POP Branch Delivery Koffiefontein"/>
    <s v="Full Time Employee"/>
    <s v="Sales and Client Services"/>
    <s v="Associate"/>
    <s v="30 year(s), 5 month(s), 2 day(s)"/>
    <s v="50 - 59"/>
    <s v="Female"/>
    <s v="White (South Africa)"/>
  </r>
  <r>
    <s v="1428084"/>
    <x v="197"/>
    <x v="0"/>
    <x v="0"/>
    <s v="South Africa"/>
    <s v="WesBank"/>
    <s v="WB ABF Credit (Ridwaan Morad)"/>
    <s v="30100003975 WB ABF Judgemental Credit"/>
    <s v="Full Time Employee"/>
    <s v="Credit"/>
    <s v="Business Judgemental Credit Manager"/>
    <s v="7 year(s), 1 month(s), 2 day(s)"/>
    <s v="40 - 49"/>
    <s v="Male"/>
    <s v="Indian (South Africa)"/>
  </r>
  <r>
    <s v="2024721"/>
    <x v="198"/>
    <x v="0"/>
    <x v="1"/>
    <s v="South Africa"/>
    <s v="FNB"/>
    <s v="FNB Commercial Chief Information Office (Ismail Sibda)"/>
    <s v="34200007536 FNB Commercial CJP Exco"/>
    <s v="Full Time Employee"/>
    <s v="Technology"/>
    <s v="Business Unit Chief Information Officer"/>
    <s v="14 year(s), 1 month(s), 2 day(s)"/>
    <s v="50 - 59"/>
    <s v="Male"/>
    <s v="White (South Africa)"/>
  </r>
  <r>
    <s v="2216191"/>
    <x v="199"/>
    <x v="0"/>
    <x v="18"/>
    <s v="South Africa"/>
    <s v="FNB"/>
    <s v="FNB Commercial Forex Commercial (Richard Porter (Inherited))"/>
    <s v="81800008578 FNB Commercial Forex Commercial"/>
    <s v="Full Time Employee"/>
    <s v="Process, Operations and Administration"/>
    <s v="Solutions Lead"/>
    <s v="2 year(s), 4 month(s), 9 day(s)"/>
    <s v="50 - 59"/>
    <s v="Female"/>
    <s v="White (South Africa)"/>
  </r>
  <r>
    <s v="2305208"/>
    <x v="200"/>
    <x v="0"/>
    <x v="0"/>
    <s v="South Africa"/>
    <s v="FNB"/>
    <s v="FNB Personal Human Capital (Shalini John)"/>
    <s v="69000009048 FNB Retail COO"/>
    <s v="Full Time Employee"/>
    <s v="Human Capital"/>
    <s v="Human Capital Head"/>
    <s v="32 year(s), 10 month(s), 11 day(s)"/>
    <s v="50 - 59"/>
    <s v="Female"/>
    <s v="White (South Africa)"/>
  </r>
  <r>
    <s v="0000930"/>
    <x v="201"/>
    <x v="0"/>
    <x v="0"/>
    <s v="South Africa"/>
    <s v="FNB"/>
    <s v="CDO Infrastructure and Security Services (Caryn Bell)"/>
    <s v="20700006179 CDO Infrastructure and Security Services Enterprise Monitoring"/>
    <s v="Full Time Employee"/>
    <s v="Technology"/>
    <s v="Platform Enablement Lead"/>
    <s v="13 year(s), 0 month(s), 20 day(s)"/>
    <s v="30 - 39"/>
    <s v="Female"/>
    <s v="White (South Africa)"/>
  </r>
  <r>
    <s v="2028166"/>
    <x v="202"/>
    <x v="0"/>
    <x v="0"/>
    <s v="South Africa"/>
    <s v="FNB"/>
    <s v="FNB Core Banking Platform (Jermaine Remley)"/>
    <s v="59600005611 FNB Personal and Private IT Unsecured Lending IT"/>
    <s v="Fixed Term Contractor"/>
    <s v="Technology"/>
    <s v="IT Operations Manager"/>
    <s v="40 year(s), 7 month(s), 28 day(s)"/>
    <s v="60 - 64"/>
    <s v="Male"/>
    <s v="Indian (South Africa)"/>
  </r>
  <r>
    <s v="3318842"/>
    <x v="203"/>
    <x v="0"/>
    <x v="0"/>
    <s v="South Africa"/>
    <s v="WesBank"/>
    <s v="WB Motor (Yougan Govender)"/>
    <s v="30100003175 WB RPA"/>
    <s v="Full Time Employee"/>
    <s v="Process, Operations and Administration"/>
    <s v="Head of Business Enablement"/>
    <s v="17 year(s), 8 month(s), 2 day(s)"/>
    <s v="50 - 59"/>
    <s v="Male"/>
    <s v="White (South Africa)"/>
  </r>
  <r>
    <s v="3319563"/>
    <x v="204"/>
    <x v="0"/>
    <x v="0"/>
    <s v="South Africa"/>
    <s v="FNB"/>
    <s v="FNB Commercial Sales Kwa-Zulu Natal (Asheen Magjee)"/>
    <s v="34300006515 FNB Commercial National Sales Head Office"/>
    <s v="Full Time Employee"/>
    <s v="Process, Operations and Administration"/>
    <s v="Business Solutions Head"/>
    <s v="18 year(s), 2 month(s), 22 day(s)"/>
    <s v="40 - 49"/>
    <s v="Female"/>
    <s v="African (South Africa)"/>
  </r>
  <r>
    <s v="3321320"/>
    <x v="205"/>
    <x v="0"/>
    <x v="0"/>
    <s v="South Africa"/>
    <s v="FirstRand Corporate Centre"/>
    <s v="Group Chief Audit (Rachel Nkgodi)"/>
    <s v="20200007969 GIA Invest Pillar"/>
    <s v="Full Time Employee"/>
    <s v="Legal, Risk and Compliance"/>
    <s v="Internal Audit Head"/>
    <s v="17 year(s), 2 month(s), 2 day(s)"/>
    <s v="40 - 49"/>
    <s v="Male"/>
    <s v="White (South Africa)"/>
  </r>
  <r>
    <s v="3324737"/>
    <x v="206"/>
    <x v="0"/>
    <x v="0"/>
    <s v="South Africa"/>
    <s v="FNB"/>
    <s v="FNB Personal Segment Advisory and Suites (Tracey Townsend)"/>
    <s v="97200009188 PSAS Channel"/>
    <s v="Full Time Employee"/>
    <s v="Sales and Client Services"/>
    <s v="Growth Manager"/>
    <s v="18 year(s), 7 month(s), 2 day(s)"/>
    <s v="40 - 49"/>
    <s v="Male"/>
    <s v="Indian (South Africa)"/>
  </r>
  <r>
    <s v="3325318"/>
    <x v="207"/>
    <x v="0"/>
    <x v="0"/>
    <s v="South Africa"/>
    <s v="FNB"/>
    <s v="FNB Points of Presence (Bulelwa Sikrweqe)"/>
    <s v="7710111400 FNB POP Branch Delivery Maponya Mall"/>
    <s v="Full Time Employee"/>
    <s v="Process, Operations and Administration"/>
    <s v="Local Market Operations Manager"/>
    <s v="18 year(s), 6 month(s), 18 day(s)"/>
    <s v="40 - 49"/>
    <s v="Female"/>
    <s v="African (South Africa)"/>
  </r>
  <r>
    <s v="3333019"/>
    <x v="208"/>
    <x v="0"/>
    <x v="0"/>
    <s v="South Africa"/>
    <s v="RMB"/>
    <s v="Corporate Transactional Banking (Tendani Sidogi)"/>
    <s v="77800000EFT RMBSA TTS Transact Product Services"/>
    <s v="Full Time Employee"/>
    <s v="Product"/>
    <s v="Product Manager"/>
    <s v="17 year(s), 1 month(s), 2 day(s)"/>
    <s v="40 - 49"/>
    <s v="Male"/>
    <s v="African (South Africa)"/>
  </r>
  <r>
    <s v="3333159"/>
    <x v="209"/>
    <x v="0"/>
    <x v="0"/>
    <s v="South Africa"/>
    <s v="FNB"/>
    <s v="CDO Infrastructure and Security Services (Dave Van Der Schyff)"/>
    <s v="20700008789 CDO Infrastructure and Security Services Security Randburg"/>
    <s v="Full Time Employee"/>
    <s v="Support Services"/>
    <s v="Security Guard"/>
    <s v="16 year(s), 3 month(s), 2 day(s)"/>
    <s v="50 - 59"/>
    <s v="Male"/>
    <s v="African (South Africa)"/>
  </r>
  <r>
    <s v="3336182"/>
    <x v="210"/>
    <x v="0"/>
    <x v="0"/>
    <s v="Eswatini"/>
    <s v="FNB"/>
    <s v="FNB Eswatini FCC (Thokozani Dlamini)"/>
    <s v="5020466400 FNB Eswatini FCC"/>
    <s v="Expatriate - In"/>
    <s v="Human Capital"/>
    <s v="Director Human Resources"/>
    <s v="18 year(s), 5 month(s), 2 day(s)"/>
    <s v="40 - 49"/>
    <s v="Female"/>
    <s v="N/A (Eswatini)"/>
  </r>
  <r>
    <s v="3337936"/>
    <x v="211"/>
    <x v="0"/>
    <x v="7"/>
    <s v="South Africa"/>
    <s v="RMB"/>
    <s v="RMBSA TTS Operations (Muller Strydom)"/>
    <s v="77800000CCZ RMBSA TTS Operations Leadership Team"/>
    <s v="Full Time Employee"/>
    <s v="Process, Operations and Administration"/>
    <s v="Business Architect Lead"/>
    <s v="18 year(s), 0 month(s), 6 day(s)"/>
    <s v="40 - 49"/>
    <s v="Female"/>
    <s v="White (South Africa)"/>
  </r>
  <r>
    <s v="3339785"/>
    <x v="212"/>
    <x v="0"/>
    <x v="0"/>
    <s v="South Africa"/>
    <s v="Toyota Financial Services SA Ltd"/>
    <s v="TFS Analytics and Optimisation (Nthabiseng Weeto)"/>
    <s v="80200008709 TFS Wholesale, Risk &amp; Optimisation"/>
    <s v="Full Time Employee"/>
    <s v="Legal, Risk and Compliance"/>
    <s v="Operational Risk Manager"/>
    <s v="3 year(s), 7 month(s), 2 day(s)"/>
    <s v="40 - 49"/>
    <s v="Male"/>
    <s v="Indian (South Africa)"/>
  </r>
  <r>
    <s v="3341577"/>
    <x v="213"/>
    <x v="0"/>
    <x v="0"/>
    <s v="South Africa"/>
    <s v="FNB"/>
    <s v="FNB Cash Investments (Vimal Deonanan)"/>
    <s v="65100005631 FNB Premium Cash Investments Regional Managers"/>
    <s v="Full Time Employee"/>
    <s v="Process, Operations and Administration"/>
    <s v="Channel Manager"/>
    <s v="18 year(s), 2 month(s), 29 day(s)"/>
    <s v="40 - 49"/>
    <s v="Male"/>
    <s v="Indian (South Africa)"/>
  </r>
  <r>
    <s v="3342913"/>
    <x v="214"/>
    <x v="0"/>
    <x v="9"/>
    <s v="South Africa"/>
    <s v="FNB"/>
    <s v="CDO Kernel iNterfaceX (Tendani Munyai)"/>
    <s v="21800003954 CDO Kernel iNterfaceX Assisted and Sales Dev sales"/>
    <s v="Full Time Employee"/>
    <s v="Technology"/>
    <s v="Developer"/>
    <s v="17 year(s), 10 month(s), 2 day(s)"/>
    <s v="40 - 49"/>
    <s v="Male"/>
    <s v="African (South Africa)"/>
  </r>
  <r>
    <s v="3343413"/>
    <x v="215"/>
    <x v="0"/>
    <x v="0"/>
    <s v="South Africa"/>
    <s v="FNB"/>
    <s v="FR Life Assurance (Sarah Harrison)"/>
    <s v="61500010285 FR Life Products Personal"/>
    <s v="Full Time Employee"/>
    <s v="Data and Analytics"/>
    <s v="Analytics Head"/>
    <s v="17 year(s), 10 month(s), 2 day(s)"/>
    <s v="40 - 49"/>
    <s v="Male"/>
    <s v="Indian (South Africa)"/>
  </r>
  <r>
    <s v="3344363"/>
    <x v="216"/>
    <x v="0"/>
    <x v="0"/>
    <s v="South Africa"/>
    <s v="FNB"/>
    <s v="FNB Personal Human Capital (Shalini John)"/>
    <s v="97200005382 PSAS Stratco"/>
    <s v="Full Time Employee"/>
    <s v="Human Capital"/>
    <s v="Human Capital Head"/>
    <s v="15 year(s), 5 month(s), 2 day(s)"/>
    <s v="40 - 49"/>
    <s v="Female"/>
    <s v="African (South Africa)"/>
  </r>
  <r>
    <s v="3344509"/>
    <x v="217"/>
    <x v="0"/>
    <x v="1"/>
    <s v="South Africa"/>
    <s v="FNB"/>
    <s v="FNB Cash Investments (Jj De Villiers)"/>
    <s v="65100003692 FNB Cash Investments Channel Enablement"/>
    <s v="Full Time Employee"/>
    <s v="Process, Operations and Administration"/>
    <s v="Solution Strategist"/>
    <s v="13 year(s), 8 month(s), 2 day(s)"/>
    <s v="40 - 49"/>
    <s v="Female"/>
    <s v="African (South Africa)"/>
  </r>
  <r>
    <s v="3345467"/>
    <x v="218"/>
    <x v="0"/>
    <x v="0"/>
    <s v="South Africa"/>
    <s v="FNB"/>
    <s v="FNB Personal Exco (Lee Mhlongo)"/>
    <s v="34100003373 PB&amp;A BI &amp; Data Analytics"/>
    <s v="Full Time Employee"/>
    <s v="Data and Analytics"/>
    <s v="Chief Data and Analytics Officer"/>
    <s v="15 year(s), 3 month(s), 1 day(s)"/>
    <s v="40 - 49"/>
    <s v="Female"/>
    <s v="Indian (South Africa)"/>
  </r>
  <r>
    <s v="3349098"/>
    <x v="219"/>
    <x v="0"/>
    <x v="0"/>
    <s v="South Africa"/>
    <s v="FNB"/>
    <s v="FNB Commercial Sales Cape (Monwabisi Poswa)"/>
    <s v="34300009158 FNB Commercial Growth Eastern Cape Country"/>
    <s v="Full Time Employee"/>
    <s v="Sales and Client Services"/>
    <s v="Business Manager"/>
    <s v="11 year(s), 1 month(s), 2 day(s)"/>
    <s v="40 - 49"/>
    <s v="Female"/>
    <s v="African (South Africa)"/>
  </r>
  <r>
    <s v="3351068"/>
    <x v="220"/>
    <x v="0"/>
    <x v="0"/>
    <s v="South Africa"/>
    <s v="FNB"/>
    <s v="FNB Commercial TxP (Rob Lanning)"/>
    <s v="39800004193 FNB Commercial Core Transaction Services"/>
    <s v="Full Time Employee"/>
    <s v="Process, Operations and Administration"/>
    <s v="Project Management Office Portfolio Manager"/>
    <s v="18 year(s), 5 month(s), 0 day(s)"/>
    <s v="40 - 49"/>
    <s v="Female"/>
    <s v="Indian (South Africa)"/>
  </r>
  <r>
    <s v="3353850"/>
    <x v="221"/>
    <x v="0"/>
    <x v="0"/>
    <s v="South Africa"/>
    <s v="FNB"/>
    <s v="FNB Points of Presence (Phila Ntshingila)"/>
    <s v="7710236600 FNB POP Regional Office Kwazulu Natal"/>
    <s v="Full Time Employee"/>
    <s v="Sales and Client Services"/>
    <s v="Area Manager"/>
    <s v="18 year(s), 4 month(s), 24 day(s)"/>
    <s v="50 - 59"/>
    <s v="Male"/>
    <s v="Indian (South Africa)"/>
  </r>
  <r>
    <s v="3354423"/>
    <x v="222"/>
    <x v="0"/>
    <x v="0"/>
    <s v="South Africa"/>
    <s v="FNB"/>
    <s v="FNB Personal Core Banking (Malesela Rankapole)"/>
    <s v="48100003462 FNB Personal Core Banking Retail Sales"/>
    <s v="Full Time Employee"/>
    <s v="Sales and Client Services"/>
    <s v="Growth Specialist"/>
    <s v="18 year(s), 5 month(s), 2 day(s)"/>
    <s v="30 - 39"/>
    <s v="Female"/>
    <s v="African (South Africa)"/>
  </r>
  <r>
    <s v="3362264"/>
    <x v="223"/>
    <x v="0"/>
    <x v="0"/>
    <s v="South Africa"/>
    <s v="FNB"/>
    <s v="FNB Points of Presence (Michelle Malan)"/>
    <s v="7710226100 FNB POP Branch Delivery President Square Vaal"/>
    <s v="Full Time Employee"/>
    <s v="Sales and Client Services"/>
    <s v="Associate"/>
    <s v="18 year(s), 4 month(s), 2 day(s)"/>
    <s v="30 - 39"/>
    <s v="Male"/>
    <s v="White (South Africa)"/>
  </r>
  <r>
    <s v="3362604"/>
    <x v="224"/>
    <x v="0"/>
    <x v="0"/>
    <s v="South Africa"/>
    <s v="FNB"/>
    <s v="FNB Personal Core Banking (Mohamed Osman)"/>
    <s v="48100003462 FNB Personal Core Banking Retail Sales"/>
    <s v="Full Time Employee"/>
    <s v="Sales and Client Services"/>
    <s v="Growth Specialist"/>
    <s v="18 year(s), 4 month(s), 2 day(s)"/>
    <s v="40 - 49"/>
    <s v="Male"/>
    <s v="African (South Africa)"/>
  </r>
  <r>
    <s v="3362841"/>
    <x v="225"/>
    <x v="0"/>
    <x v="0"/>
    <s v="South Africa"/>
    <s v="FNB"/>
    <s v="FNB Points of Presence (Raeesa Badat)"/>
    <s v="771075900 FNB POP Branch Delivery Umgeni Junction"/>
    <s v="Full Time Employee"/>
    <s v="Sales and Client Services"/>
    <s v="Universal Advisor Lead"/>
    <s v="18 year(s), 4 month(s), 2 day(s)"/>
    <s v="40 - 49"/>
    <s v="Female"/>
    <s v="Indian (South Africa)"/>
  </r>
  <r>
    <s v="3364984"/>
    <x v="226"/>
    <x v="0"/>
    <x v="0"/>
    <s v="South Africa"/>
    <s v="FNB"/>
    <s v="FNB Points of Presence (Lufuno Raluombe)"/>
    <s v="771046600 FNB POP Branch Delivery Thohoyandou"/>
    <s v="OBR With Fixed Pay"/>
    <s v="Sales and Client Services"/>
    <s v="Branch Advisor FAIS"/>
    <s v="18 year(s), 2 month(s), 22 day(s)"/>
    <s v="40 - 49"/>
    <s v="Male"/>
    <s v="African (South Africa)"/>
  </r>
  <r>
    <s v="3365689"/>
    <x v="227"/>
    <x v="0"/>
    <x v="0"/>
    <s v="South Africa"/>
    <s v="FNB"/>
    <s v="FNB Points of presence (Anelia Langisa)"/>
    <s v="771027000 FNB POP Branch Delivery Knysna"/>
    <s v="OBR With Fixed Pay"/>
    <s v="Sales and Client Services"/>
    <s v="Branch Advisor FAIS"/>
    <s v="18 year(s), 2 month(s), 7 day(s)"/>
    <s v="40 - 49"/>
    <s v="Female"/>
    <s v="Coloured (South Africa)"/>
  </r>
  <r>
    <s v="3367037"/>
    <x v="228"/>
    <x v="0"/>
    <x v="0"/>
    <s v="South Africa"/>
    <s v="FNB"/>
    <s v="FNB Commercial Sales KwaZulu Natal (Mbali Myeza)"/>
    <s v="34200007846 FNB Commercial Sales KZN Coastal South West 10 to 60M"/>
    <s v="Full Time Employee"/>
    <s v="Sales and Client Services"/>
    <s v="Business Relationship Manager"/>
    <s v="15 year(s), 9 month(s), 22 day(s)"/>
    <s v="40 - 49"/>
    <s v="Male"/>
    <s v="African (South Africa)"/>
  </r>
  <r>
    <s v="3377326"/>
    <x v="229"/>
    <x v="0"/>
    <x v="2"/>
    <s v="Namibia"/>
    <s v="FNB"/>
    <s v="FNB Namibia Limited (Emmanuel Murwira)"/>
    <s v="846000004213 Ashburton Investment Managers (Pty) Ltd"/>
    <s v="Full Time Employee"/>
    <s v="Legal, Risk and Compliance"/>
    <s v="Compliance Head"/>
    <s v="8 year(s), 5 month(s), 19 day(s)"/>
    <s v="50 - 59"/>
    <s v="Female"/>
    <s v="Racially disadvantaged (Namibia)"/>
  </r>
  <r>
    <s v="3381420"/>
    <x v="230"/>
    <x v="0"/>
    <x v="0"/>
    <s v="Namibia"/>
    <s v="FNB"/>
    <s v="FNB Namibia Limited (Wiann Mans)"/>
    <s v="302031B9D555 FNB Namibia Human Capital"/>
    <s v="Full Time Employee"/>
    <s v="Human Capital"/>
    <s v="Talent Management and Performance Consultant"/>
    <s v="16 year(s), 2 month(s), 2 day(s)"/>
    <s v="40 - 49"/>
    <s v="Female"/>
    <s v="Racially disadvantaged (Namibia)"/>
  </r>
  <r>
    <s v="3384292"/>
    <x v="231"/>
    <x v="0"/>
    <x v="0"/>
    <s v="Namibia"/>
    <s v="FNB"/>
    <s v="FNB Namibia Limited (Wiann Mans)"/>
    <s v="302031B9D555 FNB Namibia Human Capital"/>
    <s v="Full Time Employee"/>
    <s v="Human Capital"/>
    <s v="Learning and Development Manager"/>
    <s v="15 year(s), 5 month(s), 18 day(s)"/>
    <s v="50 - 59"/>
    <s v="Female"/>
    <s v="Racially disadvantaged (Namibia)"/>
  </r>
  <r>
    <s v="3415546"/>
    <x v="232"/>
    <x v="0"/>
    <x v="0"/>
    <s v="South Africa"/>
    <s v="FNB"/>
    <s v="FNB Commercial Sales Gauteng North (Selvan Govender)"/>
    <s v="34200006532 FNB Commercial Sales Gauteng East 10 to 60M"/>
    <s v="Full Time Employee"/>
    <s v="Sales and Client Services"/>
    <s v="Sales Head"/>
    <s v="18 year(s), 2 month(s), 8 day(s)"/>
    <s v="40 - 49"/>
    <s v="Female"/>
    <s v="African (South Africa)"/>
  </r>
  <r>
    <s v="3418014"/>
    <x v="233"/>
    <x v="0"/>
    <x v="0"/>
    <s v="South Africa"/>
    <s v="FNB"/>
    <s v="FNB Points of Presence (Vanessa Jooste)"/>
    <s v="771032100 FNB POP Branch Delivery Orkney"/>
    <s v="Full Time Employee"/>
    <s v="Sales and Client Services"/>
    <s v="Associate"/>
    <s v="18 year(s), 2 month(s), 0 day(s)"/>
    <s v="30 - 39"/>
    <s v="Female"/>
    <s v="White (South Africa)"/>
  </r>
  <r>
    <s v="3418626"/>
    <x v="234"/>
    <x v="0"/>
    <x v="0"/>
    <s v="South Africa"/>
    <s v="FNB"/>
    <s v="FNB Points of Presence (Frans Esterhuyse)"/>
    <s v="7710959900 FNB POP Risk In Branch Monitoring Team"/>
    <s v="Full Time Employee"/>
    <s v="Legal, Risk and Compliance"/>
    <s v="Process and Risk Manager"/>
    <s v="18 year(s), 2 month(s), 0 day(s)"/>
    <s v="30 - 39"/>
    <s v="Male"/>
    <s v="White (South Africa)"/>
  </r>
  <r>
    <s v="3420825"/>
    <x v="235"/>
    <x v="0"/>
    <x v="0"/>
    <s v="South Africa"/>
    <s v="WesBank"/>
    <s v="WB Motor Ecosystems (Dalyn Selling)"/>
    <s v="30100004002 WB Digital Acquisition"/>
    <s v="Full Time Employee"/>
    <s v="Product"/>
    <s v="Product Owner"/>
    <s v="7 year(s), 6 month(s), 2 day(s)"/>
    <s v="30 - 39"/>
    <s v="Male"/>
    <s v="African (South Africa)"/>
  </r>
  <r>
    <s v="3423301"/>
    <x v="236"/>
    <x v="0"/>
    <x v="0"/>
    <s v="South Africa"/>
    <s v="FNB"/>
    <s v="FNB Points of Presence (Joyce Chirwa)"/>
    <s v="7710200400 FNB POP Financial Operations"/>
    <s v="Full Time Employee"/>
    <s v="Finance"/>
    <s v="Financial Administrator"/>
    <s v="18 year(s), 0 month(s), 2 day(s)"/>
    <s v="40 - 49"/>
    <s v="Female"/>
    <s v="African (South Africa)"/>
  </r>
  <r>
    <s v="3425010"/>
    <x v="237"/>
    <x v="0"/>
    <x v="0"/>
    <s v="South Africa"/>
    <s v="FNB"/>
    <s v="FNB Points of Presence (Nandipa Mpahlwa)"/>
    <s v="771005100 FNB POP Branch Delivery Main Street"/>
    <s v="Full Time Employee"/>
    <s v="Process, Operations and Administration"/>
    <s v="Branch Controller"/>
    <s v="18 year(s), 0 month(s), 2 day(s)"/>
    <s v="40 - 49"/>
    <s v="Female"/>
    <s v="African (South Africa)"/>
  </r>
  <r>
    <s v="3430677"/>
    <x v="238"/>
    <x v="0"/>
    <x v="19"/>
    <s v="South Africa"/>
    <s v="FNB"/>
    <s v="FNB Commercial Chief Risk Office (Thloni Mhango)"/>
    <s v="34400009867 FNB Commercial Chief Risk Head Office"/>
    <s v="Full Time Employee"/>
    <s v="Legal, Risk and Compliance"/>
    <s v="Legal Head"/>
    <s v="17 year(s), 9 month(s), 20 day(s)"/>
    <s v="50 - 59"/>
    <s v="Female"/>
    <s v="White (South Africa)"/>
  </r>
  <r>
    <s v="3430995"/>
    <x v="239"/>
    <x v="0"/>
    <x v="0"/>
    <s v="South Africa"/>
    <s v="FNB"/>
    <s v="FNB Commercial Projects and Operations (Sarisha Nowrungsah)"/>
    <s v="34200009941 FNB Commercial Collateral KwaZulu Natal"/>
    <s v="Full Time Employee"/>
    <s v="Process, Operations and Administration"/>
    <s v="Administrator"/>
    <s v="17 year(s), 8 month(s), 8 day(s)"/>
    <s v="40 - 49"/>
    <s v="Male"/>
    <s v="Indian (South Africa)"/>
  </r>
  <r>
    <s v="3433803"/>
    <x v="240"/>
    <x v="0"/>
    <x v="0"/>
    <s v="South Africa"/>
    <s v="FNB"/>
    <s v="FNB Commercial Chief Executive Officer Structured Lending Solutions (Jan Baard)"/>
    <s v="33900006525 FNB Commercial Head Office Specialised Lending"/>
    <s v="Full Time Employee"/>
    <s v="Process, Operations and Administration"/>
    <s v="Chief Operating Officer"/>
    <s v="16 year(s), 0 month(s), 2 day(s)"/>
    <s v="40 - 49"/>
    <s v="Male"/>
    <s v="Indian (South Africa)"/>
  </r>
  <r>
    <s v="3434591"/>
    <x v="241"/>
    <x v="0"/>
    <x v="0"/>
    <s v="South Africa"/>
    <s v="FNB"/>
    <s v="FNB Commercial Core Juristic Platform (Dustin Blyth)"/>
    <s v="34200009026 FNB Commercial CJP IT Development"/>
    <s v="Full Time Employee"/>
    <s v="Technology"/>
    <s v="Software Architect"/>
    <s v="15 year(s), 3 month(s), 2 day(s)"/>
    <s v="40 - 49"/>
    <s v="Male"/>
    <s v="Indian (South Africa)"/>
  </r>
  <r>
    <s v="3440826"/>
    <x v="242"/>
    <x v="0"/>
    <x v="0"/>
    <s v="South Africa"/>
    <s v="WesBank"/>
    <s v="WB Motor Sales Channel (Gawie Swanepoel)"/>
    <s v="30102010100 WB Motor Regional Sales - E.Cape Region"/>
    <s v="Full Time Employee"/>
    <s v="Sales and Client Services"/>
    <s v="Regional Head"/>
    <s v="17 year(s), 3 month(s), 12 day(s)"/>
    <s v="40 - 49"/>
    <s v="Female"/>
    <s v="African (South Africa)"/>
  </r>
  <r>
    <s v="3443515"/>
    <x v="243"/>
    <x v="0"/>
    <x v="0"/>
    <s v="South Africa"/>
    <s v="WesBank"/>
    <s v="WB Motor Operations (Thabiso Maapola)"/>
    <s v="30100007264 WB NATIS"/>
    <s v="Full Time Employee"/>
    <s v="Process, Operations and Administration"/>
    <s v="Senior Administrator Operations"/>
    <s v="14 year(s), 3 month(s), 2 day(s)"/>
    <s v="30 - 39"/>
    <s v="Female"/>
    <s v="White (South Africa)"/>
  </r>
  <r>
    <s v="3444910"/>
    <x v="244"/>
    <x v="0"/>
    <x v="0"/>
    <s v="South Africa"/>
    <s v="FNB"/>
    <s v="FNB Loans (Ruwaida Kemmey)"/>
    <s v="79100003305 FNB Consumer Loans Internal Collections"/>
    <s v="Full Time Employee"/>
    <s v="Process, Operations and Administration"/>
    <s v="Business Support Specialist"/>
    <s v="16 year(s), 3 month(s), 2 day(s)"/>
    <s v="40 - 49"/>
    <s v="Male"/>
    <s v="African (South Africa)"/>
  </r>
  <r>
    <s v="3452107"/>
    <x v="245"/>
    <x v="0"/>
    <x v="0"/>
    <s v="South Africa"/>
    <s v="FNB"/>
    <s v="CDO Infrastructure and Security Services (Shaun Parboo)"/>
    <s v="20700006436 CDO Infrastructure and Security Services Service Asset and Configuration Management"/>
    <s v="Full Time Employee"/>
    <s v="Technology"/>
    <s v="Configuration Management Lead"/>
    <s v="17 year(s), 10 month(s), 29 day(s)"/>
    <s v="50 - 59"/>
    <s v="Male"/>
    <s v="White (South Africa)"/>
  </r>
  <r>
    <s v="3452506"/>
    <x v="246"/>
    <x v="0"/>
    <x v="0"/>
    <s v="South Africa"/>
    <s v="FNB"/>
    <s v="FNB Retail Exco (Keshani Ganasen)"/>
    <s v="85500007549 FNB Integrated Advice"/>
    <s v="Full Time Employee"/>
    <s v="Data and Analytics"/>
    <s v="Data Scientist"/>
    <s v="9 year(s), 2 month(s), 13 day(s)"/>
    <s v="40 - 49"/>
    <s v="Female"/>
    <s v="White (South Africa)"/>
  </r>
  <r>
    <s v="3454460"/>
    <x v="247"/>
    <x v="0"/>
    <x v="0"/>
    <s v="South Africa"/>
    <s v="FirstRand Corporate Centre"/>
    <s v="Group Treasury Exchange Control (Vicky Mosome)"/>
    <s v="78200000GEC Group Exchange Control (GEC)"/>
    <s v="Full Time Employee"/>
    <s v="Process, Operations and Administration"/>
    <s v="Operations Head"/>
    <s v="17 year(s), 4 month(s), 2 day(s)"/>
    <s v="40 - 49"/>
    <s v="Female"/>
    <s v="African (South Africa)"/>
  </r>
  <r>
    <s v="3455920"/>
    <x v="248"/>
    <x v="0"/>
    <x v="10"/>
    <s v="South Africa"/>
    <s v="RMB"/>
    <s v="RMBSA LRC Credit Risk Management (Thabani Zungu)"/>
    <s v="77800000BCR RMBSA Global Markets Credit Risk"/>
    <s v="Full Time Employee"/>
    <s v="Credit"/>
    <s v="Credit Executive Sponsor"/>
    <s v="16 year(s), 11 month(s), 18 day(s)"/>
    <s v="50 - 59"/>
    <s v="Female"/>
    <s v="African (South Africa)"/>
  </r>
  <r>
    <s v="3458555"/>
    <x v="249"/>
    <x v="0"/>
    <x v="10"/>
    <s v="South Africa"/>
    <s v="RMB"/>
    <s v="RMB South Africa (Emrie Brown)"/>
    <s v="77800000HOF RMBSA Executive Committee"/>
    <s v="Full Time Employee"/>
    <s v="Credit"/>
    <s v="Chief Credit Officer"/>
    <s v="16 year(s), 0 month(s), 23 day(s)"/>
    <s v="40 - 49"/>
    <s v="Male"/>
    <s v="African (South Africa)"/>
  </r>
  <r>
    <s v="3458652"/>
    <x v="250"/>
    <x v="0"/>
    <x v="14"/>
    <s v="South Africa"/>
    <s v="RMB"/>
    <s v="RMBSA IBD Legal, Risk and Compliance (Werner Van Oudenhove De St Gery)"/>
    <s v="77800000SFC RMBSA IBD Structured Credit Analysts"/>
    <s v="Full Time Employee"/>
    <s v="Credit"/>
    <s v="Credit Head"/>
    <s v="16 year(s), 0 month(s), 23 day(s)"/>
    <s v="40 - 49"/>
    <s v="Female"/>
    <s v="African (South Africa)"/>
  </r>
  <r>
    <s v="3459519"/>
    <x v="251"/>
    <x v="0"/>
    <x v="0"/>
    <s v="South Africa"/>
    <s v="FNB"/>
    <s v="FNB Private Banking and Advisory (Tshepiso Martin)"/>
    <s v="34100008332 PB&amp;A Cape Peninsula Affluent"/>
    <s v="Full Time Employee"/>
    <s v="Sales and Client Services"/>
    <s v="Sales and Service Manager"/>
    <s v="17 year(s), 5 month(s), 2 day(s)"/>
    <s v="30 - 39"/>
    <s v="Male"/>
    <s v="Indian (South Africa)"/>
  </r>
  <r>
    <s v="3462013"/>
    <x v="252"/>
    <x v="0"/>
    <x v="20"/>
    <s v="South Africa"/>
    <s v="FNB"/>
    <s v="FNB Points of Presence (Andries Van Niekerk)"/>
    <s v="771032200 FNB POP Branch Delivery Ottosdal"/>
    <s v="Full Time Employee"/>
    <s v="Process, Operations and Administration"/>
    <s v="Branch Administrator"/>
    <s v="17 year(s), 8 month(s), 29 day(s)"/>
    <s v="40 - 49"/>
    <s v="Female"/>
    <s v="African (South Africa)"/>
  </r>
  <r>
    <s v="3465195"/>
    <x v="253"/>
    <x v="0"/>
    <x v="0"/>
    <s v="South Africa"/>
    <s v="FNB"/>
    <s v="FNB Points of Presence (Poovan Pillay)"/>
    <s v="7710105300 FNB POP Branch Delivery Gateway"/>
    <s v="Full Time Employee"/>
    <s v="Sales and Client Services"/>
    <s v="Local Market Manager"/>
    <s v="12 year(s), 3 month(s), 2 day(s)"/>
    <s v="30 - 39"/>
    <s v="Male"/>
    <s v="African (South Africa)"/>
  </r>
  <r>
    <s v="3467201"/>
    <x v="254"/>
    <x v="0"/>
    <x v="0"/>
    <s v="South Africa"/>
    <s v="FNB"/>
    <s v="FNB Retail COO (Tara Cabion)"/>
    <s v="69000006171 FNB Retail Enterprise Project Management Office"/>
    <s v="Full Time Employee"/>
    <s v="Process, Operations and Administration"/>
    <s v="Programme Manager"/>
    <s v="16 year(s), 3 month(s), 28 day(s)"/>
    <s v="50 - 59"/>
    <s v="Female"/>
    <s v="White (South Africa)"/>
  </r>
  <r>
    <s v="3470946"/>
    <x v="255"/>
    <x v="0"/>
    <x v="0"/>
    <s v="South Africa"/>
    <s v="FNB"/>
    <s v="FNB Personal Core Banking (John Paterson)"/>
    <s v="48100004197 RCB Process and Cost Optimisation"/>
    <s v="Full Time Employee"/>
    <s v="Process, Operations and Administration"/>
    <s v="Business Process Manager"/>
    <s v="14 year(s), 11 month(s), 2 day(s)"/>
    <s v="50 - 59"/>
    <s v="Male"/>
    <s v="White (South Africa)"/>
  </r>
  <r>
    <s v="3471284"/>
    <x v="256"/>
    <x v="0"/>
    <x v="0"/>
    <s v="South Africa"/>
    <s v="FNB"/>
    <s v="FNB HSL. (Leanne Brooks)"/>
    <s v="69000002201 FNB Retail COO Business Analysis"/>
    <s v="Full Time Employee"/>
    <s v="Process, Operations and Administration"/>
    <s v="Business Analyst"/>
    <s v="15 year(s), 10 month(s), 2 day(s)"/>
    <s v="40 - 49"/>
    <s v="Male"/>
    <s v="Indian (South Africa)"/>
  </r>
  <r>
    <s v="3472892"/>
    <x v="257"/>
    <x v="0"/>
    <x v="0"/>
    <s v="South Africa"/>
    <s v="FNB"/>
    <s v="FNB Broader Africa (Bydon Longwe)"/>
    <s v="83200009887 FNB International SA Exco"/>
    <s v="Full Time Employee"/>
    <s v="Data and Analytics"/>
    <s v="Chief Data and Analytics Officer"/>
    <s v="7 year(s), 4 month(s), 2 day(s)"/>
    <s v="40 - 49"/>
    <s v="Female"/>
    <s v="African (South Africa)"/>
  </r>
  <r>
    <s v="3477428"/>
    <x v="258"/>
    <x v="0"/>
    <x v="0"/>
    <s v="South Africa"/>
    <s v="FNB"/>
    <s v="FNB Points of Presence (Barry Kuhn)"/>
    <s v="7710299500 FNB Points of Presence Sales and Collaboration"/>
    <s v="Full Time Employee"/>
    <s v="Process, Operations and Administration"/>
    <s v="Leadership Coach"/>
    <s v="17 year(s), 0 month(s), 2 day(s)"/>
    <s v="40 - 49"/>
    <s v="Female"/>
    <s v="African (South Africa)"/>
  </r>
  <r>
    <s v="3478637"/>
    <x v="259"/>
    <x v="0"/>
    <x v="0"/>
    <s v="South Africa"/>
    <s v="FirstRand Corporate Centre"/>
    <s v="FRCC ERM Operational Risk Management (Hans Bouckaert)"/>
    <s v="20200007823 FRCC ERM Operational Risk Management"/>
    <s v="Full Time Employee"/>
    <s v="Technology"/>
    <s v="IT Operations Head"/>
    <s v="15 year(s), 1 month(s), 2 day(s)"/>
    <s v="40 - 49"/>
    <s v="Male"/>
    <s v="African (South Africa)"/>
  </r>
  <r>
    <s v="3480186"/>
    <x v="260"/>
    <x v="0"/>
    <x v="0"/>
    <s v="South Africa"/>
    <s v="FNB"/>
    <s v="FNB HR Centre of Expertise (Liesel Hollis)"/>
    <s v="47100007956 CoE Transformation"/>
    <s v="Full Time Employee"/>
    <s v="Human Capital"/>
    <s v="Employee Wellbeing Consultant"/>
    <s v="17 year(s), 0 month(s), 12 day(s)"/>
    <s v="40 - 49"/>
    <s v="Female"/>
    <s v="Coloured (South Africa)"/>
  </r>
  <r>
    <s v="3481735"/>
    <x v="261"/>
    <x v="0"/>
    <x v="0"/>
    <s v="South Africa"/>
    <s v="FNB"/>
    <s v="FNB Points of Presence (Leigh-Anne Van Staden)"/>
    <s v="7710841400 FNB POP External Sales Local Market"/>
    <s v="OBR With Fixed Pay"/>
    <s v="Sales and Client Services"/>
    <s v="External Sales and Service Advisor Lead OBR"/>
    <s v="17 year(s), 3 month(s), 2 day(s)"/>
    <s v="40 - 49"/>
    <s v="Male"/>
    <s v="African (South Africa)"/>
  </r>
  <r>
    <s v="3481867"/>
    <x v="262"/>
    <x v="0"/>
    <x v="0"/>
    <s v="South Africa"/>
    <s v="FNB"/>
    <s v="FNB Personal Core Banking (Carin Neethling)"/>
    <s v="48100003462 FNB Personal Core Banking Retail Sales"/>
    <s v="Full Time Employee"/>
    <s v="Sales and Client Services"/>
    <s v="Growth Specialist"/>
    <s v="17 year(s), 5 month(s), 30 day(s)"/>
    <s v="30 - 39"/>
    <s v="Female"/>
    <s v="African (South Africa)"/>
  </r>
  <r>
    <s v="3486850"/>
    <x v="263"/>
    <x v="0"/>
    <x v="0"/>
    <s v="South Africa"/>
    <s v="FirstRand Corporate Centre"/>
    <s v="Group Human Capital (Zama Lamla)"/>
    <s v="20200003706 Group Reward"/>
    <s v="Full Time Employee"/>
    <s v="Human Capital"/>
    <s v="Reward Head FCC and Group Shares"/>
    <s v="17 year(s), 4 month(s), 0 day(s)"/>
    <s v="40 - 49"/>
    <s v="Male"/>
    <s v="Indian (South Africa)"/>
  </r>
  <r>
    <s v="3486982"/>
    <x v="264"/>
    <x v="0"/>
    <x v="0"/>
    <s v="South Africa"/>
    <s v="FNB"/>
    <s v="FNB Points of Presence (Estelle Thiart)"/>
    <s v="7710239100 FNB POP Regional Office Inland"/>
    <s v="Full Time Employee"/>
    <s v="Human Capital"/>
    <s v="Human Capital Business Partner"/>
    <s v="17 year(s), 5 month(s), 2 day(s)"/>
    <s v="50 - 59"/>
    <s v="Male"/>
    <s v="Coloured (South Africa)"/>
  </r>
  <r>
    <s v="3487768"/>
    <x v="265"/>
    <x v="0"/>
    <x v="0"/>
    <s v="South Africa"/>
    <s v="FNB"/>
    <s v="FNB Retail P Human Capital (Craig Fortuin)"/>
    <s v="38500009858 HSL. Training"/>
    <s v="Full Time Employee"/>
    <s v="Human Capital"/>
    <s v="Learning and Development Manager"/>
    <s v="12 year(s), 7 month(s), 2 day(s)"/>
    <s v="50 - 59"/>
    <s v="Male"/>
    <s v="White (South Africa)"/>
  </r>
  <r>
    <s v="3496104"/>
    <x v="266"/>
    <x v="0"/>
    <x v="8"/>
    <s v="South Africa"/>
    <s v="FNB"/>
    <s v="FNB Core Banking Platform (Nicolene Green)"/>
    <s v="59600010101 FNB Personal and Private IT WB Service Management"/>
    <s v="Full Time Employee"/>
    <s v="Technology"/>
    <s v="Technical Release Specialist"/>
    <s v="10 year(s), 1 month(s), 2 day(s)"/>
    <s v="40 - 49"/>
    <s v="Female"/>
    <s v="African (South Africa)"/>
  </r>
  <r>
    <s v="3504840"/>
    <x v="267"/>
    <x v="0"/>
    <x v="0"/>
    <s v="South Africa"/>
    <s v="FNB"/>
    <s v="FNB Points of Presence (Awelani Mafune)"/>
    <s v="7710110500 FNB POP Branch Delivery Highveld Mall"/>
    <s v="Full Time Employee"/>
    <s v="Process, Operations and Administration"/>
    <s v="Branch Administrator"/>
    <s v="16 year(s), 8 month(s), 14 day(s)"/>
    <s v="40 - 49"/>
    <s v="Female"/>
    <s v="African (South Africa)"/>
  </r>
  <r>
    <s v="3516377"/>
    <x v="268"/>
    <x v="0"/>
    <x v="9"/>
    <s v="South Africa"/>
    <s v="FNB"/>
    <s v="FNB Personal Segment (Lytania Johnson)"/>
    <s v="5910107040 FNB Personal Exco"/>
    <s v="Full Time Employee"/>
    <s v="Process, Operations and Administration"/>
    <s v="Executive Head"/>
    <s v="17 year(s), 0 month(s), 8 day(s)"/>
    <s v="30 - 39"/>
    <s v="Female"/>
    <s v="White (South Africa)"/>
  </r>
  <r>
    <s v="3519570"/>
    <x v="269"/>
    <x v="0"/>
    <x v="21"/>
    <s v="South Africa"/>
    <s v="FNB"/>
    <s v="FNB Chief Risk Office Executive (Mark Nasila)"/>
    <s v="39400003184 FNB Chief Risk Office Interactions and Risk Analytics"/>
    <s v="Full Time Employee"/>
    <s v="Data and Analytics"/>
    <s v="Chief Data and Analytics Officer"/>
    <s v="16 year(s), 3 month(s), 2 day(s)"/>
    <s v="30 - 39"/>
    <s v="Male"/>
    <s v="African (South Africa)"/>
  </r>
  <r>
    <s v="3526399"/>
    <x v="270"/>
    <x v="0"/>
    <x v="10"/>
    <s v="South Africa"/>
    <s v="RMB"/>
    <s v="RMBSA LRC Credit Risk Management (Thabani Zungu)"/>
    <s v="77800000SFC RMBSA IBD Structured Credit Analysts"/>
    <s v="Full Time Employee"/>
    <s v="Credit"/>
    <s v="Credit Head"/>
    <s v="15 year(s), 8 month(s), 2 day(s)"/>
    <s v="40 - 49"/>
    <s v="Male"/>
    <s v="Coloured (South Africa)"/>
  </r>
  <r>
    <s v="3527018"/>
    <x v="271"/>
    <x v="0"/>
    <x v="10"/>
    <s v="South Africa"/>
    <s v="RMB"/>
    <s v="RMBSA LRC Credit Risk Management (Thabani Zungu)"/>
    <s v="77800000RAX RMBSA Broader Africa Cross-functional Executive Leadership Team"/>
    <s v="Full Time Employee"/>
    <s v="Credit"/>
    <s v="Credit Executive"/>
    <s v="15 year(s), 4 month(s), 28 day(s)"/>
    <s v="40 - 49"/>
    <s v="Male"/>
    <s v="African (South Africa)"/>
  </r>
  <r>
    <s v="3527328"/>
    <x v="272"/>
    <x v="0"/>
    <x v="0"/>
    <s v="South Africa"/>
    <s v="RMB"/>
    <s v="RMBSA TTS LRC Credit Risk Management (Bertus Huisman)"/>
    <s v="77800000SFA RMBSA IBD Credit Analysts"/>
    <s v="Full Time Employee"/>
    <s v="Credit"/>
    <s v="Credit Team Lead"/>
    <s v="15 year(s), 3 month(s), 2 day(s)"/>
    <s v="50 - 59"/>
    <s v="Male"/>
    <s v="White (South Africa)"/>
  </r>
  <r>
    <s v="3527808"/>
    <x v="273"/>
    <x v="0"/>
    <x v="2"/>
    <s v="South Africa"/>
    <s v="RMB"/>
    <s v="RMBSA Global Markets Technology Calypso &amp; Regulatory Reporting (Davita Reddiar)"/>
    <s v="77800000BGA RMBSA Global Markets Technology Securities Financing"/>
    <s v="Full Time Employee"/>
    <s v="Technology"/>
    <s v="Technology Platform Lead"/>
    <s v="15 year(s), 0 month(s), 16 day(s)"/>
    <s v="30 - 39"/>
    <s v="Female"/>
    <s v="African (South Africa)"/>
  </r>
  <r>
    <s v="3530221"/>
    <x v="274"/>
    <x v="0"/>
    <x v="22"/>
    <s v="South Africa"/>
    <s v="RMB"/>
    <s v="RMBSA Global Markets Technology eTrading (Pratish Rajcoomar)"/>
    <s v="77800000RPI RMBSA Global Markets eTrading Tech DPMM"/>
    <s v="Full Time Employee"/>
    <s v="Technology"/>
    <s v="Technology Platform Lead"/>
    <s v="6 year(s), 6 month(s), 2 day(s)"/>
    <s v="30 - 39"/>
    <s v="Female"/>
    <s v="African (South Africa)"/>
  </r>
  <r>
    <s v="3538656"/>
    <x v="275"/>
    <x v="0"/>
    <x v="0"/>
    <s v="South Africa"/>
    <s v="FNB"/>
    <s v="FNB Private Banking &amp; Advisory (Russel Mamokgere)"/>
    <s v="34100003505 PB&amp;A Coverage Wealth"/>
    <s v="Full Time Employee"/>
    <s v="Sales and Client Services"/>
    <s v="Channel Management Head"/>
    <s v="16 year(s), 1 month(s), 2 day(s)"/>
    <s v="40 - 49"/>
    <s v="Male"/>
    <s v="African (South Africa)"/>
  </r>
  <r>
    <s v="3539342"/>
    <x v="276"/>
    <x v="0"/>
    <x v="0"/>
    <s v="South Africa"/>
    <s v="FNB"/>
    <s v="CDO Banking (Shagufta Bux)"/>
    <s v="79000005464 CDO Banking Integrations On Host"/>
    <s v="Full Time Employee"/>
    <s v="Technology"/>
    <s v="Systems Analyst"/>
    <s v="13 year(s), 9 month(s), 14 day(s)"/>
    <s v="30 - 39"/>
    <s v="Male"/>
    <s v="Coloured (South Africa)"/>
  </r>
  <r>
    <s v="3552330"/>
    <x v="277"/>
    <x v="0"/>
    <x v="0"/>
    <s v="South Africa"/>
    <s v="FirstRand Corporate Centre"/>
    <s v="Group Internal Audit Support Services (Peter Watson)"/>
    <s v="20200009725 FRCC Internal Audit Digitalization"/>
    <s v="Full Time Employee"/>
    <s v="Process, Operations and Administration"/>
    <s v="Group Internal Audit Operations Administrator"/>
    <s v="16 year(s), 6 month(s), 14 day(s)"/>
    <s v="50 - 59"/>
    <s v="Female"/>
    <s v="African (South Africa)"/>
  </r>
  <r>
    <s v="3553051"/>
    <x v="278"/>
    <x v="0"/>
    <x v="0"/>
    <s v="South Africa"/>
    <s v="FNB"/>
    <s v="CDO Kernel iNterfaceX (Benjamin Appalsamy)"/>
    <s v="21800005632 CDO Kernel iNterfaceX Records Managment"/>
    <s v="Full Time Employee"/>
    <s v="Data and Analytics"/>
    <s v="Records Manager"/>
    <s v="14 year(s), 6 month(s), 2 day(s)"/>
    <s v="40 - 49"/>
    <s v="Female"/>
    <s v="Indian (South Africa)"/>
  </r>
  <r>
    <s v="3555933"/>
    <x v="279"/>
    <x v="0"/>
    <x v="4"/>
    <s v="South Africa"/>
    <s v="FNB"/>
    <s v="FNB Points of Presence (Ntombi Matshinye)"/>
    <s v="7710248700 FNB POP Branch Delivery Cosmo Mall"/>
    <s v="Full Time Employee"/>
    <s v="Process, Operations and Administration"/>
    <s v="Branch Controller"/>
    <s v="8 year(s), 6 month(s), 2 day(s)"/>
    <s v="30 - 39"/>
    <s v="Male"/>
    <s v="African (South Africa)"/>
  </r>
  <r>
    <s v="3560643"/>
    <x v="280"/>
    <x v="0"/>
    <x v="0"/>
    <s v="South Africa"/>
    <s v="FNB"/>
    <s v="FNB Points of Presence (Brian Wellsted)"/>
    <s v="771042800 FNB POP Branch Delivery White River"/>
    <s v="Full Time Employee"/>
    <s v="Sales and Client Services"/>
    <s v="Local Market Manager"/>
    <s v="16 year(s), 10 month(s), 2 day(s)"/>
    <s v="40 - 49"/>
    <s v="Male"/>
    <s v="African (South Africa)"/>
  </r>
  <r>
    <s v="3571610"/>
    <x v="281"/>
    <x v="0"/>
    <x v="0"/>
    <s v="South Africa"/>
    <s v="FNB"/>
    <s v="FNB Points of Presence (Calvin Ross)"/>
    <s v="7710106400 FNB POP Branch Delivery Vangate"/>
    <s v="Full Time Employee"/>
    <s v="Sales and Client Services"/>
    <s v="Support Advisor FAIS"/>
    <s v="11 year(s), 1 month(s), 2 day(s)"/>
    <s v="50 - 59"/>
    <s v="Male"/>
    <s v="Coloured (South Africa)"/>
  </r>
  <r>
    <s v="3573958"/>
    <x v="282"/>
    <x v="0"/>
    <x v="3"/>
    <s v="South Africa"/>
    <s v="FNB"/>
    <s v="REMS Real Estate Management Services (Keiasha Naidoo)"/>
    <s v="22300004879 REMS Build"/>
    <s v="Full Time Employee"/>
    <s v="Process, Operations and Administration"/>
    <s v="Regional Infrastructure Manager"/>
    <s v="12 year(s), 4 month(s), 2 day(s)"/>
    <s v="40 - 49"/>
    <s v="Male"/>
    <s v="White (South Africa)"/>
  </r>
  <r>
    <s v="3574687"/>
    <x v="283"/>
    <x v="0"/>
    <x v="0"/>
    <s v="South Africa"/>
    <s v="FNB"/>
    <s v="CDO Kernel iNterfaceX Digital Interface (Giuseppe Virgillito)"/>
    <s v="21800008512 CDO Kernel iNterfaceX App Channel"/>
    <s v="Full Time Employee"/>
    <s v="Process, Operations and Administration"/>
    <s v="Business Solutions Head"/>
    <s v="6 year(s), 6 month(s), 12 day(s)"/>
    <s v="30 - 39"/>
    <s v="Male"/>
    <s v="Indian (South Africa)"/>
  </r>
  <r>
    <s v="3576930"/>
    <x v="284"/>
    <x v="0"/>
    <x v="1"/>
    <s v="South Africa"/>
    <s v="FNB"/>
    <s v="CDO Infrastructure and Security Services (Claude Kumst)"/>
    <s v="20700005499 CDO Infrastructure and Security Services Security Delivery"/>
    <s v="Full Time Employee"/>
    <s v="Technology"/>
    <s v="Information Security Operations Head"/>
    <s v="15 year(s), 3 month(s), 23 day(s)"/>
    <s v="40 - 49"/>
    <s v="Male"/>
    <s v="African (South Africa)"/>
  </r>
  <r>
    <s v="3578283"/>
    <x v="285"/>
    <x v="0"/>
    <x v="0"/>
    <s v="South Africa"/>
    <s v="FNB"/>
    <s v="FNB Points of Presence (Nomsa Makaringe)"/>
    <s v="7710111300 FNB POP Branch Delivery Norwood"/>
    <s v="Full Time Employee"/>
    <s v="Sales and Client Services"/>
    <s v="Associate"/>
    <s v="16 year(s), 1 month(s), 25 day(s)"/>
    <s v="30 - 39"/>
    <s v="Female"/>
    <s v="African (South Africa)"/>
  </r>
  <r>
    <s v="3582698"/>
    <x v="286"/>
    <x v="0"/>
    <x v="3"/>
    <s v="South Africa"/>
    <s v="FNB"/>
    <s v="FNB eBucks (Vilan Pather)"/>
    <s v="25600005674 FNB eBucks Operations"/>
    <s v="Full Time Employee"/>
    <s v="Product"/>
    <s v="Product Manager"/>
    <s v="10 year(s), 10 month(s), 10 day(s)"/>
    <s v="40 - 49"/>
    <s v="Male"/>
    <s v="Indian (South Africa)"/>
  </r>
  <r>
    <s v="3584763"/>
    <x v="287"/>
    <x v="0"/>
    <x v="0"/>
    <s v="South Africa"/>
    <s v="FNB"/>
    <s v="FNB HSL (Chris Labuschagne)"/>
    <s v="38500009325 HSL. Exco"/>
    <s v="Full Time Employee"/>
    <s v="Product"/>
    <s v="Product Head"/>
    <s v="7 year(s), 10 month(s), 27 day(s)"/>
    <s v="40 - 49"/>
    <s v="Male"/>
    <s v="African (South Africa)"/>
  </r>
  <r>
    <s v="3591522"/>
    <x v="288"/>
    <x v="0"/>
    <x v="0"/>
    <s v="South Africa"/>
    <s v="FNB"/>
    <s v="RMB Broader Africa Financial Management (Divia Vandeyar)"/>
    <s v="83200003309 FNB International SA Finance"/>
    <s v="Full Time Employee"/>
    <s v="Finance"/>
    <s v="Financial Manager"/>
    <s v="16 year(s), 1 month(s), 2 day(s)"/>
    <s v="40 - 49"/>
    <s v="Female"/>
    <s v="African (South Africa)"/>
  </r>
  <r>
    <s v="3593053"/>
    <x v="289"/>
    <x v="0"/>
    <x v="0"/>
    <s v="South Africa"/>
    <s v="FNB"/>
    <s v="FNB Points of Presence (Michael Bell)"/>
    <s v="771067100 FNB POP Branch Delivery Vincent Park"/>
    <s v="Full Time Employee"/>
    <s v="Sales and Client Services"/>
    <s v="Local Market Sales and Service Manager"/>
    <s v="16 year(s), 0 month(s), 23 day(s)"/>
    <s v="30 - 39"/>
    <s v="Male"/>
    <s v="African (South Africa)"/>
  </r>
  <r>
    <s v="3594505"/>
    <x v="290"/>
    <x v="0"/>
    <x v="0"/>
    <s v="South Africa"/>
    <s v="FNB"/>
    <s v="FNB Points of Presence (Tebogo Masoga)"/>
    <s v="7710841400 FNB POP External Sales Local Market"/>
    <s v="OBR With Fixed Pay"/>
    <s v="Sales and Client Services"/>
    <s v="External Sales and Service Advisor Lead OBR"/>
    <s v="8 year(s), 0 month(s), 8 day(s)"/>
    <s v="30 - 39"/>
    <s v="Female"/>
    <s v="African (South Africa)"/>
  </r>
  <r>
    <s v="3599523"/>
    <x v="291"/>
    <x v="0"/>
    <x v="0"/>
    <s v="South Africa"/>
    <s v="WesBank"/>
    <s v="WE SELL CARS JV (Peter Bester)"/>
    <s v="30100004494 WB We Sell Cars JV"/>
    <s v="Full Time Employee"/>
    <s v="Sales and Client Services"/>
    <s v="Joint Venture Support Specialist"/>
    <s v="15 year(s), 5 month(s), 2 day(s)"/>
    <s v="40 - 49"/>
    <s v="Female"/>
    <s v="African (South Africa)"/>
  </r>
  <r>
    <s v="3601447"/>
    <x v="292"/>
    <x v="0"/>
    <x v="0"/>
    <s v="South Africa"/>
    <s v="FNB"/>
    <s v="FNB HSL (Ruan Branders)"/>
    <s v="21200006819 HSL Sales Operations"/>
    <s v="Full Time Employee"/>
    <s v="Sales and Client Services"/>
    <s v="Service Consultant"/>
    <s v="13 year(s), 5 month(s), 2 day(s)"/>
    <s v="30 - 39"/>
    <s v="Female"/>
    <s v="Coloured (South Africa)"/>
  </r>
  <r>
    <s v="3602915"/>
    <x v="293"/>
    <x v="0"/>
    <x v="0"/>
    <s v="South Africa"/>
    <s v="FNB"/>
    <s v="FNB Retail Private Wealth Chief Executive Office (Eric Enslin)"/>
    <s v="34100003287 PB&amp;A EXCO"/>
    <s v="Full Time Employee"/>
    <s v="Sales and Client Services"/>
    <s v="Customer Service Centre Head"/>
    <s v="14 year(s), 4 month(s), 2 day(s)"/>
    <s v="30 - 39"/>
    <s v="Male"/>
    <s v="African (South Africa)"/>
  </r>
  <r>
    <s v="3604675"/>
    <x v="294"/>
    <x v="0"/>
    <x v="10"/>
    <s v="South Africa"/>
    <s v="RMB"/>
    <s v="RMBSA IBD LRC Credit Risk Management (Thembi Ngobeni)"/>
    <s v="77800000SFA RMBSA IBD Credit Analysts"/>
    <s v="Full Time Employee"/>
    <s v="Credit"/>
    <s v="Credit Team Lead"/>
    <s v="15 year(s), 1 month(s), 2 day(s)"/>
    <s v="30 - 39"/>
    <s v="Male"/>
    <s v="White (South Africa)"/>
  </r>
  <r>
    <s v="3604721"/>
    <x v="295"/>
    <x v="0"/>
    <x v="10"/>
    <s v="South Africa"/>
    <s v="RMB"/>
    <s v="RMBSA LRC Credit Risk Management South Africa (Pete Cottrell)"/>
    <s v="77800000CRD RMBSA Credit Risk South Africa Team"/>
    <s v="Full Time Employee"/>
    <s v="Credit"/>
    <s v="Credit Executive"/>
    <s v="15 year(s), 1 month(s), 2 day(s)"/>
    <s v="40 - 49"/>
    <s v="Female"/>
    <s v="Indian (South Africa)"/>
  </r>
  <r>
    <s v="3611434"/>
    <x v="296"/>
    <x v="0"/>
    <x v="0"/>
    <s v="South Africa"/>
    <s v="FNB"/>
    <s v="FNB Points of Presence (Noma Ramonana)"/>
    <s v="7710894400 FNB POP Branch Delivery Botshabelo Mall"/>
    <s v="Full Time Employee"/>
    <s v="Process, Operations and Administration"/>
    <s v="Branch Controller"/>
    <s v="14 year(s), 3 month(s), 12 day(s)"/>
    <s v="40 - 49"/>
    <s v="Male"/>
    <s v="African (South Africa)"/>
  </r>
  <r>
    <s v="3613364"/>
    <x v="297"/>
    <x v="0"/>
    <x v="0"/>
    <s v="South Africa"/>
    <s v="FNB"/>
    <s v="FNB Commercial Sales Cape (Thabani Gumede)"/>
    <s v="34300008638 FNB Commercial Growth Western Cape Metro 2"/>
    <s v="Full Time Employee"/>
    <s v="Sales and Client Services"/>
    <s v="Business Manager"/>
    <s v="14 year(s), 1 month(s), 17 day(s)"/>
    <s v="30 - 39"/>
    <s v="Male"/>
    <s v="Coloured (South Africa)"/>
  </r>
  <r>
    <s v="3615227"/>
    <x v="298"/>
    <x v="0"/>
    <x v="0"/>
    <s v="South Africa"/>
    <s v="FNB"/>
    <s v="FNB Points of Presence (Michael Hugo)"/>
    <s v="7710613700 FNB POP IT Service Support"/>
    <s v="Full Time Employee"/>
    <s v="Technology"/>
    <s v="IT Operations Manager"/>
    <s v="13 year(s), 9 month(s), 17 day(s)"/>
    <s v="30 - 39"/>
    <s v="Male"/>
    <s v="Indian (South Africa)"/>
  </r>
  <r>
    <s v="3619591"/>
    <x v="299"/>
    <x v="0"/>
    <x v="0"/>
    <s v="South Africa"/>
    <s v="FNB"/>
    <s v="FNB HSL (Kishun Poona)"/>
    <s v="21200000808 HSL Sales Leads"/>
    <s v="Full Time Employee"/>
    <s v="Sales and Client Services"/>
    <s v="Strategy and Business Development Lead"/>
    <s v="14 year(s), 6 month(s), 1 day(s)"/>
    <s v="50 - 59"/>
    <s v="Female"/>
    <s v="White (South Africa)"/>
  </r>
  <r>
    <s v="3625702"/>
    <x v="300"/>
    <x v="0"/>
    <x v="0"/>
    <s v="South Africa"/>
    <s v="FNB"/>
    <s v="CDO Infrastructure and Security Services (Sifiso Dhlamini)"/>
    <s v="20700008785 CDO Infrastructure and Security Services Microsoft"/>
    <s v="Full Time Employee"/>
    <s v="Technology"/>
    <s v="Systems Administrator"/>
    <s v="15 year(s), 4 month(s), 14 day(s)"/>
    <s v="30 - 39"/>
    <s v="Male"/>
    <s v="Indian (South Africa)"/>
  </r>
  <r>
    <s v="3634078"/>
    <x v="301"/>
    <x v="0"/>
    <x v="0"/>
    <s v="South Africa"/>
    <s v="FNB"/>
    <s v="Group Human Capital (Dolly Makhwaza)"/>
    <s v="86000008134 CoE HR Process Capability Centre"/>
    <s v="Full Time Employee"/>
    <s v="Process, Operations and Administration"/>
    <s v="Business Process Optimisation Practice Lead"/>
    <s v="14 year(s), 8 month(s), 25 day(s)"/>
    <s v="50 - 59"/>
    <s v="Female"/>
    <s v="Indian (South Africa)"/>
  </r>
  <r>
    <s v="3641430"/>
    <x v="302"/>
    <x v="0"/>
    <x v="0"/>
    <s v="South Africa"/>
    <s v="FNB"/>
    <s v="FNB Cash Investments (Jj De Villiers)"/>
    <s v="65100003692 FNB Cash Investments Channel Enablement"/>
    <s v="Full Time Employee"/>
    <s v="Sales and Client Services"/>
    <s v="Strategic Business Developer"/>
    <s v="15 year(s), 3 month(s), 19 day(s)"/>
    <s v="40 - 49"/>
    <s v="Female"/>
    <s v="Indian (South Africa)"/>
  </r>
  <r>
    <s v="3651770"/>
    <x v="303"/>
    <x v="0"/>
    <x v="0"/>
    <s v="South Africa"/>
    <s v="FNB"/>
    <s v="FNB Points of Presence (Itumeleng Makhasa)"/>
    <s v="771005400 FNB POP Branch Delivery Braamfontein"/>
    <s v="OBR With Fixed Pay"/>
    <s v="Sales and Client Services"/>
    <s v="Branch Advisor FAIS"/>
    <s v="13 year(s), 11 month(s), 2 day(s)"/>
    <s v="30 - 39"/>
    <s v="Female"/>
    <s v="African (South Africa)"/>
  </r>
  <r>
    <s v="3658473"/>
    <x v="304"/>
    <x v="0"/>
    <x v="5"/>
    <s v="South Africa"/>
    <s v="FNB"/>
    <s v="FNB Cash Investments (Lukas Kabongo)"/>
    <s v="65100005631 FNB Premium Cash Investments Regional Managers"/>
    <s v="Full Time Employee"/>
    <s v="Process, Operations and Administration"/>
    <s v="Regional Investment Manager"/>
    <s v="11 year(s), 3 month(s), 21 day(s)"/>
    <s v="30 - 39"/>
    <s v="Male"/>
    <s v="African (South Africa)"/>
  </r>
  <r>
    <s v="3660079"/>
    <x v="305"/>
    <x v="0"/>
    <x v="0"/>
    <s v="South Africa"/>
    <s v="FNB"/>
    <s v="FNB HSL (Mathew Perumal)"/>
    <s v="51900005681 Home Finance Residential Development Finance"/>
    <s v="Full Time Employee"/>
    <s v="Support Services"/>
    <s v="Property Development Specialist"/>
    <s v="15 year(s), 1 month(s), 14 day(s)"/>
    <s v="40 - 49"/>
    <s v="Male"/>
    <s v="African (South Africa)"/>
  </r>
  <r>
    <s v="3660966"/>
    <x v="306"/>
    <x v="0"/>
    <x v="0"/>
    <s v="South Africa"/>
    <s v="FNB"/>
    <s v="FNB Points of Presence (Siphiwe Msibi)"/>
    <s v="771088200 FNB POP Branch Delivery Rivonia"/>
    <s v="OBR With Fixed Pay"/>
    <s v="Sales and Client Services"/>
    <s v="Branch Advisor FAIS"/>
    <s v="6 year(s), 10 month(s), 25 day(s)"/>
    <s v="30 - 39"/>
    <s v="Male"/>
    <s v="African (South Africa)"/>
  </r>
  <r>
    <s v="3669386"/>
    <x v="307"/>
    <x v="0"/>
    <x v="4"/>
    <s v="South Africa"/>
    <s v="FNB"/>
    <s v="CDO Payments Platform Card IT (Russell Watson)"/>
    <s v="79000003508 CDO Payments Platform Card IT"/>
    <s v="Full Time Employee"/>
    <s v="Technology"/>
    <s v="Application Development Manager"/>
    <s v="14 year(s), 6 month(s), 2 day(s)"/>
    <s v="30 - 39"/>
    <s v="Male"/>
    <s v="Indian (South Africa)"/>
  </r>
  <r>
    <s v="3678482"/>
    <x v="308"/>
    <x v="0"/>
    <x v="23"/>
    <s v="South Africa"/>
    <s v="FNB"/>
    <s v="FNB Commercial Cash (Andries Vermaak)"/>
    <s v="25200006132 FNB Commercial IT Application Development Cash"/>
    <s v="Full Time Employee"/>
    <s v="Data and Analytics"/>
    <s v="Data Analyst"/>
    <s v="13 year(s), 9 month(s), 2 day(s)"/>
    <s v="30 - 39"/>
    <s v="Male"/>
    <s v="Coloured (South Africa)"/>
  </r>
  <r>
    <s v="3694119"/>
    <x v="309"/>
    <x v="0"/>
    <x v="0"/>
    <s v="South Africa"/>
    <s v="FNB"/>
    <s v="FNB Points of Presence (Poovan Pillay)"/>
    <s v="771064900 FNB POP Branch Delivery Phoenix Plaza"/>
    <s v="Full Time Employee"/>
    <s v="Sales and Client Services"/>
    <s v="Local Market Manager"/>
    <s v="13 year(s), 10 month(s), 14 day(s)"/>
    <s v="30 - 39"/>
    <s v="Male"/>
    <s v="Indian (South Africa)"/>
  </r>
  <r>
    <s v="3715930"/>
    <x v="310"/>
    <x v="0"/>
    <x v="0"/>
    <s v="South Africa"/>
    <s v="FNB"/>
    <s v="FNB COO Head Office (Dane Liebenberg)"/>
    <s v="69000005399 FNB Retail Platform Enablement"/>
    <s v="Full Time Employee"/>
    <s v="Process, Operations and Administration"/>
    <s v="Business Process Optimisation Head"/>
    <s v="14 year(s), 9 month(s), 15 day(s)"/>
    <s v="40 - 49"/>
    <s v="Male"/>
    <s v="African (South Africa)"/>
  </r>
  <r>
    <s v="3718530"/>
    <x v="311"/>
    <x v="0"/>
    <x v="0"/>
    <s v="South Africa"/>
    <s v="FNB"/>
    <s v="FNB Private Banking and Advisory (Rudi Du Plooy)"/>
    <s v="34100005231 PB&amp;A Inland Bloemfontein Central Affluent"/>
    <s v="OBR With Fixed Pay"/>
    <s v="Sales and Client Services"/>
    <s v="Private Client Advisor Rural"/>
    <s v="14 year(s), 8 month(s), 2 day(s)"/>
    <s v="30 - 39"/>
    <s v="Female"/>
    <s v="African (South Africa)"/>
  </r>
  <r>
    <s v="3719839"/>
    <x v="312"/>
    <x v="0"/>
    <x v="0"/>
    <s v="South Africa"/>
    <s v="FNB"/>
    <s v="FNB Points of Presence (Irene Sathege)"/>
    <s v="7710110500 FNB POP Branch Delivery Highveld Mall"/>
    <s v="Full Time Employee"/>
    <s v="Sales and Client Services"/>
    <s v="Associate"/>
    <s v="14 year(s), 4 month(s), 26 day(s)"/>
    <s v="30 - 39"/>
    <s v="Female"/>
    <s v="African (South Africa)"/>
  </r>
  <r>
    <s v="3720071"/>
    <x v="313"/>
    <x v="0"/>
    <x v="0"/>
    <s v="South Africa"/>
    <s v="FNB"/>
    <s v="FNB Points of Presence (Nomvula Luphoko)"/>
    <s v="7710110800 FNB POP Branch Delivery Kabokweni Plaza"/>
    <s v="Full Time Employee"/>
    <s v="Sales and Client Services"/>
    <s v="Universal Advisor"/>
    <s v="14 year(s), 6 month(s), 0 day(s)"/>
    <s v="40 - 49"/>
    <s v="Female"/>
    <s v="African (South Africa)"/>
  </r>
  <r>
    <s v="3725203"/>
    <x v="314"/>
    <x v="0"/>
    <x v="0"/>
    <s v="South Africa"/>
    <s v="FNB"/>
    <s v="FNB Personal Core Banking (Thato Bapela)"/>
    <s v="48100004398 FNB Personal Core Banking Hyper Segments and Niches"/>
    <s v="Full Time Employee"/>
    <s v="Product"/>
    <s v="Product Manager"/>
    <s v="14 year(s), 7 month(s), 23 day(s)"/>
    <s v="40 - 49"/>
    <s v="Female"/>
    <s v="African (South Africa)"/>
  </r>
  <r>
    <s v="3738175"/>
    <x v="315"/>
    <x v="0"/>
    <x v="0"/>
    <s v="South Africa"/>
    <s v="FNB"/>
    <s v="CDO Kernel iDnA (Gio Pera)"/>
    <s v="79000003718 FNB Enablement OCIO PMO"/>
    <s v="Full Time Employee"/>
    <s v="Process, Operations and Administration"/>
    <s v="Project Management Office Portfolio Manager"/>
    <s v="8 year(s), 2 month(s), 20 day(s)"/>
    <s v="30 - 39"/>
    <s v="Male"/>
    <s v="Indian (South Africa)"/>
  </r>
  <r>
    <s v="3738701"/>
    <x v="316"/>
    <x v="0"/>
    <x v="0"/>
    <s v="South Africa"/>
    <s v="FNB"/>
    <s v="FNB Private Banking &amp; Advisory (Amanda Meijer)"/>
    <s v="34100005962 PB&amp;A Sandton Affluent"/>
    <s v="OBR With Fixed Pay"/>
    <s v="Sales and Client Services"/>
    <s v="Private Client Advisor"/>
    <s v="14 year(s), 6 month(s), 29 day(s)"/>
    <s v="50 - 59"/>
    <s v="Female"/>
    <s v="African (South Africa)"/>
  </r>
  <r>
    <s v="3740404"/>
    <x v="317"/>
    <x v="0"/>
    <x v="4"/>
    <s v="South Africa"/>
    <s v="FNB"/>
    <s v="FNB Private Core Banking (Mangwale Motlhabane)"/>
    <s v="69000007618 FNB Retail COO Customer Fulfilment"/>
    <s v="Full Time Employee"/>
    <s v="Process, Operations and Administration"/>
    <s v="Administrator"/>
    <s v="10 year(s), 11 month(s), 2 day(s)"/>
    <s v="40 - 49"/>
    <s v="Female"/>
    <s v="African (South Africa)"/>
  </r>
  <r>
    <s v="3745074"/>
    <x v="318"/>
    <x v="0"/>
    <x v="0"/>
    <s v="South Africa"/>
    <s v="FNB"/>
    <s v="FNB Points of Presence (Kenneth Njara)"/>
    <s v="771035600 FNB POP Branch Delivery Richmond"/>
    <s v="Full Time Employee"/>
    <s v="Sales and Client Services"/>
    <s v="Associate"/>
    <s v="6 year(s), 9 month(s), 2 day(s)"/>
    <s v="40 - 49"/>
    <s v="Female"/>
    <s v="African (South Africa)"/>
  </r>
  <r>
    <s v="3757323"/>
    <x v="319"/>
    <x v="0"/>
    <x v="0"/>
    <s v="South Africa"/>
    <s v="FNB"/>
    <s v="FNB Personal Segment (Lytania Johnson)"/>
    <s v="5910107040 FNB Personal Exco"/>
    <s v="Full Time Employee"/>
    <s v="Process, Operations and Administration"/>
    <s v="Executive Head"/>
    <s v="14 year(s), 5 month(s), 2 day(s)"/>
    <s v="50 - 59"/>
    <s v="Female"/>
    <s v="African (South Africa)"/>
  </r>
  <r>
    <s v="3760073"/>
    <x v="320"/>
    <x v="0"/>
    <x v="1"/>
    <s v="South Africa"/>
    <s v="FNB"/>
    <s v="FNB Core Banking Platform (Reuben Pretorius)"/>
    <s v="59600005611 FNB Personal and Private IT Unsecured Lending IT"/>
    <s v="Full Time Employee"/>
    <s v="Technology"/>
    <s v="Technical Team Leader"/>
    <s v="6 year(s), 3 month(s), 2 day(s)"/>
    <s v="30 - 39"/>
    <s v="Male"/>
    <s v="Indian (South Africa)"/>
  </r>
  <r>
    <s v="3766756"/>
    <x v="321"/>
    <x v="0"/>
    <x v="0"/>
    <s v="South Africa"/>
    <s v="WesBank"/>
    <s v="WB Motor Sales Channel (Simon Mudau)"/>
    <s v="30102050100 WB Motor Regional Sales - Eastern Region"/>
    <s v="Full Time Employee"/>
    <s v="Sales and Client Services"/>
    <s v="Roving Marketer"/>
    <s v="14 year(s), 1 month(s), 2 day(s)"/>
    <s v="40 - 49"/>
    <s v="Female"/>
    <s v="African (South Africa)"/>
  </r>
  <r>
    <s v="3767892"/>
    <x v="322"/>
    <x v="0"/>
    <x v="0"/>
    <s v="South Africa"/>
    <s v="FNB"/>
    <s v="FNB Personal Segment Advisory and Suites (Ramaano Harry)"/>
    <s v="97200004035 PSAS JHB Sales"/>
    <s v="Full Time Employee"/>
    <s v="Sales and Client Services"/>
    <s v="Sales Advisor"/>
    <s v="7 year(s), 8 month(s), 2 day(s)"/>
    <s v="30 - 39"/>
    <s v="Female"/>
    <s v="African (South Africa)"/>
  </r>
  <r>
    <s v="3771113"/>
    <x v="323"/>
    <x v="0"/>
    <x v="0"/>
    <s v="South Africa"/>
    <s v="FNB"/>
    <s v="FNB Finance Business Solutions (Delaine Masher)"/>
    <s v="32100009321 FNB Finance Business Solutions Procurement Helpdesk"/>
    <s v="Full Time Employee"/>
    <s v="Process, Operations and Administration"/>
    <s v="Supplier Maintenance Specialist"/>
    <s v="12 year(s), 10 month(s), 9 day(s)"/>
    <s v="40 - 49"/>
    <s v="Female"/>
    <s v="African (South Africa)"/>
  </r>
  <r>
    <s v="3773531"/>
    <x v="324"/>
    <x v="0"/>
    <x v="16"/>
    <s v="South Africa"/>
    <s v="FNB"/>
    <s v="FR Life Assurance (Dash Naidoo)"/>
    <s v="61500010304 FR Insure and Invest Distribution"/>
    <s v="Full Time Employee"/>
    <s v="Data and Analytics"/>
    <s v="Data Science Head"/>
    <s v="14 year(s), 1 month(s), 29 day(s)"/>
    <s v="30 - 39"/>
    <s v="Female"/>
    <s v="White (South Africa)"/>
  </r>
  <r>
    <s v="3792145"/>
    <x v="325"/>
    <x v="0"/>
    <x v="0"/>
    <s v="South Africa"/>
    <s v="FNB"/>
    <s v="FNB COO Head Office (Nkoka Sekotlong)"/>
    <s v="69000006171 FNB Retail Enterprise Project Management Office"/>
    <s v="Full Time Employee"/>
    <s v="Process, Operations and Administration"/>
    <s v="Programme Manager"/>
    <s v="7 year(s), 3 month(s), 2 day(s)"/>
    <s v="40 - 49"/>
    <s v="Female"/>
    <s v="African (South Africa)"/>
  </r>
  <r>
    <s v="3792307"/>
    <x v="326"/>
    <x v="0"/>
    <x v="4"/>
    <s v="South Africa"/>
    <s v="FNB"/>
    <s v="CDO Payments Platform Card IT (Romain Govender)"/>
    <s v="79000003955 CDO Payments Platform PowerCard Issuing"/>
    <s v="Full Time Employee"/>
    <s v="Technology"/>
    <s v="Software Architect"/>
    <s v="14 year(s), 3 month(s), 17 day(s)"/>
    <s v="40 - 49"/>
    <s v="Male"/>
    <s v="White (South Africa)"/>
  </r>
  <r>
    <s v="3792595"/>
    <x v="327"/>
    <x v="0"/>
    <x v="0"/>
    <s v="South Africa"/>
    <s v="FNB"/>
    <s v="FNB COO Head Office (Edwin Tait)"/>
    <s v="69000006171 FNB Retail Enterprise Project Management Office"/>
    <s v="Full Time Employee"/>
    <s v="Process, Operations and Administration"/>
    <s v="Programme Manager"/>
    <s v="14 year(s), 3 month(s), 17 day(s)"/>
    <s v="50 - 59"/>
    <s v="Male"/>
    <s v="African (South Africa)"/>
  </r>
  <r>
    <s v="3794687"/>
    <x v="328"/>
    <x v="0"/>
    <x v="0"/>
    <s v="South Africa"/>
    <s v="RMB"/>
    <s v="RMBSA Technology  IT Security and Access (Angela Henry)"/>
    <s v="77800000BTZ BTZ-RMB IT Security and Access"/>
    <s v="Full Time Employee"/>
    <s v="Technology"/>
    <s v="Information Security Architect"/>
    <s v="14 year(s), 3 month(s), 12 day(s)"/>
    <s v="50 - 59"/>
    <s v="Female"/>
    <s v="White (South Africa)"/>
  </r>
  <r>
    <s v="3795373"/>
    <x v="329"/>
    <x v="0"/>
    <x v="0"/>
    <s v="South Africa"/>
    <s v="FNB"/>
    <s v="FNB Commercial Chief Data and Analytics (Ryan Prozesky)"/>
    <s v="34300003334 FNB Commercial Analytics Insights and Research"/>
    <s v="Full Time Employee"/>
    <s v="Data and Analytics"/>
    <s v="Data Science Head"/>
    <s v="14 year(s), 0 month(s), 18 day(s)"/>
    <s v="30 - 39"/>
    <s v="Male"/>
    <s v="Indian (South Africa)"/>
  </r>
  <r>
    <s v="3795446"/>
    <x v="330"/>
    <x v="0"/>
    <x v="16"/>
    <s v="South Africa"/>
    <s v="FirstRand Corporate Centre"/>
    <s v="FCC Risk Management (Lindy Riphagen)"/>
    <s v="78200000FDD FCC Risk Management"/>
    <s v="Full Time Employee"/>
    <s v="Capital Markets and Invest"/>
    <s v="Risk Production and Modelling Head"/>
    <s v="14 year(s), 0 month(s), 18 day(s)"/>
    <s v="30 - 39"/>
    <s v="Male"/>
    <s v="White (South Africa)"/>
  </r>
  <r>
    <s v="3795721"/>
    <x v="331"/>
    <x v="0"/>
    <x v="0"/>
    <s v="South Africa"/>
    <s v="FNB"/>
    <s v="FNB Retail Judgemental Credit (Joshni Narotam)"/>
    <s v="85500005752 RJC Inland"/>
    <s v="Full Time Employee"/>
    <s v="Credit"/>
    <s v="Structured Credit Specialist."/>
    <s v="9 year(s), 0 month(s), 19 day(s)"/>
    <s v="30 - 39"/>
    <s v="Female"/>
    <s v="African (South Africa)"/>
  </r>
  <r>
    <s v="3795950"/>
    <x v="332"/>
    <x v="0"/>
    <x v="0"/>
    <s v="South Africa"/>
    <s v="FNB"/>
    <s v="FNB International SA (Fazlan Khan)"/>
    <s v="83200003325 FNB International SA Alternative Channels"/>
    <s v="Full Time Employee"/>
    <s v="Process, Operations and Administration"/>
    <s v="Business Solutions Head"/>
    <s v="14 year(s), 0 month(s), 18 day(s)"/>
    <s v="30 - 39"/>
    <s v="Female"/>
    <s v="Indian (South Africa)"/>
  </r>
  <r>
    <s v="3797155"/>
    <x v="333"/>
    <x v="0"/>
    <x v="0"/>
    <s v="South Africa"/>
    <s v="FNB"/>
    <s v="HC and FNB EnTech Leads (Sivy Veloo)"/>
    <s v="86000001986 FNB HC Operations Technology"/>
    <s v="Full Time Employee"/>
    <s v="Technology"/>
    <s v="Product Owner"/>
    <s v="9 year(s), 3 month(s), 2 day(s)"/>
    <s v="40 - 49"/>
    <s v="Female"/>
    <s v="Indian (South Africa)"/>
  </r>
  <r>
    <s v="3799379"/>
    <x v="334"/>
    <x v="0"/>
    <x v="0"/>
    <s v="South Africa"/>
    <s v="FNB"/>
    <s v="FNB iCustomer (Sajiv Bhikha)"/>
    <s v="39400005972 FNB iCustomer Customer Data Management"/>
    <s v="Full Time Employee"/>
    <s v="Data and Analytics"/>
    <s v="Data Privacy Officer"/>
    <s v="13 year(s), 0 month(s), 20 day(s)"/>
    <s v="30 - 39"/>
    <s v="Male"/>
    <s v="African (South Africa)"/>
  </r>
  <r>
    <s v="3803643"/>
    <x v="335"/>
    <x v="0"/>
    <x v="0"/>
    <s v="South Africa"/>
    <s v="FNB"/>
    <s v="FNB Points of Presence (Bridgette Mogatla)"/>
    <s v="771036100 FNB POP Branch Delivery Sabie"/>
    <s v="Full Time Employee"/>
    <s v="Process, Operations and Administration"/>
    <s v="Branch Controller"/>
    <s v="10 year(s), 11 month(s), 2 day(s)"/>
    <s v="40 - 49"/>
    <s v="Male"/>
    <s v="African (South Africa)"/>
  </r>
  <r>
    <s v="3803821"/>
    <x v="336"/>
    <x v="0"/>
    <x v="0"/>
    <s v="South Africa"/>
    <s v="FNB"/>
    <s v="FNB Points of Presence (Kobus Steenkamp)"/>
    <s v="771028000 FNB POP Branch Delivery Ladybrand"/>
    <s v="Full Time Employee"/>
    <s v="Sales and Client Services"/>
    <s v="Associate"/>
    <s v="14 year(s), 3 month(s), 10 day(s)"/>
    <s v="40 - 49"/>
    <s v="Male"/>
    <s v="African (South Africa)"/>
  </r>
  <r>
    <s v="3818748"/>
    <x v="337"/>
    <x v="0"/>
    <x v="0"/>
    <s v="South Africa"/>
    <s v="FirstRand Corporate Centre"/>
    <s v="FNB Chief Finance Office iFinance (Parmasivan Pillay)"/>
    <s v="20200011041 FRCC Group Project Management Office"/>
    <s v="Full Time Employee"/>
    <s v="Process, Operations and Administration"/>
    <s v="Capability Lead"/>
    <s v="14 year(s), 0 month(s), 2 day(s)"/>
    <s v="40 - 49"/>
    <s v="Male"/>
    <s v="African (South Africa)"/>
  </r>
  <r>
    <s v="3819450"/>
    <x v="338"/>
    <x v="0"/>
    <x v="0"/>
    <s v="South Africa"/>
    <s v="FNB"/>
    <s v="CDO Infrastructure and Security Services (Carlien Scholtz-Snyman)"/>
    <s v="20700007237 CDO Infrastructure and Security Services End User Service Desk"/>
    <s v="Full Time Employee"/>
    <s v="Technology"/>
    <s v="IT Help Desk Manager"/>
    <s v="14 year(s), 1 month(s), 2 day(s)"/>
    <s v="30 - 39"/>
    <s v="Male"/>
    <s v="Indian (South Africa)"/>
  </r>
  <r>
    <s v="3821544"/>
    <x v="339"/>
    <x v="0"/>
    <x v="4"/>
    <s v="South Africa"/>
    <s v="FNB"/>
    <s v="FNB Core Banking Platform (Philip Theron)"/>
    <s v="59600003267 FNB Personal and Private IT CRSA Development"/>
    <s v="Full Time Employee"/>
    <s v="Technology"/>
    <s v="Application Development Manager"/>
    <s v="13 year(s), 1 month(s), 2 day(s)"/>
    <s v="30 - 39"/>
    <s v="Female"/>
    <s v="African (South Africa)"/>
  </r>
  <r>
    <s v="3828700"/>
    <x v="340"/>
    <x v="0"/>
    <x v="0"/>
    <s v="South Africa"/>
    <s v="FNB"/>
    <s v="Segment Chief Information Officer (Allen Pillay)"/>
    <s v="59600005369 FNB Personal and Private IT Exco"/>
    <s v="Full Time Employee"/>
    <s v="Technology"/>
    <s v="Chief Information Officer"/>
    <s v="13 year(s), 9 month(s), 1 day(s)"/>
    <s v="40 - 49"/>
    <s v="Male"/>
    <s v="Indian (South Africa)"/>
  </r>
  <r>
    <s v="3828921"/>
    <x v="341"/>
    <x v="0"/>
    <x v="0"/>
    <s v="South Africa"/>
    <s v="FNB"/>
    <s v="FNB Credit Card (Swinton Scheepers)"/>
    <s v="20300008297 FNB Credit Card Fleet"/>
    <s v="Full Time Employee"/>
    <s v="Process, Operations and Administration"/>
    <s v="Team Leader"/>
    <s v="12 year(s), 10 month(s), 2 day(s)"/>
    <s v="30 - 39"/>
    <s v="Female"/>
    <s v="Coloured (South Africa)"/>
  </r>
  <r>
    <s v="3829073"/>
    <x v="342"/>
    <x v="0"/>
    <x v="0"/>
    <s v="South Africa"/>
    <s v="FNB"/>
    <s v="FNB Core Banking Platform (Krishen Rangappa (Inherited))"/>
    <s v="59600010101 FNB Personal and Private IT WB Service Management"/>
    <s v="Full Time Employee"/>
    <s v="Technology"/>
    <s v="IT Service Operations Manager"/>
    <s v="13 year(s), 8 month(s), 2 day(s)"/>
    <s v="40 - 49"/>
    <s v="Male"/>
    <s v="Indian (South Africa)"/>
  </r>
  <r>
    <s v="3830810"/>
    <x v="343"/>
    <x v="0"/>
    <x v="0"/>
    <s v="South Africa"/>
    <s v="FNB"/>
    <s v="FNB HSL (Vasna Ramdass)"/>
    <s v="38500008977 HSL. Product Insurance and CVM"/>
    <s v="Full Time Employee"/>
    <s v="Process, Operations and Administration"/>
    <s v="Document Specialist"/>
    <s v="13 year(s), 0 month(s), 19 day(s)"/>
    <s v="30 - 39"/>
    <s v="Female"/>
    <s v="Indian (South Africa)"/>
  </r>
  <r>
    <s v="3834654"/>
    <x v="344"/>
    <x v="0"/>
    <x v="0"/>
    <s v="South Africa"/>
    <s v="FNB"/>
    <s v="FNB Cash Investments (Komal Dhoolab)"/>
    <s v="65100006551 FNB Premium Cash Investments Liabilities"/>
    <s v="Full Time Employee"/>
    <s v="Capital Markets and Invest"/>
    <s v="Investment Specialist"/>
    <s v="13 year(s), 10 month(s), 2 day(s)"/>
    <s v="40 - 49"/>
    <s v="Female"/>
    <s v="African (South Africa)"/>
  </r>
  <r>
    <s v="3837432"/>
    <x v="345"/>
    <x v="0"/>
    <x v="0"/>
    <s v="South Africa"/>
    <s v="FNB"/>
    <s v="FNB Points of Presence (Monique Straus)"/>
    <s v="771035100 FNB POP Branch Delivery Mokopane"/>
    <s v="Full Time Employee"/>
    <s v="Sales and Client Services"/>
    <s v="Universal Advisor Lead"/>
    <s v="13 year(s), 7 month(s), 2 day(s)"/>
    <s v="40 - 49"/>
    <s v="Female"/>
    <s v="African (South Africa)"/>
  </r>
  <r>
    <s v="3837521"/>
    <x v="346"/>
    <x v="0"/>
    <x v="8"/>
    <s v="South Africa"/>
    <s v="FNB"/>
    <s v="FNB Points of Presence (Zach Leburu)"/>
    <s v="7710616700 FNB POP IT Application Development Branch"/>
    <s v="Full Time Employee"/>
    <s v="Technology"/>
    <s v="Technical Team Leader"/>
    <s v="3 year(s), 10 month(s), 2 day(s)"/>
    <s v="30 - 39"/>
    <s v="Male"/>
    <s v="African (South Africa)"/>
  </r>
  <r>
    <s v="3837742"/>
    <x v="347"/>
    <x v="0"/>
    <x v="18"/>
    <s v="South Africa"/>
    <s v="FNB"/>
    <s v="FNB Points of Presence (Nkululeko Khanyile)"/>
    <s v="38100009803 FNB POP SSD Limpopo and Mpumalanga"/>
    <s v="Full Time Employee"/>
    <s v="Process, Operations and Administration"/>
    <s v="Business Support Specialist"/>
    <s v="13 year(s), 7 month(s), 11 day(s)"/>
    <s v="30 - 39"/>
    <s v="Male"/>
    <s v="African (South Africa)"/>
  </r>
  <r>
    <s v="3839559"/>
    <x v="348"/>
    <x v="0"/>
    <x v="0"/>
    <s v="South Africa"/>
    <s v="FNB"/>
    <s v="FNB Personal Exco (Maryke Venter)"/>
    <s v="97200005382 PSAS Stratco"/>
    <s v="Full Time Employee"/>
    <s v="Process, Operations and Administration"/>
    <s v="Sub Capability Lead"/>
    <s v="13 year(s), 10 month(s), 2 day(s)"/>
    <s v="40 - 49"/>
    <s v="Female"/>
    <s v="White (South Africa)"/>
  </r>
  <r>
    <s v="3844994"/>
    <x v="349"/>
    <x v="0"/>
    <x v="0"/>
    <s v="South Africa"/>
    <s v="FNB"/>
    <s v="FNB HSL (Mirriam Pitso)"/>
    <s v="21200002641 HSL Call Centre"/>
    <s v="Full Time Employee"/>
    <s v="Sales and Client Services"/>
    <s v="Call Centre Agent"/>
    <s v="12 year(s), 4 month(s), 2 day(s)"/>
    <s v="30 - 39"/>
    <s v="Female"/>
    <s v="African (South Africa)"/>
  </r>
  <r>
    <s v="3847764"/>
    <x v="350"/>
    <x v="0"/>
    <x v="6"/>
    <s v="South Africa"/>
    <s v="FNB"/>
    <s v="FNB Customer and Sales Interactions (Laura Irving)"/>
    <s v="99100009981 FNB Customer and Sales Interactions Enablement"/>
    <s v="Full Time Employee"/>
    <s v="Process, Operations and Administration"/>
    <s v="Solution Strategist"/>
    <s v="13 year(s), 0 month(s), 2 day(s)"/>
    <s v="30 - 39"/>
    <s v="Male"/>
    <s v="Coloured (South Africa)"/>
  </r>
  <r>
    <s v="3857506"/>
    <x v="351"/>
    <x v="0"/>
    <x v="0"/>
    <s v="South Africa"/>
    <s v="FirstRand Corporate Centre"/>
    <s v="CDO Banking FinXact (Shalini Jeewan)"/>
    <s v="20200002266 CDO Banking Finxact"/>
    <s v="Full Time Employee"/>
    <s v="Technology"/>
    <s v="Software Architect"/>
    <s v="10 year(s), 6 month(s), 2 day(s)"/>
    <s v="40 - 49"/>
    <s v="Male"/>
    <s v="Indian (South Africa)"/>
  </r>
  <r>
    <s v="3862119"/>
    <x v="352"/>
    <x v="0"/>
    <x v="0"/>
    <s v="South Africa"/>
    <s v="FNB"/>
    <s v="FNB Points of Presence (Beryl Gilbert)"/>
    <s v="771036900 FNB POP Branch Delivery Somerset East"/>
    <s v="OBR With Fixed Pay"/>
    <s v="Sales and Client Services"/>
    <s v="Branch Advisor FAIS"/>
    <s v="13 year(s), 5 month(s), 2 day(s)"/>
    <s v="30 - 39"/>
    <s v="Female"/>
    <s v="African (South Africa)"/>
  </r>
  <r>
    <s v="3862348"/>
    <x v="353"/>
    <x v="0"/>
    <x v="0"/>
    <s v="South Africa"/>
    <s v="FNB"/>
    <s v="FNB Commercial Sales Gauteng South and Central (Morakana Nelwamondo)"/>
    <s v="34200008659 FNB Commercial Sales Gauteng West 60 to 150M"/>
    <s v="Full Time Employee"/>
    <s v="Sales and Client Services"/>
    <s v="Client Portfolio Executive"/>
    <s v="13 year(s), 4 month(s), 29 day(s)"/>
    <s v="30 - 39"/>
    <s v="Female"/>
    <s v="African (South Africa)"/>
  </r>
  <r>
    <s v="3868664"/>
    <x v="354"/>
    <x v="0"/>
    <x v="24"/>
    <s v="South Africa"/>
    <s v="FNB"/>
    <s v="FNB Personal Exco (Lee Mhlongo)"/>
    <s v="34100003373 PB&amp;A BI &amp; Data Analytics"/>
    <s v="Full Time Employee"/>
    <s v="Data and Analytics"/>
    <s v="Business Intelligence Head"/>
    <s v="8 year(s), 11 month(s), 2 day(s)"/>
    <s v="30 - 39"/>
    <s v="Male"/>
    <s v="African (South Africa)"/>
  </r>
  <r>
    <s v="3878414"/>
    <x v="355"/>
    <x v="0"/>
    <x v="9"/>
    <s v="South Africa"/>
    <s v="FNB"/>
    <s v="FNB International SA (Trevor Kunda)"/>
    <s v="83200005732 FNB International SA Human Resources"/>
    <s v="Full Time Employee"/>
    <s v="Human Capital"/>
    <s v="Segment Lead Org Development, Design and Transformation"/>
    <s v="13 year(s), 6 month(s), 2 day(s)"/>
    <s v="40 - 49"/>
    <s v="Female"/>
    <s v="White (South Africa)"/>
  </r>
  <r>
    <s v="3878546"/>
    <x v="356"/>
    <x v="0"/>
    <x v="0"/>
    <s v="South Africa"/>
    <s v="FNB"/>
    <s v="FNB Commercial TxP (Sandy Robertson)"/>
    <s v="39800003347 FNB Commercial TxP Operations"/>
    <s v="Full Time Employee"/>
    <s v="Process, Operations and Administration"/>
    <s v="Business Process Manager"/>
    <s v="13 year(s), 1 month(s), 2 day(s)"/>
    <s v="30 - 39"/>
    <s v="Female"/>
    <s v="Coloured (South Africa)"/>
  </r>
  <r>
    <s v="3878732"/>
    <x v="357"/>
    <x v="0"/>
    <x v="0"/>
    <s v="South Africa"/>
    <s v="FNB"/>
    <s v="FNB Commercial Merchant Services (Vishnu Naidu)"/>
    <s v="22800008613 FNB Commercial Merchant Services Sales and Marketing"/>
    <s v="Full Time Employee"/>
    <s v="Sales and Client Services"/>
    <s v="Relationship Manager"/>
    <s v="12 year(s), 11 month(s), 21 day(s)"/>
    <s v="30 - 39"/>
    <s v="Female"/>
    <s v="African (South Africa)"/>
  </r>
  <r>
    <s v="3902161"/>
    <x v="358"/>
    <x v="0"/>
    <x v="0"/>
    <s v="South Africa"/>
    <s v="FNB"/>
    <s v="FNB Wealth and Investments (Malebo Selepe)"/>
    <s v="46700006629 FNB WI IT Dev"/>
    <s v="Full Time Employee"/>
    <s v="Technology"/>
    <s v="Applications Developer"/>
    <s v="13 year(s), 6 month(s), 4 day(s)"/>
    <s v="50 - 59"/>
    <s v="Female"/>
    <s v="White (South Africa)"/>
  </r>
  <r>
    <s v="3905004"/>
    <x v="359"/>
    <x v="0"/>
    <x v="0"/>
    <s v="South Africa"/>
    <s v="FNB"/>
    <s v="FNB Public Relations Office (Sipho Silinda)"/>
    <s v="84100005287 FNB Commercial Public Sector EXCO"/>
    <s v="Full Time Employee"/>
    <s v="Sales and Client Services"/>
    <s v="Sales Channels Head"/>
    <s v="12 year(s), 5 month(s), 2 day(s)"/>
    <s v="30 - 39"/>
    <s v="Female"/>
    <s v="African (South Africa)"/>
  </r>
  <r>
    <s v="3949427"/>
    <x v="360"/>
    <x v="0"/>
    <x v="0"/>
    <s v="South Africa"/>
    <s v="FNB"/>
    <s v="FNB Consumer Education (Moshibudi Sebola)"/>
    <s v="85500007209 FNB Consumer Education"/>
    <s v="Full Time Employee"/>
    <s v="Marketing and Communication"/>
    <s v="Consumer Educator"/>
    <s v="13 year(s), 3 month(s), 2 day(s)"/>
    <s v="30 - 39"/>
    <s v="Male"/>
    <s v="African (South Africa)"/>
  </r>
  <r>
    <s v="3954978"/>
    <x v="361"/>
    <x v="0"/>
    <x v="0"/>
    <s v="South Africa"/>
    <s v="FNB"/>
    <s v="FNB Personal Segment Advisory and Suites (Imraan Bashir)"/>
    <s v="97200009188 PSAS Channel"/>
    <s v="Full Time Employee"/>
    <s v="Sales and Client Services"/>
    <s v="Growth Specialist"/>
    <s v="7 year(s), 8 month(s), 27 day(s)"/>
    <s v="30 - 39"/>
    <s v="Female"/>
    <s v="African (South Africa)"/>
  </r>
  <r>
    <s v="3955125"/>
    <x v="362"/>
    <x v="0"/>
    <x v="15"/>
    <s v="South Africa"/>
    <s v="FNB"/>
    <s v="CDO Infrastructure and Security Services (Maryke Bester)"/>
    <s v="20700002565 CDO Infrastructure and Security Services Containers"/>
    <s v="Full Time Employee"/>
    <s v="Technology"/>
    <s v="Systems Architect"/>
    <s v="13 year(s), 1 month(s), 2 day(s)"/>
    <s v="40 - 49"/>
    <s v="Male"/>
    <s v="Indian (South Africa)"/>
  </r>
  <r>
    <s v="3974510"/>
    <x v="363"/>
    <x v="0"/>
    <x v="0"/>
    <s v="South Africa"/>
    <s v="FNB"/>
    <s v="FNB Points of Presence (Neill C. Van Wyk)"/>
    <s v="771018100 FNB POP Branch Delivery Brits"/>
    <s v="Full Time Employee"/>
    <s v="Sales and Client Services"/>
    <s v="Local Market Manager"/>
    <s v="13 year(s), 2 month(s), 8 day(s)"/>
    <s v="30 - 39"/>
    <s v="Female"/>
    <s v="African (South Africa)"/>
  </r>
  <r>
    <s v="4501241"/>
    <x v="364"/>
    <x v="0"/>
    <x v="11"/>
    <s v="South Africa"/>
    <s v="RMB"/>
    <s v="RMBSA Global Markets Technology FEDS &amp; Finesse (Francois Kritzinger)"/>
    <s v="77800000FXC RMBSA Global Markets Technology Customer Dealing Post Trade"/>
    <s v="Full Time Employee"/>
    <s v="Technology"/>
    <s v="IT Business Analyst"/>
    <s v="37 year(s), 4 month(s), 6 day(s)"/>
    <s v="50 - 59"/>
    <s v="Female"/>
    <s v="Indian (South Africa)"/>
  </r>
  <r>
    <s v="4506367"/>
    <x v="365"/>
    <x v="0"/>
    <x v="10"/>
    <s v="South Africa"/>
    <s v="RMB"/>
    <s v="RMBSA Global Markets Credit Risk (Keith Flemmer)"/>
    <s v="77800000BCR RMBSA Global Markets Credit Risk"/>
    <s v="Full Time Employee"/>
    <s v="Credit"/>
    <s v="Credit Head"/>
    <s v="25 year(s), 6 month(s), 2 day(s)"/>
    <s v="50 - 59"/>
    <s v="Male"/>
    <s v="White (South Africa)"/>
  </r>
  <r>
    <s v="4516850"/>
    <x v="366"/>
    <x v="0"/>
    <x v="10"/>
    <s v="South Africa"/>
    <s v="RMB"/>
    <s v="RMBSA Investment Banking Division (IBD) (Ashwin Lakhan)"/>
    <s v="77800000EXC RMBSA IBD Executives"/>
    <s v="Full Time Employee"/>
    <s v="Legal, Risk and Compliance"/>
    <s v="Chief Risk Officer Sponsor and IBD"/>
    <s v="28 year(s), 4 month(s), 2 day(s)"/>
    <s v="50 - 59"/>
    <s v="Male"/>
    <s v="White (South Africa)"/>
  </r>
  <r>
    <s v="4518470"/>
    <x v="367"/>
    <x v="0"/>
    <x v="10"/>
    <s v="South Africa"/>
    <s v="RMB"/>
    <s v="RMBSA LRC Credit Risk Management (Thabani Zungu)"/>
    <s v="77800000CRD RMBSA Credit Risk South Africa Team"/>
    <s v="Full Time Employee"/>
    <s v="Credit"/>
    <s v="Credit Executive Sponsor"/>
    <s v="25 year(s), 8 month(s), 2 day(s)"/>
    <s v="60 - 64"/>
    <s v="Male"/>
    <s v="White (South Africa)"/>
  </r>
  <r>
    <s v="4519523"/>
    <x v="368"/>
    <x v="0"/>
    <x v="10"/>
    <s v="South Africa"/>
    <s v="RMB"/>
    <s v="RMBSA LRC Credit Risk Management (Thabani Zungu)"/>
    <s v="77800000SFC RMBSA IBD Structured Credit Analysts"/>
    <s v="Full Time Employee"/>
    <s v="Credit"/>
    <s v="Credit Executive Sponsor"/>
    <s v="24 year(s), 2 month(s), 2 day(s)"/>
    <s v="50 - 59"/>
    <s v="Male"/>
    <s v="White (South Africa)"/>
  </r>
  <r>
    <s v="4519620"/>
    <x v="369"/>
    <x v="0"/>
    <x v="25"/>
    <s v="South Africa"/>
    <s v="RMB"/>
    <s v="RMBSA Global Markets Technology eTrading (Pratish Rajcoomar)"/>
    <s v="77800000RPG RMBSA Global Markets Technology eTrading Tech FI Commods MM"/>
    <s v="Full Time Employee"/>
    <s v="Technology"/>
    <s v="Technology Platform Lead"/>
    <s v="23 year(s), 10 month(s), 2 day(s)"/>
    <s v="40 - 49"/>
    <s v="Female"/>
    <s v="Indian (South Africa)"/>
  </r>
  <r>
    <s v="4520378"/>
    <x v="370"/>
    <x v="0"/>
    <x v="10"/>
    <s v="South Africa"/>
    <s v="RMB"/>
    <s v="RMBSA LRC Credit Risk Management (Thabani Zungu)"/>
    <s v="77800000SFC RMBSA IBD Structured Credit Analysts"/>
    <s v="Full Time Employee"/>
    <s v="Credit"/>
    <s v="Credit Executive Sponsor"/>
    <s v="22 year(s), 10 month(s), 2 day(s)"/>
    <s v="50 - 59"/>
    <s v="Male"/>
    <s v="White (South Africa)"/>
  </r>
  <r>
    <s v="4521250"/>
    <x v="371"/>
    <x v="0"/>
    <x v="10"/>
    <s v="South Africa"/>
    <s v="RMB"/>
    <s v="RMBSA LRC Credit Risk Management (Thabani Zungu)"/>
    <s v="77800000SFC RMBSA IBD Structured Credit Analysts"/>
    <s v="Full Time Employee"/>
    <s v="Credit"/>
    <s v="Credit Executive Sponsor"/>
    <s v="26 year(s), 2 month(s), 26 day(s)"/>
    <s v="50 - 59"/>
    <s v="Male"/>
    <s v="White (South Africa)"/>
  </r>
  <r>
    <s v="4522990"/>
    <x v="372"/>
    <x v="0"/>
    <x v="10"/>
    <s v="South Africa"/>
    <s v="RMB"/>
    <s v="RMBSA LRC Credit Risk Management South Africa (Pete Cottrell)"/>
    <s v="77800000CRD RMBSA Credit Risk South Africa Team"/>
    <s v="Full Time Employee"/>
    <s v="Credit"/>
    <s v="Credit Executive"/>
    <s v="26 year(s), 5 month(s), 16 day(s)"/>
    <s v="50 - 59"/>
    <s v="Male"/>
    <s v="White (South Africa)"/>
  </r>
  <r>
    <s v="4524098"/>
    <x v="373"/>
    <x v="0"/>
    <x v="18"/>
    <s v="South Africa"/>
    <s v="FNB"/>
    <s v="FNB eBucks (Jesica Ramnarain)"/>
    <s v="47100009193 FNB Enabling Learning"/>
    <s v="Full Time Employee"/>
    <s v="Human Capital"/>
    <s v="Learning Coordinator"/>
    <s v="20 year(s), 5 month(s), 16 day(s)"/>
    <s v="40 - 49"/>
    <s v="Female"/>
    <s v="African (South Africa)"/>
  </r>
  <r>
    <s v="4524136"/>
    <x v="374"/>
    <x v="0"/>
    <x v="10"/>
    <s v="South Africa"/>
    <s v="RMB"/>
    <s v="RMBSA LRC Credit Risk Management South Africa (Pete Cottrell)"/>
    <s v="77800000CRD RMBSA Credit Risk South Africa Team"/>
    <s v="Full Time Employee"/>
    <s v="Credit"/>
    <s v="Credit Head"/>
    <s v="20 year(s), 6 month(s), 2 day(s)"/>
    <s v="40 - 49"/>
    <s v="Male"/>
    <s v="White (South Africa)"/>
  </r>
  <r>
    <s v="4526058"/>
    <x v="375"/>
    <x v="0"/>
    <x v="10"/>
    <s v="South Africa"/>
    <s v="RMB"/>
    <s v="RMBSA LRC Credit Risk Management (Thabani Zungu)"/>
    <s v="77800000CRD RMBSA Credit Risk South Africa Team"/>
    <s v="Full Time Employee"/>
    <s v="Credit"/>
    <s v="Credit Executive"/>
    <s v="19 year(s), 10 month(s), 2 day(s)"/>
    <s v="50 - 59"/>
    <s v="Male"/>
    <s v="White (South Africa)"/>
  </r>
  <r>
    <s v="4526651"/>
    <x v="376"/>
    <x v="0"/>
    <x v="9"/>
    <s v="South Africa"/>
    <s v="RMB"/>
    <s v="RMBSA Financial Resources Management (FRM) (Rob Mcintyre)"/>
    <s v="77800000PCO RMBSA Non-Financial Risk Management Team"/>
    <s v="Full Time Employee"/>
    <s v="Legal, Risk and Compliance"/>
    <s v="Non-Financial Risk Management Head"/>
    <s v="19 year(s), 9 month(s), 2 day(s)"/>
    <s v="40 - 49"/>
    <s v="Female"/>
    <s v="White (South Africa)"/>
  </r>
  <r>
    <s v="4527658"/>
    <x v="377"/>
    <x v="0"/>
    <x v="8"/>
    <s v="South Africa"/>
    <s v="FNB"/>
    <s v="FNB Commercial Structured Finance Solutions (Charl Jansen Van Rensburg)"/>
    <s v="33900009241 FNB Commercial Leveraged Finance Gauteng East"/>
    <s v="Full Time Employee"/>
    <s v="Sales and Client Services"/>
    <s v="Deal Maker Leverage Finance"/>
    <s v="7 year(s), 9 month(s), 2 day(s)"/>
    <s v="40 - 49"/>
    <s v="Male"/>
    <s v="White (South Africa)"/>
  </r>
  <r>
    <s v="4527798"/>
    <x v="378"/>
    <x v="0"/>
    <x v="20"/>
    <s v="South Africa"/>
    <s v="RMB"/>
    <s v="RMBSA LRC Credit Risk Management (Noah Ngcobo)"/>
    <s v="77800000GCP RMBSA Broader Africa Credit Risk Management Team"/>
    <s v="Full Time Employee"/>
    <s v="Credit"/>
    <s v="Credit Origination Head Broader Africa"/>
    <s v="11 year(s), 7 month(s), 2 day(s)"/>
    <s v="40 - 49"/>
    <s v="Male"/>
    <s v="White (South Africa)"/>
  </r>
  <r>
    <s v="4529103"/>
    <x v="379"/>
    <x v="0"/>
    <x v="0"/>
    <s v="South Africa"/>
    <s v="FirstRand Corporate Centre"/>
    <s v="Group Treasury ALM Operations (Paul Geier)"/>
    <s v="78200000FRK Risk Transformation and Clearing Unit"/>
    <s v="Full Time Employee"/>
    <s v="Legal, Risk and Compliance"/>
    <s v="ALM Reporting Operations Head"/>
    <s v="13 year(s), 6 month(s), 16 day(s)"/>
    <s v="50 - 59"/>
    <s v="Male"/>
    <s v="African (South Africa)"/>
  </r>
  <r>
    <s v="4529537"/>
    <x v="380"/>
    <x v="0"/>
    <x v="4"/>
    <s v="South Africa"/>
    <s v="RMB"/>
    <s v="RMBSA LRC Credit Risk Management (Thabani Zungu)"/>
    <s v="77800000CRD RMBSA Credit Risk South Africa Team"/>
    <s v="Full Time Employee"/>
    <s v="Credit"/>
    <s v="Credit Executive"/>
    <s v="19 year(s), 0 month(s), 26 day(s)"/>
    <s v="50 - 59"/>
    <s v="Male"/>
    <s v="White (South Africa)"/>
  </r>
  <r>
    <s v="4532031"/>
    <x v="381"/>
    <x v="0"/>
    <x v="0"/>
    <s v="South Africa"/>
    <s v="RMB"/>
    <s v="RMBSA Global Markets Structured Solutions and Trading Enablement (Victor Mofokeng)"/>
    <s v="77800000BNR RMBSA Global Markets Cross Asset and Financing Trading Book Financing"/>
    <s v="Full Time Employee"/>
    <s v="Capital Markets and Invest"/>
    <s v="Trading Desk Head"/>
    <s v="18 year(s), 7 month(s), 2 day(s)"/>
    <s v="40 - 49"/>
    <s v="Female"/>
    <s v="African (South Africa)"/>
  </r>
  <r>
    <s v="4533151"/>
    <x v="382"/>
    <x v="0"/>
    <x v="10"/>
    <s v="South Africa"/>
    <s v="RMB"/>
    <s v="RMBSA LRC Credit Risk Management (Thabani Zungu)"/>
    <s v="77800000CRD RMBSA Credit Risk South Africa Team"/>
    <s v="Full Time Employee"/>
    <s v="Credit"/>
    <s v="Workout and Debt Restructuring Specialist"/>
    <s v="18 year(s), 4 month(s), 2 day(s)"/>
    <s v="50 - 59"/>
    <s v="Male"/>
    <s v="White (South Africa)"/>
  </r>
  <r>
    <s v="4535006"/>
    <x v="383"/>
    <x v="0"/>
    <x v="14"/>
    <s v="South Africa"/>
    <s v="RMB"/>
    <s v="RMBSA Enablement Segment Technology (Adrian Reid)"/>
    <s v="77800000TFC TFC-RMB IT Credit"/>
    <s v="Full Time Employee"/>
    <s v="Technology"/>
    <s v="Information Technology Head"/>
    <s v="18 year(s), 0 month(s), 19 day(s)"/>
    <s v="40 - 49"/>
    <s v="Female"/>
    <s v="Indian (South Africa)"/>
  </r>
  <r>
    <s v="4535286"/>
    <x v="384"/>
    <x v="0"/>
    <x v="0"/>
    <s v="South Africa"/>
    <s v="FNB"/>
    <s v="FNB Commercial Analytics Insights Data (Patrick Motshweni)"/>
    <s v="34300005518 FNB Commercial Data Office"/>
    <s v="Full Time Employee"/>
    <s v="Data and Analytics"/>
    <s v="Information Architect Head"/>
    <s v="15 year(s), 3 month(s), 2 day(s)"/>
    <s v="50 - 59"/>
    <s v="Female"/>
    <s v="White (South Africa)"/>
  </r>
  <r>
    <s v="4603737"/>
    <x v="385"/>
    <x v="0"/>
    <x v="0"/>
    <s v="South Africa"/>
    <s v="FNB"/>
    <s v="FNB Commercial Sales Kwa-Zulu Natal (Asheen Magjee)"/>
    <s v="34200006953 FNB Commercial Sales Shared Services KwaZulu Natal"/>
    <s v="Full Time Employee"/>
    <s v="Sales and Client Services"/>
    <s v="Regional Head KZN"/>
    <s v="22 year(s), 10 month(s), 2 day(s)"/>
    <s v="60 - 64"/>
    <s v="Male"/>
    <s v="White (South Africa)"/>
  </r>
  <r>
    <s v="4604687"/>
    <x v="386"/>
    <x v="0"/>
    <x v="0"/>
    <s v="South Africa"/>
    <s v="FNB"/>
    <s v="RMB Private Bank (Nashvir Angadh)"/>
    <s v="34100004505 RMBPB KZN"/>
    <s v="OBR With Fixed Pay"/>
    <s v="Sales and Client Services"/>
    <s v="Lending Specialist"/>
    <s v="14 year(s), 3 month(s), 2 day(s)"/>
    <s v="50 - 59"/>
    <s v="Male"/>
    <s v="Indian (South Africa)"/>
  </r>
  <r>
    <s v="4604873"/>
    <x v="387"/>
    <x v="0"/>
    <x v="0"/>
    <s v="South Africa"/>
    <s v="FNB"/>
    <s v="FNB Private Segment (Philani Phakamani Potwana)"/>
    <s v="41200007842 FNB Private Core Banking Exco"/>
    <s v="Full Time Employee"/>
    <s v="Process, Operations and Administration"/>
    <s v="Pillar Market Conduct Head"/>
    <s v="20 year(s), 5 month(s), 19 day(s)"/>
    <s v="40 - 49"/>
    <s v="Female"/>
    <s v="Coloured (South Africa)"/>
  </r>
  <r>
    <s v="4607627"/>
    <x v="388"/>
    <x v="0"/>
    <x v="0"/>
    <s v="South Africa"/>
    <s v="FNB"/>
    <s v="FNB Retail Legal Risk and Compliance (Wynand Smit)"/>
    <s v="85500008236 FNB Retail Legal Risk and Compliance"/>
    <s v="Full Time Employee"/>
    <s v="Legal, Risk and Compliance"/>
    <s v="Legal Head"/>
    <s v="21 year(s), 5 month(s), 2 day(s)"/>
    <s v="40 - 49"/>
    <s v="Female"/>
    <s v="Indian (South Africa)"/>
  </r>
  <r>
    <s v="4610016"/>
    <x v="389"/>
    <x v="0"/>
    <x v="0"/>
    <s v="South Africa"/>
    <s v="FNB"/>
    <s v="FNB Private Segment (Philani Phakamani Potwana)"/>
    <s v="41200007842 FNB Private Core Banking Exco"/>
    <s v="Full Time Employee"/>
    <s v="Product"/>
    <s v="Product Head"/>
    <s v="18 year(s), 11 month(s), 2 day(s)"/>
    <s v="40 - 49"/>
    <s v="Male"/>
    <s v="Coloured (South Africa)"/>
  </r>
  <r>
    <s v="4612418"/>
    <x v="390"/>
    <x v="0"/>
    <x v="0"/>
    <s v="South Africa"/>
    <s v="FNB"/>
    <s v="RMB Private Bank (Malcolm Horn)"/>
    <s v="34100003205 RMBPB JHB Affluent"/>
    <s v="OBR With Fixed Pay"/>
    <s v="Sales and Client Services"/>
    <s v="Private Wealth Advisor"/>
    <s v="18 year(s), 3 month(s), 2 day(s)"/>
    <s v="30 - 39"/>
    <s v="Male"/>
    <s v="Coloured (South Africa)"/>
  </r>
  <r>
    <s v="4612590"/>
    <x v="391"/>
    <x v="0"/>
    <x v="8"/>
    <s v="South Africa"/>
    <s v="FNB"/>
    <s v="FNB Enterprise Chief Executive Office (Mike Naidoo)"/>
    <s v="34400006518 FNB Commercial EXCO"/>
    <s v="Full Time Employee"/>
    <s v="Process, Operations and Administration"/>
    <s v="Provincial Head"/>
    <s v="26 year(s), 1 month(s), 2 day(s)"/>
    <s v="50 - 59"/>
    <s v="Male"/>
    <s v="African (South Africa)"/>
  </r>
  <r>
    <s v="4612744"/>
    <x v="392"/>
    <x v="0"/>
    <x v="0"/>
    <s v="South Africa"/>
    <s v="FNB"/>
    <s v="FNB Private Chief Financial Office (Yashen Singh)"/>
    <s v="85500008554 FNB Retail IT Procurement"/>
    <s v="Full Time Employee"/>
    <s v="Process, Operations and Administration"/>
    <s v="Procurement Head"/>
    <s v="18 year(s), 2 month(s), 19 day(s)"/>
    <s v="40 - 49"/>
    <s v="Male"/>
    <s v="Indian (South Africa)"/>
  </r>
  <r>
    <s v="4613430"/>
    <x v="393"/>
    <x v="0"/>
    <x v="1"/>
    <s v="South Africa"/>
    <s v="FNB"/>
    <s v="CDO Kernel Decisioning IT (Debashree Naidoo)"/>
    <s v="79000005193 CDO Kernel Decisioning IT"/>
    <s v="Full Time Employee"/>
    <s v="Process, Operations and Administration"/>
    <s v="Business Analyst Manager"/>
    <s v="29 year(s), 3 month(s), 20 day(s)"/>
    <s v="50 - 59"/>
    <s v="Female"/>
    <s v="Indian (South Africa)"/>
  </r>
  <r>
    <s v="4615956"/>
    <x v="394"/>
    <x v="0"/>
    <x v="0"/>
    <s v="South Africa"/>
    <s v="FNB"/>
    <s v="RMB Private Bank (Malcolm Horn)"/>
    <s v="34100003205 RMBPB JHB Affluent"/>
    <s v="Full Time Employee"/>
    <s v="Sales and Client Services"/>
    <s v="Sales and Service Manager"/>
    <s v="7 year(s), 10 month(s), 19 day(s)"/>
    <s v="30 - 39"/>
    <s v="Male"/>
    <s v="Indian (South Africa)"/>
  </r>
  <r>
    <s v="4617215"/>
    <x v="395"/>
    <x v="0"/>
    <x v="0"/>
    <s v="South Africa"/>
    <s v="FNB"/>
    <s v="FNB Wealth and Investments (Wicus Potgieter (Inherited))"/>
    <s v="31400008458 FNB WI SPM Portside"/>
    <s v="Commission With Fixed Pay"/>
    <s v="Capital Markets and Invest"/>
    <s v="Investment Portfolio Manager"/>
    <s v="15 year(s), 1 month(s), 0 day(s)"/>
    <s v="40 - 49"/>
    <s v="Male"/>
    <s v="White (South Africa)"/>
  </r>
  <r>
    <s v="4617444"/>
    <x v="396"/>
    <x v="0"/>
    <x v="0"/>
    <s v="South Africa"/>
    <s v="FNB"/>
    <s v="FNB Commercial National Sales and Service (Jurgens Boshoff)"/>
    <s v="34300007707 FNB Financial Advisory Business Central"/>
    <s v="Full Time Employee"/>
    <s v="Capital Markets and Invest"/>
    <s v="Financial Advisory Channel Head"/>
    <s v="20 year(s), 6 month(s), 2 day(s)"/>
    <s v="50 - 59"/>
    <s v="Female"/>
    <s v="White (South Africa)"/>
  </r>
  <r>
    <s v="4619803"/>
    <x v="397"/>
    <x v="0"/>
    <x v="0"/>
    <s v="South Africa"/>
    <s v="FNB"/>
    <s v="FNB Private Banking and Advisory (Gary Youlley)"/>
    <s v="34100007679 PB&amp;A Durban Coastal Wealth"/>
    <s v="Full Time Employee"/>
    <s v="Sales and Client Services"/>
    <s v="Sales and Service Manager"/>
    <s v="14 year(s), 0 month(s), 19 day(s)"/>
    <s v="40 - 49"/>
    <s v="Female"/>
    <s v="Indian (South Africa)"/>
  </r>
  <r>
    <s v="4622294"/>
    <x v="398"/>
    <x v="0"/>
    <x v="0"/>
    <s v="South Africa"/>
    <s v="FNB"/>
    <s v="FNB Private Human Capital (David Khunou)"/>
    <s v="85500006597 FNB Retail Human Capital Support"/>
    <s v="Full Time Employee"/>
    <s v="Human Capital"/>
    <s v="Human Capital Manager"/>
    <s v="13 year(s), 7 month(s), 19 day(s)"/>
    <s v="40 - 49"/>
    <s v="Male"/>
    <s v="Indian (South Africa)"/>
  </r>
  <r>
    <s v="4623231"/>
    <x v="399"/>
    <x v="0"/>
    <x v="4"/>
    <s v="South Africa"/>
    <s v="FNB"/>
    <s v="FNB Commercial Chief Risk Office (Thloni Mhango)"/>
    <s v="34400009867 FNB Commercial Chief Risk Head Office"/>
    <s v="Full Time Employee"/>
    <s v="Legal, Risk and Compliance"/>
    <s v="Risk Head"/>
    <s v="13 year(s), 4 month(s), 20 day(s)"/>
    <s v="40 - 49"/>
    <s v="Female"/>
    <s v="Indian (South Africa)"/>
  </r>
  <r>
    <s v="4626591"/>
    <x v="400"/>
    <x v="0"/>
    <x v="0"/>
    <s v="South Africa"/>
    <s v="FNB"/>
    <s v="FNB Human Capital R&amp;C (Donald Khumalo)"/>
    <s v="47100001985 FNB HR Executive"/>
    <s v="Full Time Employee"/>
    <s v="Human Capital"/>
    <s v="Segment Lead Org Development, Design and Transformation"/>
    <s v="13 year(s), 0 month(s), 2 day(s)"/>
    <s v="40 - 49"/>
    <s v="Female"/>
    <s v="African (South Africa)"/>
  </r>
  <r>
    <s v="4626990"/>
    <x v="401"/>
    <x v="0"/>
    <x v="17"/>
    <s v="South Africa"/>
    <s v="FNB"/>
    <s v="FNB Commercial Core Juristic Platform (Clayton Mariemuthu)"/>
    <s v="34200009026 FNB Commercial CJP IT Development"/>
    <s v="Full Time Employee"/>
    <s v="Technology"/>
    <s v="Systems Analyst Team Leader"/>
    <s v="4 year(s), 3 month(s), 2 day(s)"/>
    <s v="30 - 39"/>
    <s v="Female"/>
    <s v="African (South Africa)"/>
  </r>
  <r>
    <s v="4630211"/>
    <x v="402"/>
    <x v="0"/>
    <x v="0"/>
    <s v="South Africa"/>
    <s v="FNB"/>
    <s v="FNB Commercial Core Juristic Platform (Dustin Blyth)"/>
    <s v="34200009026 FNB Commercial CJP IT Development"/>
    <s v="Full Time Employee"/>
    <s v="Technology"/>
    <s v="Information Technology Head"/>
    <s v="6 year(s), 2 month(s), 28 day(s)"/>
    <s v="40 - 49"/>
    <s v="Male"/>
    <s v="African (South Africa)"/>
  </r>
  <r>
    <s v="4631188"/>
    <x v="403"/>
    <x v="0"/>
    <x v="0"/>
    <s v="South Africa"/>
    <s v="FNB"/>
    <s v="FNB Commercial Merchant Services (Robbie Stander)"/>
    <s v="22800008613 FNB Commercial Merchant Services Sales and Marketing"/>
    <s v="Full Time Employee"/>
    <s v="Sales and Client Services"/>
    <s v="Sales Consultant"/>
    <s v="13 year(s), 1 month(s), 2 day(s)"/>
    <s v="40 - 49"/>
    <s v="Male"/>
    <s v="African (South Africa)"/>
  </r>
  <r>
    <s v="4632303"/>
    <x v="404"/>
    <x v="0"/>
    <x v="10"/>
    <s v="South Africa"/>
    <s v="RMB"/>
    <s v="RMBSA LRC Credit Risk Management (Thabani Zungu)"/>
    <s v="77800000CRD RMBSA Credit Risk South Africa Team"/>
    <s v="Full Time Employee"/>
    <s v="Credit"/>
    <s v="Credit Executive"/>
    <s v="13 year(s), 0 month(s), 18 day(s)"/>
    <s v="40 - 49"/>
    <s v="Male"/>
    <s v="White (South Africa)"/>
  </r>
  <r>
    <s v="4642988"/>
    <x v="405"/>
    <x v="0"/>
    <x v="0"/>
    <s v="South Africa"/>
    <s v="FNB"/>
    <s v="FNB Points of Presence (Cindy Williams)"/>
    <s v="771083200 FNB POP Branch Delivery Newton Park"/>
    <s v="OBR With Fixed Pay"/>
    <s v="Sales and Client Services"/>
    <s v="Branch Advisor FAIS"/>
    <s v="2 year(s), 8 month(s), 2 day(s)"/>
    <s v="30 - 39"/>
    <s v="Female"/>
    <s v="African (South Africa)"/>
  </r>
  <r>
    <s v="4643321"/>
    <x v="406"/>
    <x v="0"/>
    <x v="16"/>
    <s v="South Africa"/>
    <s v="FirstRand Corporate Centre"/>
    <s v="Group ERM Credit Risk Control (Engelbert Meyer)"/>
    <s v="20200006711 FRCC ERM Credit Risk Control"/>
    <s v="Full Time Employee"/>
    <s v="Legal, Risk and Compliance"/>
    <s v="Credit Model Standards and Governance Lead"/>
    <s v="13 year(s), 0 month(s), 6 day(s)"/>
    <s v="30 - 39"/>
    <s v="Male"/>
    <s v="Coloured (South Africa)"/>
  </r>
  <r>
    <s v="4645421"/>
    <x v="407"/>
    <x v="0"/>
    <x v="0"/>
    <s v="South Africa"/>
    <s v="FNB"/>
    <s v="FNB nav Head Office (Thabo Machedi)"/>
    <s v="39400009035 nav Business Technology"/>
    <s v="Full Time Employee"/>
    <s v="Technology"/>
    <s v="JAVA Developer Team Leader"/>
    <s v="5 year(s), 10 month(s), 2 day(s)"/>
    <s v="40 - 49"/>
    <s v="Male"/>
    <s v="African (South Africa)"/>
  </r>
  <r>
    <s v="4649567"/>
    <x v="408"/>
    <x v="0"/>
    <x v="0"/>
    <s v="South Africa"/>
    <s v="FNB"/>
    <s v="FNB Points of Presence (Palesa Lethiba)"/>
    <s v="7710236900 FNB POP Regional Office Gauteng South"/>
    <s v="Full Time Employee"/>
    <s v="Human Capital"/>
    <s v="Human Capital Business Partner"/>
    <s v="12 year(s), 0 month(s), 2 day(s)"/>
    <s v="30 - 39"/>
    <s v="Female"/>
    <s v="African (South Africa)"/>
  </r>
  <r>
    <s v="4651308"/>
    <x v="409"/>
    <x v="0"/>
    <x v="0"/>
    <s v="South Africa"/>
    <s v="FNB"/>
    <s v="FNB Business Branch Channel (Linda Malinga)"/>
    <s v="34300008965 FNB Business Branch Channel"/>
    <s v="Full Time Employee"/>
    <s v="Sales and Client Services"/>
    <s v="National Sales Manager"/>
    <s v="12 year(s), 10 month(s), 30 day(s)"/>
    <s v="30 - 39"/>
    <s v="Female"/>
    <s v="Indian (South Africa)"/>
  </r>
  <r>
    <s v="4651685"/>
    <x v="410"/>
    <x v="0"/>
    <x v="0"/>
    <s v="Namibia"/>
    <s v="FNB"/>
    <s v="FNB Namibia Limited (Isdor Angula)"/>
    <s v="302031B9D555 FNB Namibia Human Capital"/>
    <s v="Full Time Employee"/>
    <s v="Human Capital"/>
    <s v="Human Capital Head"/>
    <s v="12 year(s), 11 month(s), 2 day(s)"/>
    <s v="30 - 39"/>
    <s v="Male"/>
    <s v="Racially advantaged (Namibia)"/>
  </r>
  <r>
    <s v="4655249"/>
    <x v="411"/>
    <x v="0"/>
    <x v="18"/>
    <s v="South Africa"/>
    <s v="FirstRand Corporate Centre"/>
    <s v="Crypto and Decentral Ledger Tech (Rikki Barnes)"/>
    <s v="20200002408 FRCC Crypto and Decentral Ledger Tech"/>
    <s v="Full Time Employee"/>
    <s v="Technology"/>
    <s v="Applications Development Head"/>
    <s v="9 year(s), 0 month(s), 2 day(s)"/>
    <s v="40 - 49"/>
    <s v="Female"/>
    <s v="White (South Africa)"/>
  </r>
  <r>
    <s v="4655516"/>
    <x v="412"/>
    <x v="0"/>
    <x v="0"/>
    <s v="South Africa"/>
    <s v="FNB"/>
    <s v="FNB Wealth (Dickson Naidoo)"/>
    <s v="34100007232 PB&amp;A Service Suite Advisor Engagement"/>
    <s v="Full Time Employee"/>
    <s v="Process, Operations and Administration"/>
    <s v="Team Leader"/>
    <s v="12 year(s), 10 month(s), 30 day(s)"/>
    <s v="30 - 39"/>
    <s v="Male"/>
    <s v="Indian (South Africa)"/>
  </r>
  <r>
    <s v="4657810"/>
    <x v="413"/>
    <x v="0"/>
    <x v="0"/>
    <s v="South Africa"/>
    <s v="FNB"/>
    <s v="FNB Loans (Priscilla Gerber)"/>
    <s v="69000006171 FNB Retail Enterprise Project Management Office"/>
    <s v="Full Time Employee"/>
    <s v="Process, Operations and Administration"/>
    <s v="Programme Manager"/>
    <s v="12 year(s), 10 month(s), 2 day(s)"/>
    <s v="50 - 59"/>
    <s v="Male"/>
    <s v="White (South Africa)"/>
  </r>
  <r>
    <s v="4659872"/>
    <x v="414"/>
    <x v="0"/>
    <x v="8"/>
    <s v="South Africa"/>
    <s v="FNB"/>
    <s v="FNB Retail Cash Investments Chief Executive Office (Himal Parbhoo)"/>
    <s v="65100003691 FNB Cash Investments Pricing &amp; Analytics"/>
    <s v="Full Time Employee"/>
    <s v="Data and Analytics"/>
    <s v="Data Science Head"/>
    <s v="12 year(s), 10 month(s), 23 day(s)"/>
    <s v="30 - 39"/>
    <s v="Male"/>
    <s v="White (South Africa)"/>
  </r>
  <r>
    <s v="4662342"/>
    <x v="415"/>
    <x v="0"/>
    <x v="0"/>
    <s v="South Africa"/>
    <s v="FNB"/>
    <s v="FNB Points of Presence (Nkosinathi Ntshalintshali (Inherited))"/>
    <s v="771094900 FNB POP Branch Delivery Greenstone Branch"/>
    <s v="Full Time Employee"/>
    <s v="Process, Operations and Administration"/>
    <s v="Branch Controller"/>
    <s v="11 year(s), 0 month(s), 2 day(s)"/>
    <s v="30 - 39"/>
    <s v="Female"/>
    <s v="African (South Africa)"/>
  </r>
  <r>
    <s v="4662458"/>
    <x v="416"/>
    <x v="0"/>
    <x v="9"/>
    <s v="South Africa"/>
    <s v="RMB"/>
    <s v="RMBSA Technology (Christiaan Du Preez)"/>
    <s v="77800000BTL RMBSA IBD Technology Team"/>
    <s v="Full Time Employee"/>
    <s v="Technology"/>
    <s v="Chief Information Officer Sponsor and IBD"/>
    <s v="3 year(s), 2 month(s), 2 day(s)"/>
    <s v="40 - 49"/>
    <s v="Male"/>
    <s v="African (South Africa)"/>
  </r>
  <r>
    <s v="4665236"/>
    <x v="417"/>
    <x v="0"/>
    <x v="0"/>
    <s v="South Africa"/>
    <s v="FNB"/>
    <s v="FNB Points of Presence (Erika De Jager)"/>
    <s v="771039600 FNB POP Branch Delivery Tzaneen"/>
    <s v="OBR With Fixed Pay"/>
    <s v="Sales and Client Services"/>
    <s v="Branch Advisor FAIS"/>
    <s v="11 year(s), 1 month(s), 2 day(s)"/>
    <s v="30 - 39"/>
    <s v="Male"/>
    <s v="African (South Africa)"/>
  </r>
  <r>
    <s v="4669274"/>
    <x v="418"/>
    <x v="0"/>
    <x v="0"/>
    <s v="South Africa"/>
    <s v="FNB"/>
    <s v="FNB Commercial Chief Executive Officer Structured Lending Solutions (Jan Baard)"/>
    <s v="33900006525 FNB Commercial Head Office Specialised Lending"/>
    <s v="Full Time Employee"/>
    <s v="Sales and Client Services"/>
    <s v="Provincial Head"/>
    <s v="12 year(s), 8 month(s), 2 day(s)"/>
    <s v="50 - 59"/>
    <s v="Male"/>
    <s v="White (South Africa)"/>
  </r>
  <r>
    <s v="4670078"/>
    <x v="419"/>
    <x v="0"/>
    <x v="0"/>
    <s v="South Africa"/>
    <s v="FNB"/>
    <s v="FNB Chief Marketing Office (Mynhardt Jansen van Vuuren)"/>
    <s v="22400004056 FNB Marketing Marketing Operations and Consulting"/>
    <s v="Full Time Employee"/>
    <s v="Process, Operations and Administration"/>
    <s v="Marketing Operations Management Lead"/>
    <s v="12 year(s), 9 month(s), 1 day(s)"/>
    <s v="30 - 39"/>
    <s v="Male"/>
    <s v="Indian (South Africa)"/>
  </r>
  <r>
    <s v="4670760"/>
    <x v="420"/>
    <x v="0"/>
    <x v="0"/>
    <s v="South Africa"/>
    <s v="FNB"/>
    <s v="FR Life Assurance (Funeka Mafalala)"/>
    <s v="61500010256 FR Life Projects"/>
    <s v="Full Time Employee"/>
    <s v="Process, Operations and Administration"/>
    <s v="Project Manager"/>
    <s v="10 year(s), 3 month(s), 4 day(s)"/>
    <s v="30 - 39"/>
    <s v="Female"/>
    <s v="African (South Africa)"/>
  </r>
  <r>
    <s v="4673913"/>
    <x v="421"/>
    <x v="0"/>
    <x v="0"/>
    <s v="South Africa"/>
    <s v="FNB"/>
    <s v="CDO Kernel Integrations (Amith Singh)"/>
    <s v="79000005315 CDO Kernel Integrations"/>
    <s v="Full Time Employee"/>
    <s v="Technology"/>
    <s v="Application Development Manager"/>
    <s v="7 year(s), 2 month(s), 2 day(s)"/>
    <s v="40 - 49"/>
    <s v="Male"/>
    <s v="African (South Africa)"/>
  </r>
  <r>
    <s v="4674308"/>
    <x v="422"/>
    <x v="0"/>
    <x v="3"/>
    <s v="South Africa"/>
    <s v="FNB"/>
    <s v="FNB REMS Management Property (Vanessa Brooks)"/>
    <s v="22300001562 REMS Bankcity Catering"/>
    <s v="Full Time Employee"/>
    <s v="Sales and Client Services"/>
    <s v="Client Experience Manager"/>
    <s v="12 year(s), 6 month(s), 12 day(s)"/>
    <s v="40 - 49"/>
    <s v="Female"/>
    <s v="White (South Africa)"/>
  </r>
  <r>
    <s v="4677692"/>
    <x v="423"/>
    <x v="0"/>
    <x v="0"/>
    <s v="South Africa"/>
    <s v="FNB"/>
    <s v="FNB Central Finance (Frans Van Niekerk)"/>
    <s v="39400001901 FNB CFP CIO Office"/>
    <s v="Full Time Employee"/>
    <s v="Technology"/>
    <s v="Software Architect"/>
    <s v="7 year(s), 4 month(s), 2 day(s)"/>
    <s v="40 - 49"/>
    <s v="Male"/>
    <s v="White (South Africa)"/>
  </r>
  <r>
    <s v="4678117"/>
    <x v="424"/>
    <x v="0"/>
    <x v="0"/>
    <s v="South Africa"/>
    <s v="FNB"/>
    <s v="DirectAxis (Shimaaz Ely)"/>
    <s v="99700015102 DA Solutions Delivery"/>
    <s v="Full Time Employee"/>
    <s v="Process, Operations and Administration"/>
    <s v="Process Coordinator"/>
    <s v="11 year(s), 6 month(s), 2 day(s)"/>
    <s v="30 - 39"/>
    <s v="Male"/>
    <s v="Coloured (South Africa)"/>
  </r>
  <r>
    <s v="4679113"/>
    <x v="425"/>
    <x v="0"/>
    <x v="0"/>
    <s v="South Africa"/>
    <s v="RMB"/>
    <s v="RMBSA LRC Compliance (Karmani Naidoo)"/>
    <s v="77800000RRM RMBSA Compliance Management Team"/>
    <s v="Full Time Employee"/>
    <s v="Legal, Risk and Compliance"/>
    <s v="Compliance Practice Lead"/>
    <s v="12 year(s), 8 month(s), 2 day(s)"/>
    <s v="40 - 49"/>
    <s v="Female"/>
    <s v="Indian (South Africa)"/>
  </r>
  <r>
    <s v="4679520"/>
    <x v="426"/>
    <x v="0"/>
    <x v="0"/>
    <s v="South Africa"/>
    <s v="FNB"/>
    <s v="FNB Private Chief Financial Office (Yashen Singh)"/>
    <s v="85500008572 FNB Retail P Finance"/>
    <s v="Full Time Employee"/>
    <s v="Finance"/>
    <s v="Customer Tax Reporting Head"/>
    <s v="12 year(s), 8 month(s), 2 day(s)"/>
    <s v="40 - 49"/>
    <s v="Male"/>
    <s v="White (South Africa)"/>
  </r>
  <r>
    <s v="4680065"/>
    <x v="427"/>
    <x v="0"/>
    <x v="0"/>
    <s v="South Africa"/>
    <s v="FNB"/>
    <s v="FNB Personal Segment Advisory and Suites (Devesh Naidoo)"/>
    <s v="97200005382 PSAS Stratco"/>
    <s v="Full Time Employee"/>
    <s v="Sales and Client Services"/>
    <s v="Growth Head"/>
    <s v="12 year(s), 7 month(s), 0 day(s)"/>
    <s v="30 - 39"/>
    <s v="Female"/>
    <s v="African (South Africa)"/>
  </r>
  <r>
    <s v="4682645"/>
    <x v="428"/>
    <x v="0"/>
    <x v="0"/>
    <s v="South Africa"/>
    <s v="FNB"/>
    <s v="FNB Customer and Sales Interactions (Yingisani Beryl Ngobeni)"/>
    <s v="99100007928 FNB Customer and Sales Interactions Analytics"/>
    <s v="Full Time Employee"/>
    <s v="Process, Operations and Administration"/>
    <s v="Business Solutions Head"/>
    <s v="8 year(s), 7 month(s), 2 day(s)"/>
    <s v="30 - 39"/>
    <s v="Female"/>
    <s v="African (South Africa)"/>
  </r>
  <r>
    <s v="4683315"/>
    <x v="429"/>
    <x v="0"/>
    <x v="0"/>
    <s v="South Africa"/>
    <s v="FNB"/>
    <s v="FNB Retail Private Wealth Chief Executive Office (Eric Enslin)"/>
    <s v="34100003287 PB&amp;A EXCO"/>
    <s v="Full Time Employee"/>
    <s v="Process, Operations and Administration"/>
    <s v="Advisory and Sales Head"/>
    <s v="12 year(s), 6 month(s), 20 day(s)"/>
    <s v="40 - 49"/>
    <s v="Male"/>
    <s v="Indian (South Africa)"/>
  </r>
  <r>
    <s v="4693590"/>
    <x v="430"/>
    <x v="0"/>
    <x v="0"/>
    <s v="South Africa"/>
    <s v="FNB"/>
    <s v="FNB Personal Core Banking (Shumeera Whitten)"/>
    <s v="28100006613 FNB Personal Banking Risk Management Collections"/>
    <s v="Full Time Employee"/>
    <s v="Process, Operations and Administration"/>
    <s v="Administrator"/>
    <s v="11 year(s), 10 month(s), 2 day(s)"/>
    <s v="30 - 39"/>
    <s v="Female"/>
    <s v="African (South Africa)"/>
  </r>
  <r>
    <s v="4693914"/>
    <x v="431"/>
    <x v="0"/>
    <x v="0"/>
    <s v="South Africa"/>
    <s v="FNB"/>
    <s v="CDO Infrastructure and Security Services (Kgasago Monyela)"/>
    <s v="20700006377 CDO Networks and Security Services Desktop and Mobile Technology"/>
    <s v="Full Time Employee"/>
    <s v="Technology"/>
    <s v="IT Technical Support Manager"/>
    <s v="12 year(s), 6 month(s), 16 day(s)"/>
    <s v="30 - 39"/>
    <s v="Male"/>
    <s v="Indian (South Africa)"/>
  </r>
  <r>
    <s v="4694481"/>
    <x v="432"/>
    <x v="0"/>
    <x v="0"/>
    <s v="South Africa"/>
    <s v="FNB"/>
    <s v="FNB Business CXC (Mpho Disetlhe)"/>
    <s v="34300009996 FNB Business CXC OBE"/>
    <s v="Full Time Employee"/>
    <s v="Sales and Client Services"/>
    <s v="Business Banking Advisor"/>
    <s v="11 year(s), 4 month(s), 2 day(s)"/>
    <s v="30 - 39"/>
    <s v="Female"/>
    <s v="African (South Africa)"/>
  </r>
  <r>
    <s v="4695275"/>
    <x v="433"/>
    <x v="0"/>
    <x v="0"/>
    <s v="South Africa"/>
    <s v="FNB"/>
    <s v="FNB Credit Card (Jason Viljoen)"/>
    <s v="20300002954 FNB Card Enabler Digital Payments"/>
    <s v="Full Time Employee"/>
    <s v="Process, Operations and Administration"/>
    <s v="Solutions Lead"/>
    <s v="11 year(s), 3 month(s), 2 day(s)"/>
    <s v="40 - 49"/>
    <s v="Female"/>
    <s v="White (South Africa)"/>
  </r>
  <r>
    <s v="4695658"/>
    <x v="434"/>
    <x v="0"/>
    <x v="0"/>
    <s v="South Africa"/>
    <s v="FNB"/>
    <s v="FNB Commercial Sales Inland (Boitumelo Makokwe)"/>
    <s v="34300009155 FNB Commercial Growth Limpopo Gold"/>
    <s v="Full Time Employee"/>
    <s v="Sales and Client Services"/>
    <s v="Business Advisor"/>
    <s v="11 year(s), 1 month(s), 2 day(s)"/>
    <s v="30 - 39"/>
    <s v="Female"/>
    <s v="African (South Africa)"/>
  </r>
  <r>
    <s v="4696360"/>
    <x v="435"/>
    <x v="0"/>
    <x v="15"/>
    <s v="South Africa"/>
    <s v="FNB"/>
    <s v="CDO Kernel (Shaakirah Raffie)"/>
    <s v="79000005193 CDO Kernel Decisioning IT"/>
    <s v="Full Time Employee"/>
    <s v="Technology"/>
    <s v="Software Developer in Test"/>
    <s v="12 year(s), 5 month(s), 2 day(s)"/>
    <s v="50 - 59"/>
    <s v="Male"/>
    <s v="White (South Africa)"/>
  </r>
  <r>
    <s v="4698339"/>
    <x v="436"/>
    <x v="0"/>
    <x v="0"/>
    <s v="South Africa"/>
    <s v="FNB"/>
    <s v="FNB Commercial Sales Cape (Philip Poole)"/>
    <s v="34200009138 FNB Commercial Agriculture Western Cape"/>
    <s v="Full Time Employee"/>
    <s v="Sales and Client Services"/>
    <s v="Relationship Analyst"/>
    <s v="12 year(s), 3 month(s), 20 day(s)"/>
    <s v="30 - 39"/>
    <s v="Female"/>
    <s v="African (South Africa)"/>
  </r>
  <r>
    <s v="4698576"/>
    <x v="437"/>
    <x v="0"/>
    <x v="1"/>
    <s v="South Africa"/>
    <s v="RMB"/>
    <s v="RMBSA IBD Technology Cluster 3 (Bhavesh Desaraj (Inherited))"/>
    <s v="77800000BXC RMBSA TTS Technology Trade"/>
    <s v="Full Time Employee"/>
    <s v="Technology"/>
    <s v="IT Quality Test Manager"/>
    <s v="3 year(s), 7 month(s), 2 day(s)"/>
    <s v="40 - 49"/>
    <s v="Female"/>
    <s v="White (South Africa)"/>
  </r>
  <r>
    <s v="4699270"/>
    <x v="438"/>
    <x v="0"/>
    <x v="0"/>
    <s v="South Africa"/>
    <s v="FNB"/>
    <s v="FNB ERP Technology (Azhar Akoodi)"/>
    <s v="39400001958 FNB CFP Procurement"/>
    <s v="Full Time Employee"/>
    <s v="Technology"/>
    <s v="IT Platform Technology Lead"/>
    <s v="12 year(s), 5 month(s), 28 day(s)"/>
    <s v="40 - 49"/>
    <s v="Male"/>
    <s v="African (South Africa)"/>
  </r>
  <r>
    <s v="4705041"/>
    <x v="439"/>
    <x v="0"/>
    <x v="0"/>
    <s v="South Africa"/>
    <s v="WesBank"/>
    <s v="FNB Commercial Chief Executive Office FML (Andisiwe Nikelo)"/>
    <s v="30100007317 WB FML Head Office"/>
    <s v="Full Time Employee"/>
    <s v="Process, Operations and Administration"/>
    <s v="Head of Operations Business Unit"/>
    <s v="12 year(s), 4 month(s), 18 day(s)"/>
    <s v="30 - 39"/>
    <s v="Female"/>
    <s v="African (South Africa)"/>
  </r>
  <r>
    <s v="4705610"/>
    <x v="440"/>
    <x v="0"/>
    <x v="14"/>
    <s v="South Africa"/>
    <s v="RMB"/>
    <s v="FNB Global Forex Business Cape Premium Business Banking (Sylvester Selepe)"/>
    <s v="77800000CPC RMBSA Global Markets Business Cape Premium Business Banking"/>
    <s v="Full Time Employee"/>
    <s v="Sales and Client Services"/>
    <s v="Business Development Manager"/>
    <s v="7 year(s), 10 month(s), 29 day(s)"/>
    <s v="50 - 59"/>
    <s v="Female"/>
    <s v="Coloured (South Africa)"/>
  </r>
  <r>
    <s v="4709179"/>
    <x v="441"/>
    <x v="0"/>
    <x v="0"/>
    <s v="South Africa"/>
    <s v="FNB"/>
    <s v="FNB Retail Private Wealth Chief Executive Office (Eric Enslin)"/>
    <s v="34100003287 PB&amp;A EXCO"/>
    <s v="Full Time Employee"/>
    <s v="Sales and Client Services"/>
    <s v="Regional Head"/>
    <s v="12 year(s), 4 month(s), 14 day(s)"/>
    <s v="50 - 59"/>
    <s v="Female"/>
    <s v="White (South Africa)"/>
  </r>
  <r>
    <s v="4709802"/>
    <x v="442"/>
    <x v="0"/>
    <x v="0"/>
    <s v="South Africa"/>
    <s v="FNB"/>
    <s v="FNB Personal Segment Advisory and Suites (Kandre-Joy Fortune)"/>
    <s v="97200008621 PSAS Aspire Chat"/>
    <s v="Full Time Employee"/>
    <s v="Sales and Client Services"/>
    <s v="Service and Sales Advisor"/>
    <s v="9 year(s), 4 month(s), 2 day(s)"/>
    <s v="30 - 39"/>
    <s v="Male"/>
    <s v="African (South Africa)"/>
  </r>
  <r>
    <s v="4711289"/>
    <x v="443"/>
    <x v="0"/>
    <x v="0"/>
    <s v="South Africa"/>
    <s v="FNB"/>
    <s v="FNB Points of Presence (Mpho Rapatsa)"/>
    <s v="771029200 FNB POP Branch Delivery Malelane"/>
    <s v="Full Time Employee"/>
    <s v="Process, Operations and Administration"/>
    <s v="Local Market Operations Manager"/>
    <s v="12 year(s), 2 month(s), 2 day(s)"/>
    <s v="30 - 39"/>
    <s v="Female"/>
    <s v="African (South Africa)"/>
  </r>
  <r>
    <s v="4711815"/>
    <x v="444"/>
    <x v="0"/>
    <x v="0"/>
    <s v="South Africa"/>
    <s v="FNB"/>
    <s v="FNB HSL (Kishun Poona)"/>
    <s v="21200000808 HSL Sales Leads"/>
    <s v="Full Time Employee"/>
    <s v="Sales and Client Services"/>
    <s v="Channel Management Head"/>
    <s v="12 year(s), 4 month(s), 2 day(s)"/>
    <s v="30 - 39"/>
    <s v="Male"/>
    <s v="Indian (South Africa)"/>
  </r>
  <r>
    <s v="4712625"/>
    <x v="445"/>
    <x v="0"/>
    <x v="0"/>
    <s v="South Africa"/>
    <s v="FNB"/>
    <s v="FNB Points of Presence (Phila Ntshingila)"/>
    <s v="7710236600 FNB POP Regional Office Kwazulu Natal"/>
    <s v="Full Time Employee"/>
    <s v="Sales and Client Services"/>
    <s v="AgencyPlus Relationship Manager"/>
    <s v="11 year(s), 0 month(s), 2 day(s)"/>
    <s v="30 - 39"/>
    <s v="Female"/>
    <s v="African (South Africa)"/>
  </r>
  <r>
    <s v="4714407"/>
    <x v="446"/>
    <x v="0"/>
    <x v="0"/>
    <s v="South Africa"/>
    <s v="FNB"/>
    <s v="FNB Commercial Merchant Services (Francina Sutton)"/>
    <s v="22800008518 FNB Commercial Merchant Services Client Services"/>
    <s v="Full Time Employee"/>
    <s v="Sales and Client Services"/>
    <s v="Contact Centre Advisor"/>
    <s v="4 year(s), 6 month(s), 2 day(s)"/>
    <s v="30 - 39"/>
    <s v="Female"/>
    <s v="African (South Africa)"/>
  </r>
  <r>
    <s v="4714644"/>
    <x v="447"/>
    <x v="0"/>
    <x v="0"/>
    <s v="South Africa"/>
    <s v="FNB"/>
    <s v="FNB COO Head Office (Matthys Snyman)"/>
    <s v="69000006171 FNB Retail Enterprise Project Management Office"/>
    <s v="Full Time Employee"/>
    <s v="Process, Operations and Administration"/>
    <s v="Project Management Office Head"/>
    <s v="12 year(s), 4 month(s), 2 day(s)"/>
    <s v="50 - 59"/>
    <s v="Female"/>
    <s v="Indian (South Africa)"/>
  </r>
  <r>
    <s v="4715462"/>
    <x v="448"/>
    <x v="0"/>
    <x v="4"/>
    <s v="South Africa"/>
    <s v="FNB"/>
    <s v="FNB Commercial Sales Cape (Mark Smith)"/>
    <s v="34300008635 FNB Commercial Growth Western Cape Metro 1"/>
    <s v="Full Time Employee"/>
    <s v="Sales and Client Services"/>
    <s v="Business Manager"/>
    <s v="10 year(s), 10 month(s), 2 day(s)"/>
    <s v="30 - 39"/>
    <s v="Male"/>
    <s v="Coloured (South Africa)"/>
  </r>
  <r>
    <s v="4719174"/>
    <x v="449"/>
    <x v="0"/>
    <x v="0"/>
    <s v="South Africa"/>
    <s v="FNB"/>
    <s v="FNB Affluent (Miriam Mayford)"/>
    <s v="34100007665 PB&amp;A Tshwane Wealth SW"/>
    <s v="OBR With Fixed Pay"/>
    <s v="Sales and Client Services"/>
    <s v="Banking Advisor Wealth"/>
    <s v="12 year(s), 1 month(s), 29 day(s)"/>
    <s v="30 - 39"/>
    <s v="Male"/>
    <s v="African (South Africa)"/>
  </r>
  <r>
    <s v="4726693"/>
    <x v="450"/>
    <x v="0"/>
    <x v="0"/>
    <s v="South Africa"/>
    <s v="FNB"/>
    <s v="FNB Personal Exco (Sandi Madikiza)"/>
    <s v="84900003961 FNB ConnectMe EXCO"/>
    <s v="Full Time Employee"/>
    <s v="Sales and Client Services"/>
    <s v="Strategic Platform Lead"/>
    <s v="12 year(s), 3 month(s), 15 day(s)"/>
    <s v="30 - 39"/>
    <s v="Male"/>
    <s v="African (South Africa)"/>
  </r>
  <r>
    <s v="4726960"/>
    <x v="451"/>
    <x v="0"/>
    <x v="0"/>
    <s v="South Africa"/>
    <s v="FNB"/>
    <s v="FNB Commercial Sales Cape (Annaline Van Asperen)"/>
    <s v="34300009057 FNB Commercial Sales Intelligence"/>
    <s v="Full Time Employee"/>
    <s v="Data and Analytics"/>
    <s v="Chief Data and Analytics Officer"/>
    <s v="12 year(s), 0 month(s), 28 day(s)"/>
    <s v="50 - 59"/>
    <s v="Female"/>
    <s v="White (South Africa)"/>
  </r>
  <r>
    <s v="4731026"/>
    <x v="452"/>
    <x v="0"/>
    <x v="0"/>
    <s v="South Africa"/>
    <s v="FNB"/>
    <s v="FNB Commercial Sales Cape (Stephan Claassen)"/>
    <s v="34200006958 FNB Commercial Sales Shared Services Western Cape"/>
    <s v="Full Time Employee"/>
    <s v="Finance"/>
    <s v="Financial Manager"/>
    <s v="10 year(s), 9 month(s), 2 day(s)"/>
    <s v="40 - 49"/>
    <s v="Female"/>
    <s v="African (South Africa)"/>
  </r>
  <r>
    <s v="4735331"/>
    <x v="453"/>
    <x v="0"/>
    <x v="0"/>
    <s v="South Africa"/>
    <s v="FirstRand Corporate Centre"/>
    <s v="Group Human Capital Strategic Wellbeing (Zama Lamla (Inherited))"/>
    <s v="20200009025 FRCC Reward - RMB"/>
    <s v="Full Time Employee"/>
    <s v="Human Capital"/>
    <s v="Employee Wellbeing Consultant"/>
    <s v="10 year(s), 1 month(s), 2 day(s)"/>
    <s v="30 - 39"/>
    <s v="Male"/>
    <s v="White (South Africa)"/>
  </r>
  <r>
    <s v="4735897"/>
    <x v="454"/>
    <x v="0"/>
    <x v="26"/>
    <s v="South Africa"/>
    <s v="RMB"/>
    <s v="RMBSA IBD Legal, Risk and Compliance (Werner Van Oudenhove De St Gery)"/>
    <s v="77800000SFC RMBSA IBD Structured Credit Analysts"/>
    <s v="Full Time Employee"/>
    <s v="Credit"/>
    <s v="Credit Head"/>
    <s v="12 year(s), 1 month(s), 2 day(s)"/>
    <s v="30 - 39"/>
    <s v="Male"/>
    <s v="White (South Africa)"/>
  </r>
  <r>
    <s v="4737326"/>
    <x v="455"/>
    <x v="0"/>
    <x v="0"/>
    <s v="South Africa"/>
    <s v="FNB"/>
    <s v="DirectAxis (Rida Lutta)"/>
    <s v="99700015102 DA Solutions Delivery"/>
    <s v="Full Time Employee"/>
    <s v="Process, Operations and Administration"/>
    <s v="Solutions Lead"/>
    <s v="12 year(s), 0 month(s), 14 day(s)"/>
    <s v="30 - 39"/>
    <s v="Male"/>
    <s v="White (South Africa)"/>
  </r>
  <r>
    <s v="4739116"/>
    <x v="456"/>
    <x v="0"/>
    <x v="5"/>
    <s v="South Africa"/>
    <s v="FirstRand Corporate Centre"/>
    <s v="FNB R&amp;C Chief Information Office (La-Cell Mouton)"/>
    <s v="20200002266 CDO Banking Finxact"/>
    <s v="Full Time Employee"/>
    <s v="Technology"/>
    <s v="Chief Information Officer"/>
    <s v="12 year(s), 0 month(s), 18 day(s)"/>
    <s v="30 - 39"/>
    <s v="Female"/>
    <s v="African (South Africa)"/>
  </r>
  <r>
    <s v="4739833"/>
    <x v="457"/>
    <x v="0"/>
    <x v="12"/>
    <s v="South Africa"/>
    <s v="FNB"/>
    <s v="CDO Banking (Vincent Govender)"/>
    <s v="79000007752 CDO Banking IDS"/>
    <s v="Full Time Employee"/>
    <s v="Technology"/>
    <s v="Technical Team Leader"/>
    <s v="11 year(s), 3 month(s), 2 day(s)"/>
    <s v="30 - 39"/>
    <s v="Female"/>
    <s v="Indian (South Africa)"/>
  </r>
  <r>
    <s v="4740459"/>
    <x v="458"/>
    <x v="0"/>
    <x v="18"/>
    <s v="South Africa"/>
    <s v="FNB"/>
    <s v="FNB Commercial Sales Gauteng South and Central (Mpho Makgamatha)"/>
    <s v="34200008659 FNB Commercial Sales Gauteng West 60 to 150M"/>
    <s v="Full Time Employee"/>
    <s v="Sales and Client Services"/>
    <s v="Client Portfolio Analyst"/>
    <s v="11 year(s), 11 month(s), 2 day(s)"/>
    <s v="30 - 39"/>
    <s v="Female"/>
    <s v="African (South Africa)"/>
  </r>
  <r>
    <s v="4741617"/>
    <x v="459"/>
    <x v="0"/>
    <x v="0"/>
    <s v="South Africa"/>
    <s v="FNB"/>
    <s v="FNB Central Finance RMB Technology (Stelios Herodotou)"/>
    <s v="39400003431 FNB Finance BI"/>
    <s v="Full Time Employee"/>
    <s v="Technology"/>
    <s v="Application Development Team Leader"/>
    <s v="11 year(s), 6 month(s), 2 day(s)"/>
    <s v="30 - 39"/>
    <s v="Female"/>
    <s v="Indian (South Africa)"/>
  </r>
  <r>
    <s v="4742192"/>
    <x v="460"/>
    <x v="0"/>
    <x v="8"/>
    <s v="South Africa"/>
    <s v="FNB"/>
    <s v="FNB Chief Risk Office Interactions and Risk Analytics (Godfrey Kgoedi)"/>
    <s v="39400003184 FNB Chief Risk Office Interactions and Risk Analytics"/>
    <s v="Full Time Employee"/>
    <s v="Data and Analytics"/>
    <s v="Data Science Manager"/>
    <s v="7 year(s), 9 month(s), 25 day(s)"/>
    <s v="30 - 39"/>
    <s v="Male"/>
    <s v="African (South Africa)"/>
  </r>
  <r>
    <s v="4743369"/>
    <x v="461"/>
    <x v="0"/>
    <x v="0"/>
    <s v="South Africa"/>
    <s v="FNB"/>
    <s v="FNB Points of Presence (Sagren Govender)"/>
    <s v="7710861100 FNB POP IT Quality Assurance"/>
    <s v="Full Time Employee"/>
    <s v="Technology"/>
    <s v="Test Analyst Manager"/>
    <s v="11 year(s), 3 month(s), 1 day(s)"/>
    <s v="30 - 39"/>
    <s v="Male"/>
    <s v="Coloured (South Africa)"/>
  </r>
  <r>
    <s v="4745108"/>
    <x v="462"/>
    <x v="0"/>
    <x v="0"/>
    <s v="South Africa"/>
    <s v="FNB"/>
    <s v="FNB Private Banking and Advisory (Van Wyk Pienaar)"/>
    <s v="34100007667 PB&amp;A Inland North West Wealth"/>
    <s v="OBR With Fixed Pay"/>
    <s v="Sales and Client Services"/>
    <s v="Private Wealth Advisor"/>
    <s v="11 year(s), 9 month(s), 26 day(s)"/>
    <s v="30 - 39"/>
    <s v="Female"/>
    <s v="African (South Africa)"/>
  </r>
  <r>
    <s v="4745876"/>
    <x v="463"/>
    <x v="0"/>
    <x v="0"/>
    <s v="South Africa"/>
    <s v="FNB"/>
    <s v="FNB Points of Presence (Samantha Esben)"/>
    <s v="771026400 FNB POP Branch Delivery King Williams Town"/>
    <s v="OBR With Fixed Pay"/>
    <s v="Sales and Client Services"/>
    <s v="Branch Advisor FAIS"/>
    <s v="11 year(s), 9 month(s), 25 day(s)"/>
    <s v="40 - 49"/>
    <s v="Female"/>
    <s v="African (South Africa)"/>
  </r>
  <r>
    <s v="4751795"/>
    <x v="464"/>
    <x v="0"/>
    <x v="10"/>
    <s v="South Africa"/>
    <s v="RMB"/>
    <s v="RMBSA LRC Credit Risk Management (Noah Ngcobo)"/>
    <s v="77800000GCP RMBSA Broader Africa Credit Risk Management Team"/>
    <s v="Full Time Employee"/>
    <s v="Credit"/>
    <s v="Credit Head"/>
    <s v="11 year(s), 10 month(s), 24 day(s)"/>
    <s v="30 - 39"/>
    <s v="Male"/>
    <s v="African (South Africa)"/>
  </r>
  <r>
    <s v="4752929"/>
    <x v="465"/>
    <x v="0"/>
    <x v="0"/>
    <s v="South Africa"/>
    <s v="FNB"/>
    <s v="FNB Commercial Core Juristic Platform (Robert Lage)"/>
    <s v="34200009782 FNB Commercial CJP PMO"/>
    <s v="Full Time Employee"/>
    <s v="Process, Operations and Administration"/>
    <s v="Project Management Office Portfolio Manager"/>
    <s v="10 year(s), 8 month(s), 2 day(s)"/>
    <s v="50 - 59"/>
    <s v="Male"/>
    <s v="White (South Africa)"/>
  </r>
  <r>
    <s v="4754557"/>
    <x v="466"/>
    <x v="0"/>
    <x v="0"/>
    <s v="South Africa"/>
    <s v="FNB"/>
    <s v="CDO Kernel iNterfaceX (Kefilwe Megalane)"/>
    <s v="21800009856 CDO Kernel iNterfaceX Online Banking Business Analysis"/>
    <s v="Full Time Employee"/>
    <s v="Process, Operations and Administration"/>
    <s v="Business Analyst"/>
    <s v="7 year(s), 9 month(s), 2 day(s)"/>
    <s v="30 - 39"/>
    <s v="Female"/>
    <s v="African (South Africa)"/>
  </r>
  <r>
    <s v="4754719"/>
    <x v="467"/>
    <x v="0"/>
    <x v="0"/>
    <s v="South Africa"/>
    <s v="FNB"/>
    <s v="FNB Business CXC (Sundram Naidoo)"/>
    <s v="34300008202 FNB Business CXC Business Desk"/>
    <s v="Full Time Employee"/>
    <s v="Process, Operations and Administration"/>
    <s v="Contact Centre Team Leader"/>
    <s v="11 year(s), 9 month(s), 2 day(s)"/>
    <s v="30 - 39"/>
    <s v="Male"/>
    <s v="African (South Africa)"/>
  </r>
  <r>
    <s v="4757173"/>
    <x v="468"/>
    <x v="0"/>
    <x v="0"/>
    <s v="South Africa"/>
    <s v="FNB"/>
    <s v="DirectAxis (Cindy Solomons)"/>
    <s v="99700015118 DA Business Optimisation"/>
    <s v="Full Time Employee"/>
    <s v="Process, Operations and Administration"/>
    <s v="Resource Planner"/>
    <s v="11 year(s), 10 month(s), 17 day(s)"/>
    <s v="40 - 49"/>
    <s v="Female"/>
    <s v="Coloured (South Africa)"/>
  </r>
  <r>
    <s v="4759877"/>
    <x v="469"/>
    <x v="0"/>
    <x v="0"/>
    <s v="South Africa"/>
    <s v="FNB"/>
    <s v="FNB Private Human Capital (David Khunou)"/>
    <s v="85500008557 FNB Retail Learning Solutions"/>
    <s v="Full Time Employee"/>
    <s v="Human Capital"/>
    <s v="Learning and Development Head"/>
    <s v="11 year(s), 9 month(s), 12 day(s)"/>
    <s v="50 - 59"/>
    <s v="Male"/>
    <s v="Coloured (South Africa)"/>
  </r>
  <r>
    <s v="4760611"/>
    <x v="470"/>
    <x v="0"/>
    <x v="0"/>
    <s v="South Africa"/>
    <s v="FNB"/>
    <s v="FNB Points of Presence (Poovan Pillay)"/>
    <s v="7710216400 FNB POP Branch Delivery Kosi Bay"/>
    <s v="Full Time Employee"/>
    <s v="Sales and Client Services"/>
    <s v="Associate"/>
    <s v="10 year(s), 10 month(s), 2 day(s)"/>
    <s v="30 - 39"/>
    <s v="Male"/>
    <s v="African (South Africa)"/>
  </r>
  <r>
    <s v="4762762"/>
    <x v="471"/>
    <x v="0"/>
    <x v="16"/>
    <s v="South Africa"/>
    <s v="FirstRand Corporate Centre"/>
    <s v="FRCC ERM CRO Office (Mine Van Zyl)"/>
    <s v="20200008665 FRCC ERM Model Risk Management"/>
    <s v="Full Time Employee"/>
    <s v="Legal, Risk and Compliance"/>
    <s v="Model Risk Management Head"/>
    <s v="11 year(s), 9 month(s), 2 day(s)"/>
    <s v="40 - 49"/>
    <s v="Male"/>
    <s v="Indian (South Africa)"/>
  </r>
  <r>
    <s v="4763793"/>
    <x v="472"/>
    <x v="0"/>
    <x v="0"/>
    <s v="South Africa"/>
    <s v="FNB"/>
    <s v="FNB ConnectMe (Bonginkosi Meek)"/>
    <s v="84900004395 FNB ConnectMe Operations Enablement"/>
    <s v="Full Time Employee"/>
    <s v="Process, Operations and Administration"/>
    <s v="Business Support Specialist"/>
    <s v="11 year(s), 10 month(s), 2 day(s)"/>
    <s v="40 - 49"/>
    <s v="Female"/>
    <s v="Coloured (South Africa)"/>
  </r>
  <r>
    <s v="4764676"/>
    <x v="473"/>
    <x v="0"/>
    <x v="0"/>
    <s v="South Africa"/>
    <s v="FNB"/>
    <s v="FNB Private Banking and Advisory (Diren Jugmohan)"/>
    <s v="34100007658 PB&amp;A Fairlands Wealth"/>
    <s v="Full Time Employee"/>
    <s v="Sales and Client Services"/>
    <s v="Lending Specialist"/>
    <s v="11 year(s), 9 month(s), 2 day(s)"/>
    <s v="30 - 39"/>
    <s v="Male"/>
    <s v="White (South Africa)"/>
  </r>
  <r>
    <s v="4765176"/>
    <x v="474"/>
    <x v="0"/>
    <x v="0"/>
    <s v="South Africa"/>
    <s v="FNB"/>
    <s v="FNB Collections and Platform Enablement (Lesego Onceya)"/>
    <s v="79700004331 Collections Debt Review"/>
    <s v="Full Time Employee"/>
    <s v="Process, Operations and Administration"/>
    <s v="Administrator"/>
    <s v="7 year(s), 0 month(s), 10 day(s)"/>
    <s v="30 - 39"/>
    <s v="Male"/>
    <s v="African (South Africa)"/>
  </r>
  <r>
    <s v="4769198"/>
    <x v="475"/>
    <x v="0"/>
    <x v="0"/>
    <s v="South Africa"/>
    <s v="FNB"/>
    <s v="FNB Chief Marketing Office (Elroy Bekwa)"/>
    <s v="22400005494 FNB Marketing Strategy"/>
    <s v="Full Time Employee"/>
    <s v="Marketing and Communication"/>
    <s v="Senior Content Marketing Specialist"/>
    <s v="11 year(s), 5 month(s), 2 day(s)"/>
    <s v="40 - 49"/>
    <s v="Male"/>
    <s v="White (South Africa)"/>
  </r>
  <r>
    <s v="4771281"/>
    <x v="476"/>
    <x v="0"/>
    <x v="17"/>
    <s v="South Africa"/>
    <s v="FNB"/>
    <s v="FNB Personal Core Banking (Jolandi Jansen Van Vuuren)"/>
    <s v="28100006605 RCB Risk Management Gauteng"/>
    <s v="Full Time Employee"/>
    <s v="Credit"/>
    <s v="Credit Portfolio Management Head"/>
    <s v="11 year(s), 8 month(s), 29 day(s)"/>
    <s v="40 - 49"/>
    <s v="Female"/>
    <s v="African (South Africa)"/>
  </r>
  <r>
    <s v="4773365"/>
    <x v="477"/>
    <x v="0"/>
    <x v="10"/>
    <s v="South Africa"/>
    <s v="RMB"/>
    <s v="RMBSA TTS LRC Credit Risk Management (Bertus Huisman)"/>
    <s v="77800000SFA RMBSA IBD Credit Analysts"/>
    <s v="Full Time Employee"/>
    <s v="Credit"/>
    <s v="Credit Team Lead"/>
    <s v="11 year(s), 8 month(s), 22 day(s)"/>
    <s v="40 - 49"/>
    <s v="Male"/>
    <s v="African (South Africa)"/>
  </r>
  <r>
    <s v="4774515"/>
    <x v="478"/>
    <x v="0"/>
    <x v="8"/>
    <s v="South Africa"/>
    <s v="FNB"/>
    <s v="FNB Retail Legal Risk and Compliance (Zunade Kader)"/>
    <s v="85500008236 FNB Retail Legal Risk and Compliance"/>
    <s v="Full Time Employee"/>
    <s v="Legal, Risk and Compliance"/>
    <s v="IT Risk Head"/>
    <s v="11 year(s), 7 month(s), 2 day(s)"/>
    <s v="30 - 39"/>
    <s v="Male"/>
    <s v="White (South Africa)"/>
  </r>
  <r>
    <s v="4776690"/>
    <x v="479"/>
    <x v="0"/>
    <x v="0"/>
    <s v="South Africa"/>
    <s v="FNB"/>
    <s v="CDO Infrastructure and Security Services (Eugene Pretorius)"/>
    <s v="20700005429 CDO Infrastructure and Security Services CRM"/>
    <s v="Full Time Employee"/>
    <s v="Technology"/>
    <s v="Business Unit Chief Information Officer"/>
    <s v="11 year(s), 8 month(s), 2 day(s)"/>
    <s v="40 - 49"/>
    <s v="Female"/>
    <s v="White (South Africa)"/>
  </r>
  <r>
    <s v="4777557"/>
    <x v="480"/>
    <x v="0"/>
    <x v="0"/>
    <s v="South Africa"/>
    <s v="FNB"/>
    <s v="FNB iCustomer (Claudet Saygran)"/>
    <s v="39400005973 FNB iCustomer Project Delivery"/>
    <s v="Full Time Employee"/>
    <s v="Process, Operations and Administration"/>
    <s v="Project Manager"/>
    <s v="11 year(s), 7 month(s), 2 day(s)"/>
    <s v="30 - 39"/>
    <s v="Female"/>
    <s v="African (South Africa)"/>
  </r>
  <r>
    <s v="4777816"/>
    <x v="481"/>
    <x v="0"/>
    <x v="0"/>
    <s v="South Africa"/>
    <s v="FNB"/>
    <s v="FNB Commercial Sales KwaZulu Natal (Jayendran Pillay)"/>
    <s v="34200008648 FNB Commercial Sales KwaZulu Natal Coastal 60 to 150M"/>
    <s v="Full Time Employee"/>
    <s v="Sales and Client Services"/>
    <s v="Sales Head"/>
    <s v="11 year(s), 8 month(s), 2 day(s)"/>
    <s v="40 - 49"/>
    <s v="Female"/>
    <s v="African (South Africa)"/>
  </r>
  <r>
    <s v="4781252"/>
    <x v="482"/>
    <x v="0"/>
    <x v="0"/>
    <s v="South Africa"/>
    <s v="FNB"/>
    <s v="FNB Commercial Sales Gauteng North (Lani Le Roux)"/>
    <s v="34200006338 FNB Commercial Sales Gauteng Midrand 150M Plus"/>
    <s v="Full Time Employee"/>
    <s v="Sales and Client Services"/>
    <s v="Account Executive"/>
    <s v="6 year(s), 10 month(s), 23 day(s)"/>
    <s v="30 - 39"/>
    <s v="Male"/>
    <s v="African (South Africa)"/>
  </r>
  <r>
    <s v="4787153"/>
    <x v="483"/>
    <x v="0"/>
    <x v="0"/>
    <s v="South Africa"/>
    <s v="FNB"/>
    <s v="FNB Commercial Core Juristic Platform (Louis Van Wyk)"/>
    <s v="34200009782 FNB Commercial CJP PMO"/>
    <s v="Full Time Employee"/>
    <s v="Process, Operations and Administration"/>
    <s v="Senior Project Manager"/>
    <s v="11 year(s), 7 month(s), 2 day(s)"/>
    <s v="50 - 59"/>
    <s v="Male"/>
    <s v="African (South Africa)"/>
  </r>
  <r>
    <s v="4794532"/>
    <x v="484"/>
    <x v="0"/>
    <x v="0"/>
    <s v="South Africa"/>
    <s v="FNB"/>
    <s v="FNB Personal Core Banking (Thato Bapela)"/>
    <s v="48100004398 FNB Personal Core Banking Hyper Segments and Niches"/>
    <s v="Full Time Employee"/>
    <s v="Product"/>
    <s v="Product Manager"/>
    <s v="10 year(s), 11 month(s), 2 day(s)"/>
    <s v="40 - 49"/>
    <s v="Female"/>
    <s v="African (South Africa)"/>
  </r>
  <r>
    <s v="4800648"/>
    <x v="485"/>
    <x v="0"/>
    <x v="0"/>
    <s v="South Africa"/>
    <s v="FNB"/>
    <s v="FNB Points of Presence (Gareth Lalla)"/>
    <s v="771009800 FNB POP Branch Delivery Pretorius Street"/>
    <s v="Full Time Employee"/>
    <s v="Sales and Client Services"/>
    <s v="Customer Experience Advisor"/>
    <s v="11 year(s), 4 month(s), 2 day(s)"/>
    <s v="30 - 39"/>
    <s v="Female"/>
    <s v="African (South Africa)"/>
  </r>
  <r>
    <s v="4804287"/>
    <x v="486"/>
    <x v="0"/>
    <x v="0"/>
    <s v="South Africa"/>
    <s v="FNB"/>
    <s v="FNB Commercial Property Finance (Preggie Pillay)"/>
    <s v="34200004627 FNB Commercial Lend Head Office"/>
    <s v="Full Time Employee"/>
    <s v="Sales and Client Services"/>
    <s v="Regional Head"/>
    <s v="9 year(s), 3 month(s), 27 day(s)"/>
    <s v="40 - 49"/>
    <s v="Male"/>
    <s v="African (South Africa)"/>
  </r>
  <r>
    <s v="4804325"/>
    <x v="487"/>
    <x v="0"/>
    <x v="0"/>
    <s v="South Africa"/>
    <s v="FNB"/>
    <s v="FNB Chief Risk Office Interactions and Risk Analytics (Godfrey Kgoedi)"/>
    <s v="39400003184 FNB Chief Risk Office Interactions and Risk Analytics"/>
    <s v="Full Time Employee"/>
    <s v="Data and Analytics"/>
    <s v="Data Science Manager"/>
    <s v="11 year(s), 4 month(s), 19 day(s)"/>
    <s v="30 - 39"/>
    <s v="Male"/>
    <s v="African (South Africa)"/>
  </r>
  <r>
    <s v="4805062"/>
    <x v="488"/>
    <x v="0"/>
    <x v="3"/>
    <s v="South Africa"/>
    <s v="FirstRand Corporate Centre"/>
    <s v="Group Human Capital (Dudu Moloko)"/>
    <s v="20200007954 FRCC People Governance Learning Compliance"/>
    <s v="Full Time Employee"/>
    <s v="Human Capital"/>
    <s v="Leadership Development Specialist"/>
    <s v="11 year(s), 5 month(s), 2 day(s)"/>
    <s v="30 - 39"/>
    <s v="Male"/>
    <s v="Indian (South Africa)"/>
  </r>
  <r>
    <s v="4807200"/>
    <x v="489"/>
    <x v="0"/>
    <x v="2"/>
    <s v="South Africa"/>
    <s v="FNB"/>
    <s v="FNB Credit Card (Jason Viljoen)"/>
    <s v="20300002954 FNB Card Enabler Digital Payments"/>
    <s v="Full Time Employee"/>
    <s v="Technology"/>
    <s v="Business Architect"/>
    <s v="11 year(s), 5 month(s), 2 day(s)"/>
    <s v="40 - 49"/>
    <s v="Male"/>
    <s v="Indian (South Africa)"/>
  </r>
  <r>
    <s v="4811143"/>
    <x v="490"/>
    <x v="0"/>
    <x v="24"/>
    <s v="South Africa"/>
    <s v="FNB"/>
    <s v="FNB Points of Presence (Marie Nero)"/>
    <s v="771040200 FNB POP Branch Delivery Upington"/>
    <s v="Full Time Employee"/>
    <s v="Sales and Client Services"/>
    <s v="Universal Advisor Lead"/>
    <s v="11 year(s), 4 month(s), 24 day(s)"/>
    <s v="30 - 39"/>
    <s v="Female"/>
    <s v="African (South Africa)"/>
  </r>
  <r>
    <s v="4813294"/>
    <x v="491"/>
    <x v="0"/>
    <x v="0"/>
    <s v="South Africa"/>
    <s v="FNB"/>
    <s v="FNB Points of Presence (Deon Reddy)"/>
    <s v="771002300 FNB POP Branch Delivery N1 City"/>
    <s v="Full Time Employee"/>
    <s v="Sales and Client Services"/>
    <s v="Branch Delivery Sales and Service Team Leader"/>
    <s v="2 year(s), 7 month(s), 2 day(s)"/>
    <s v="30 - 39"/>
    <s v="Male"/>
    <s v="Coloured (South Africa)"/>
  </r>
  <r>
    <s v="4817184"/>
    <x v="492"/>
    <x v="0"/>
    <x v="0"/>
    <s v="South Africa"/>
    <s v="FNB"/>
    <s v="FNB Points of Presence (Elisma Minnaar)"/>
    <s v="771033300 FNB POP Branch Delivery Cape Gate"/>
    <s v="OBR With Fixed Pay"/>
    <s v="Sales and Client Services"/>
    <s v="Branch Advisor FAIS"/>
    <s v="10 year(s), 6 month(s), 19 day(s)"/>
    <s v="30 - 39"/>
    <s v="Female"/>
    <s v="African (South Africa)"/>
  </r>
  <r>
    <s v="4818865"/>
    <x v="493"/>
    <x v="0"/>
    <x v="0"/>
    <s v="South Africa"/>
    <s v="FNB"/>
    <s v="FNB Points of Presence (Nikita Govender)"/>
    <s v="7710405800 FNB POP Commercial Collaboration"/>
    <s v="Full Time Employee"/>
    <s v="Sales and Client Services"/>
    <s v="Support Advisor FAIS"/>
    <s v="4 year(s), 5 month(s), 29 day(s)"/>
    <s v="30 - 39"/>
    <s v="Female"/>
    <s v="African (South Africa)"/>
  </r>
  <r>
    <s v="4819373"/>
    <x v="494"/>
    <x v="0"/>
    <x v="0"/>
    <s v="South Africa"/>
    <s v="FNB"/>
    <s v="FNB Personal Human Capital (Shalini John)"/>
    <s v="83100009547 FNB Connect EXCO"/>
    <s v="Full Time Employee"/>
    <s v="Human Capital"/>
    <s v="Human Capital Manager"/>
    <s v="11 year(s), 3 month(s), 2 day(s)"/>
    <s v="40 - 49"/>
    <s v="Female"/>
    <s v="Indian (South Africa)"/>
  </r>
  <r>
    <s v="4820673"/>
    <x v="495"/>
    <x v="0"/>
    <x v="4"/>
    <s v="South Africa"/>
    <s v="FNB"/>
    <s v="FNB Private Banking and Advisory (Amanda Nematswerane)"/>
    <s v="34100008793 PB&amp;A MyFAIS Solutions"/>
    <s v="Full Time Employee"/>
    <s v="Process, Operations and Administration"/>
    <s v="Quality Assurer"/>
    <s v="11 year(s), 3 month(s), 27 day(s)"/>
    <s v="30 - 39"/>
    <s v="Male"/>
    <s v="Coloured (South Africa)"/>
  </r>
  <r>
    <s v="4820851"/>
    <x v="496"/>
    <x v="0"/>
    <x v="0"/>
    <s v="South Africa"/>
    <s v="FirstRand Corporate Centre"/>
    <s v="FRCC RRM FR Group Compliance (Sibusiso Gabashane)"/>
    <s v="20200011034 FCC Group Compliance MCOE"/>
    <s v="Full Time Employee"/>
    <s v="Legal, Risk and Compliance"/>
    <s v="Compliance Monitoring Specialist"/>
    <s v="2 year(s), 9 month(s), 5 day(s)"/>
    <s v="30 - 39"/>
    <s v="Male"/>
    <s v="African (South Africa)"/>
  </r>
  <r>
    <s v="4825535"/>
    <x v="497"/>
    <x v="0"/>
    <x v="0"/>
    <s v="South Africa"/>
    <s v="FNB"/>
    <s v="FNB ConnectMe Human Capital (Prakash Debidin)"/>
    <s v="84900006495 ConnectMe Human Capital"/>
    <s v="Full Time Employee"/>
    <s v="Human Capital"/>
    <s v="Learning Architect"/>
    <s v="11 year(s), 0 month(s), 2 day(s)"/>
    <s v="50 - 59"/>
    <s v="Female"/>
    <s v="White (South Africa)"/>
  </r>
  <r>
    <s v="4826221"/>
    <x v="498"/>
    <x v="0"/>
    <x v="0"/>
    <s v="South Africa"/>
    <s v="FNB"/>
    <s v="FNB Points of Presence (Peter Mauer)"/>
    <s v="7710841400 FNB POP External Sales Local Market"/>
    <s v="OBR With Fixed Pay"/>
    <s v="Sales and Client Services"/>
    <s v="External Sales and Service Advisor Lead OBR"/>
    <s v="11 year(s), 3 month(s), 2 day(s)"/>
    <s v="30 - 39"/>
    <s v="Male"/>
    <s v="Coloured (South Africa)"/>
  </r>
  <r>
    <s v="4826450"/>
    <x v="499"/>
    <x v="0"/>
    <x v="0"/>
    <s v="South Africa"/>
    <s v="FNB"/>
    <s v="FNB Private Core Banking (Mangwale Motlhabane)"/>
    <s v="69000007618 FNB Retail COO Customer Fulfilment"/>
    <s v="Full Time Employee"/>
    <s v="Process, Operations and Administration"/>
    <s v="Administrator"/>
    <s v="7 year(s), 4 month(s), 2 day(s)"/>
    <s v="40 - 49"/>
    <s v="Male"/>
    <s v="African (South Africa)"/>
  </r>
  <r>
    <s v="4829662"/>
    <x v="500"/>
    <x v="0"/>
    <x v="18"/>
    <s v="South Africa"/>
    <s v="FNB"/>
    <s v="CDO Payments Forex IT (Lucia Da Silva)"/>
    <s v="79000006473 CDO Payments Forex Finsurv"/>
    <s v="Full Time Employee"/>
    <s v="Technology"/>
    <s v="Systems Analyst"/>
    <s v="11 year(s), 2 month(s), 17 day(s)"/>
    <s v="50 - 59"/>
    <s v="Male"/>
    <s v="White (South Africa)"/>
  </r>
  <r>
    <s v="4829700"/>
    <x v="501"/>
    <x v="0"/>
    <x v="0"/>
    <s v="South Africa"/>
    <s v="FNB"/>
    <s v="FNB Commercial Sales Inland (Nhlanhla Ngcobo (Inherited))"/>
    <s v="34200009214 FNB Commercial Sales Mpumalanga Regional"/>
    <s v="Full Time Employee"/>
    <s v="Sales and Client Services"/>
    <s v="Deal Maker"/>
    <s v="9 year(s), 4 month(s), 28 day(s)"/>
    <s v="30 - 39"/>
    <s v="Male"/>
    <s v="African (South Africa)"/>
  </r>
  <r>
    <s v="4829891"/>
    <x v="502"/>
    <x v="0"/>
    <x v="0"/>
    <s v="South Africa"/>
    <s v="FNB"/>
    <s v="FNB Points of Presence (Montsheng Makaota)"/>
    <s v="7710453100 FNB POP Branch Delivery Central Park"/>
    <s v="Full Time Employee"/>
    <s v="Process, Operations and Administration"/>
    <s v="Branch Controller"/>
    <s v="11 year(s), 0 month(s), 1 day(s)"/>
    <s v="40 - 49"/>
    <s v="Male"/>
    <s v="African (South Africa)"/>
  </r>
  <r>
    <s v="4830601"/>
    <x v="503"/>
    <x v="0"/>
    <x v="5"/>
    <s v="South Africa"/>
    <s v="RMB"/>
    <s v="RMBSA Client Group Operations (Helen Wood)"/>
    <s v="77800000CPE RMBSA Client Operations Product Enablement"/>
    <s v="Full Time Employee"/>
    <s v="Process, Operations and Administration"/>
    <s v="Client Profile Management Operations Head"/>
    <s v="11 year(s), 2 month(s), 24 day(s)"/>
    <s v="40 - 49"/>
    <s v="Female"/>
    <s v="African (South Africa)"/>
  </r>
  <r>
    <s v="4832299"/>
    <x v="504"/>
    <x v="0"/>
    <x v="0"/>
    <s v="South Africa"/>
    <s v="FNB"/>
    <s v="FNB Points of Presence (Nkadu Ratlhagane)"/>
    <s v="7710110300 FNB POP Branch Delivery Zambezi Drive"/>
    <s v="OBR With Fixed Pay"/>
    <s v="Sales and Client Services"/>
    <s v="Branch Advisor FAIS"/>
    <s v="6 year(s), 9 month(s), 2 day(s)"/>
    <s v="30 - 39"/>
    <s v="Female"/>
    <s v="African (South Africa)"/>
  </r>
  <r>
    <s v="4833538"/>
    <x v="505"/>
    <x v="0"/>
    <x v="0"/>
    <s v="South Africa"/>
    <s v="RMB"/>
    <s v="RMBSA TTS Transact (Mpho Mofokeng)"/>
    <s v="77800000EFT RMBSA TTS Transact Product Services"/>
    <s v="Full Time Employee"/>
    <s v="Product"/>
    <s v="Payments Product Head"/>
    <s v="11 year(s), 0 month(s), 29 day(s)"/>
    <s v="30 - 39"/>
    <s v="Male"/>
    <s v="Coloured (South Africa)"/>
  </r>
  <r>
    <s v="4834992"/>
    <x v="506"/>
    <x v="0"/>
    <x v="0"/>
    <s v="South Africa"/>
    <s v="FNB"/>
    <s v="FNB Commercial Core Juristic Platform (Louis Van Wyk)"/>
    <s v="34200009782 FNB Commercial CJP PMO"/>
    <s v="Full Time Employee"/>
    <s v="Process, Operations and Administration"/>
    <s v="Senior Project Manager"/>
    <s v="11 year(s), 2 month(s), 8 day(s)"/>
    <s v="50 - 59"/>
    <s v="Female"/>
    <s v="White (South Africa)"/>
  </r>
  <r>
    <s v="4836014"/>
    <x v="507"/>
    <x v="0"/>
    <x v="0"/>
    <s v="South Africa"/>
    <s v="WesBank"/>
    <s v="FNB Commercial Lending Enablement (Esna Rahman)"/>
    <s v="30100003979 WB ABF Portfolio Management"/>
    <s v="Full Time Employee"/>
    <s v="Data and Analytics"/>
    <s v="Data Science Manager"/>
    <s v="3 year(s), 1 month(s), 25 day(s)"/>
    <s v="30 - 39"/>
    <s v="Male"/>
    <s v="African (South Africa)"/>
  </r>
  <r>
    <s v="4842227"/>
    <x v="508"/>
    <x v="0"/>
    <x v="0"/>
    <s v="South Africa"/>
    <s v="FNB"/>
    <s v="FNB Personal Core Banking (Mpati Diholo)"/>
    <s v="25500005389 FNB Personal Core Banking eWallet"/>
    <s v="Full Time Employee"/>
    <s v="Process, Operations and Administration"/>
    <s v="Solutions Specialist"/>
    <s v="4 year(s), 10 month(s), 2 day(s)"/>
    <s v="30 - 39"/>
    <s v="Female"/>
    <s v="African (South Africa)"/>
  </r>
  <r>
    <s v="4843320"/>
    <x v="509"/>
    <x v="0"/>
    <x v="0"/>
    <s v="South Africa"/>
    <s v="FNB"/>
    <s v="FNB Points of Presence (Leigh-Anne Van Staden)"/>
    <s v="7710841400 FNB POP External Sales Local Market"/>
    <s v="OBR With Fixed Pay"/>
    <s v="Sales and Client Services"/>
    <s v="External Sales and Service Advisor Lead OBR"/>
    <s v="10 year(s), 11 month(s), 2 day(s)"/>
    <s v="30 - 39"/>
    <s v="Male"/>
    <s v="African (South Africa)"/>
  </r>
  <r>
    <s v="4843630"/>
    <x v="510"/>
    <x v="0"/>
    <x v="0"/>
    <s v="South Africa"/>
    <s v="FNB"/>
    <s v="FNB Wealth (Feroza Seedat)"/>
    <s v="34100008803 PB&amp;A Human Capital"/>
    <s v="Full Time Employee"/>
    <s v="Human Capital"/>
    <s v="Human Capital Business Partner"/>
    <s v="11 year(s), 0 month(s), 22 day(s)"/>
    <s v="40 - 49"/>
    <s v="Female"/>
    <s v="African (South Africa)"/>
  </r>
  <r>
    <s v="4845226"/>
    <x v="511"/>
    <x v="0"/>
    <x v="0"/>
    <s v="South Africa"/>
    <s v="FNB"/>
    <s v="FNB HSL (Nonhlanhla Mkhize)"/>
    <s v="21200002641 HSL Call Centre"/>
    <s v="Full Time Employee"/>
    <s v="Sales and Client Services"/>
    <s v="Call Centre Agent"/>
    <s v="10 year(s), 11 month(s), 2 day(s)"/>
    <s v="30 - 39"/>
    <s v="Female"/>
    <s v="Coloured (South Africa)"/>
  </r>
  <r>
    <s v="4845919"/>
    <x v="512"/>
    <x v="0"/>
    <x v="0"/>
    <s v="Namibia"/>
    <s v="FNB"/>
    <s v="FNB Namibia Chief Executive Office (Conrad Dempsey)"/>
    <s v="302000016028 FNB Namibia Commercial Support"/>
    <s v="Full Time Employee"/>
    <s v="Process, Operations and Administration"/>
    <s v="Chief Executive Officer CCIB"/>
    <s v="11 year(s), 1 month(s), 2 day(s)"/>
    <s v="40 - 49"/>
    <s v="Male"/>
    <s v="Racially advantaged (Namibia)"/>
  </r>
  <r>
    <s v="4847334"/>
    <x v="513"/>
    <x v="0"/>
    <x v="17"/>
    <s v="South Africa"/>
    <s v="FNB"/>
    <s v="FNB Commercial Financial Resource Management (Nick Jay)"/>
    <s v="34300004538 FNB Commercial Financial Resources Management"/>
    <s v="Full Time Employee"/>
    <s v="Finance"/>
    <s v="FRM Performance Measurement Head"/>
    <s v="11 year(s), 0 month(s), 28 day(s)"/>
    <s v="40 - 49"/>
    <s v="Female"/>
    <s v="White (South Africa)"/>
  </r>
  <r>
    <s v="4848659"/>
    <x v="514"/>
    <x v="0"/>
    <x v="0"/>
    <s v="South Africa"/>
    <s v="FNB"/>
    <s v="FR Life Assurance (Adriaan Van Der Merwe)"/>
    <s v="61500010304 FR Insure and Invest Distribution"/>
    <s v="Full Time Employee"/>
    <s v="Sales and Client Services"/>
    <s v="Business Development Manager"/>
    <s v="11 year(s), 0 month(s), 2 day(s)"/>
    <s v="40 - 49"/>
    <s v="Male"/>
    <s v="White (South Africa)"/>
  </r>
  <r>
    <s v="4848829"/>
    <x v="515"/>
    <x v="0"/>
    <x v="0"/>
    <s v="South Africa"/>
    <s v="FNB"/>
    <s v="FNB Commercial Sales Gauteng South and Central (Tiisetso Motshaisa)"/>
    <s v="34200006535 FNB Commercial Sales Gauteng West 10 to 60M"/>
    <s v="Full Time Employee"/>
    <s v="Sales and Client Services"/>
    <s v="Relationship Analyst"/>
    <s v="10 year(s), 9 month(s), 2 day(s)"/>
    <s v="30 - 39"/>
    <s v="Female"/>
    <s v="African (South Africa)"/>
  </r>
  <r>
    <s v="4851838"/>
    <x v="516"/>
    <x v="0"/>
    <x v="0"/>
    <s v="South Africa"/>
    <s v="FNB"/>
    <s v="FNB Commercial Chief Risk Office (Thloni Mhango (Inherited))"/>
    <s v="34400005615 FNB Commercial Chief Risk Office Regulatory Risk"/>
    <s v="Full Time Employee"/>
    <s v="Legal, Risk and Compliance"/>
    <s v="Compliance Head"/>
    <s v="10 year(s), 11 month(s), 2 day(s)"/>
    <s v="30 - 39"/>
    <s v="Female"/>
    <s v="White (South Africa)"/>
  </r>
  <r>
    <s v="4852249"/>
    <x v="517"/>
    <x v="0"/>
    <x v="0"/>
    <s v="South Africa"/>
    <s v="FNB"/>
    <s v="FNB Points of Presence (Vishen Samlal (Inherited))"/>
    <s v="7710106300 FNB POP Branch Delivery Ekasi"/>
    <s v="OBR With Fixed Pay"/>
    <s v="Sales and Client Services"/>
    <s v="Branch Advisor FAIS"/>
    <s v="10 year(s), 8 month(s), 2 day(s)"/>
    <s v="30 - 39"/>
    <s v="Male"/>
    <s v="African (South Africa)"/>
  </r>
  <r>
    <s v="4853997"/>
    <x v="518"/>
    <x v="0"/>
    <x v="13"/>
    <s v="South Africa"/>
    <s v="FNB"/>
    <s v="FNB Fiduciary (Trisa Naidu)"/>
    <s v="30300008744 FNB WI Fiduciary Estates CPT"/>
    <s v="Full Time Employee"/>
    <s v="Capital Markets and Invest"/>
    <s v="Estate Specialist"/>
    <s v="5 year(s), 10 month(s), 2 day(s)"/>
    <s v="40 - 49"/>
    <s v="Female"/>
    <s v="Coloured (South Africa)"/>
  </r>
  <r>
    <s v="4856066"/>
    <x v="519"/>
    <x v="0"/>
    <x v="0"/>
    <s v="South Africa"/>
    <s v="FNB"/>
    <s v="FNB Points of Presence (Skhumbuzo Nsibande)"/>
    <s v="771033500 FNB POP Branch Delivery Piet Retief"/>
    <s v="OBR With Fixed Pay"/>
    <s v="Sales and Client Services"/>
    <s v="Branch Advisor FAIS"/>
    <s v="10 year(s), 10 month(s), 2 day(s)"/>
    <s v="30 - 39"/>
    <s v="Female"/>
    <s v="African (South Africa)"/>
  </r>
  <r>
    <s v="4856538"/>
    <x v="520"/>
    <x v="0"/>
    <x v="0"/>
    <s v="South Africa"/>
    <s v="FNB"/>
    <s v="FNB Loans (Nicola Smuts)"/>
    <s v="79100007564 FNB Consumer Loans Unsecured Pillar"/>
    <s v="Full Time Employee"/>
    <s v="Sales and Client Services"/>
    <s v="Growth Specialist"/>
    <s v="10 year(s), 10 month(s), 2 day(s)"/>
    <s v="30 - 39"/>
    <s v="Female"/>
    <s v="African (South Africa)"/>
  </r>
  <r>
    <s v="4856864"/>
    <x v="521"/>
    <x v="0"/>
    <x v="0"/>
    <s v="South Africa"/>
    <s v="FNB"/>
    <s v="FNB Personal Segment Advisory and Suites (Seipati Mochiza)"/>
    <s v="97200002529 PSAS HR"/>
    <s v="Full Time Employee"/>
    <s v="Human Capital"/>
    <s v="Human Capital Business Partner"/>
    <s v="9 year(s), 9 month(s), 2 day(s)"/>
    <s v="30 - 39"/>
    <s v="Female"/>
    <s v="African (South Africa)"/>
  </r>
  <r>
    <s v="4857283"/>
    <x v="522"/>
    <x v="0"/>
    <x v="0"/>
    <s v="South Africa"/>
    <s v="FNB"/>
    <s v="FNB Points of Presence (Zweli Zulu)"/>
    <s v="771035100 FNB POP Branch Delivery Mokopane"/>
    <s v="Full Time Employee"/>
    <s v="Sales and Client Services"/>
    <s v="Local Market Manager"/>
    <s v="10 year(s), 11 month(s), 2 day(s)"/>
    <s v="30 - 39"/>
    <s v="Male"/>
    <s v="African (South Africa)"/>
  </r>
  <r>
    <s v="4858182"/>
    <x v="523"/>
    <x v="0"/>
    <x v="0"/>
    <s v="South Africa"/>
    <s v="FNB"/>
    <s v="CDO Infrastructure and Security Services (Kribben Govender (Inherited))"/>
    <s v="20700006377 CDO Networks and Security Services Desktop and Mobile Technology"/>
    <s v="Full Time Employee"/>
    <s v="Technology"/>
    <s v="Desktop Support Technician"/>
    <s v="10 year(s), 11 month(s), 11 day(s)"/>
    <s v="30 - 39"/>
    <s v="Male"/>
    <s v="Coloured (South Africa)"/>
  </r>
  <r>
    <s v="4863267"/>
    <x v="524"/>
    <x v="0"/>
    <x v="0"/>
    <s v="South Africa"/>
    <s v="FNB"/>
    <s v="FNB Points of Presence (Prashnee Singh)"/>
    <s v="771040000 FNB POP Branch Delivery Umzinto"/>
    <s v="Full Time Employee"/>
    <s v="Sales and Client Services"/>
    <s v="Branch Delivery Sales and Service Team Leader"/>
    <s v="10 year(s), 10 month(s), 18 day(s)"/>
    <s v="40 - 49"/>
    <s v="Female"/>
    <s v="Indian (South Africa)"/>
  </r>
  <r>
    <s v="4863291"/>
    <x v="525"/>
    <x v="0"/>
    <x v="0"/>
    <s v="South Africa"/>
    <s v="FNB"/>
    <s v="FNB Business CXC (Kgothatso Maphutha)"/>
    <s v="34300009996 FNB Business CXC OBE"/>
    <s v="Full Time Employee"/>
    <s v="Sales and Client Services"/>
    <s v="Business Banking Advisor"/>
    <s v="10 year(s), 10 month(s), 18 day(s)"/>
    <s v="30 - 39"/>
    <s v="Female"/>
    <s v="African (South Africa)"/>
  </r>
  <r>
    <s v="4865316"/>
    <x v="526"/>
    <x v="0"/>
    <x v="0"/>
    <s v="South Africa"/>
    <s v="FNB"/>
    <s v="FNB Points of Presence (Alice Phokane)"/>
    <s v="7710108900 FNB POP Branch Delivery Carlswald"/>
    <s v="OBR With Fixed Pay"/>
    <s v="Sales and Client Services"/>
    <s v="Branch Advisor FAIS"/>
    <s v="10 year(s), 10 month(s), 20 day(s)"/>
    <s v="30 - 39"/>
    <s v="Male"/>
    <s v="African (South Africa)"/>
  </r>
  <r>
    <s v="4865952"/>
    <x v="527"/>
    <x v="0"/>
    <x v="0"/>
    <s v="South Africa"/>
    <s v="FNB"/>
    <s v="FNB Commercial Sales Gauteng South and Central (Caiphus Nyuswa)"/>
    <s v="34300006534 FNB Commercial Growth Gauteng South West South"/>
    <s v="Full Time Employee"/>
    <s v="Sales and Client Services"/>
    <s v="Business Manager"/>
    <s v="10 year(s), 10 month(s), 2 day(s)"/>
    <s v="40 - 49"/>
    <s v="Male"/>
    <s v="African (South Africa)"/>
  </r>
  <r>
    <s v="4868498"/>
    <x v="528"/>
    <x v="0"/>
    <x v="0"/>
    <s v="South Africa"/>
    <s v="FNB"/>
    <s v="FNB Credit Card (Dione Sankar (Inherited))"/>
    <s v="20300002909 FNB Card Enabler Card Delivery"/>
    <s v="Full Time Employee"/>
    <s v="Sales and Client Services"/>
    <s v="Client Service Manager"/>
    <s v="10 year(s), 10 month(s), 14 day(s)"/>
    <s v="40 - 49"/>
    <s v="Female"/>
    <s v="Indian (South Africa)"/>
  </r>
  <r>
    <s v="4869869"/>
    <x v="529"/>
    <x v="0"/>
    <x v="0"/>
    <s v="South Africa"/>
    <s v="FNB"/>
    <s v="FNB Points of Presence (Makarabo Mahlomotja)"/>
    <s v="7710527200 FNB POP PHI Staff"/>
    <s v="PHI Benefit"/>
    <s v="Sales and Client Services"/>
    <s v="Multi Skilled Consultant"/>
    <s v="8 year(s), 7 month(s), 22 day(s)"/>
    <s v="20 - 29"/>
    <s v="Male"/>
    <s v="African (South Africa)"/>
  </r>
  <r>
    <s v="4870417"/>
    <x v="530"/>
    <x v="0"/>
    <x v="0"/>
    <s v="South Africa"/>
    <s v="FNB"/>
    <s v="FNB Points of Presence (Fhatuwani Muthelo)"/>
    <s v="7710217900 FNB POP Branch Delivery Elim"/>
    <s v="Full Time Employee"/>
    <s v="Sales and Client Services"/>
    <s v="Associate"/>
    <s v="9 year(s), 8 month(s), 2 day(s)"/>
    <s v="20 - 29"/>
    <s v="Female"/>
    <s v="African (South Africa)"/>
  </r>
  <r>
    <s v="4871464"/>
    <x v="531"/>
    <x v="0"/>
    <x v="0"/>
    <s v="South Africa"/>
    <s v="FNB"/>
    <s v="FNB Wealth (Shanon Sheridan)"/>
    <s v="34100001596 PB&amp;A Sales Solutions Suite"/>
    <s v="OBR With Fixed Pay"/>
    <s v="Sales and Client Services"/>
    <s v="Sales Advisor"/>
    <s v="9 year(s), 11 month(s), 2 day(s)"/>
    <s v="30 - 39"/>
    <s v="Female"/>
    <s v="African (South Africa)"/>
  </r>
  <r>
    <s v="4872231"/>
    <x v="532"/>
    <x v="0"/>
    <x v="0"/>
    <s v="South Africa"/>
    <s v="FirstRand Corporate Centre"/>
    <s v="Group Compliance (Praneel Lachman)"/>
    <s v="20200007959 FRCC RRM FR Group Compliance"/>
    <s v="Full Time Employee"/>
    <s v="Legal, Risk and Compliance"/>
    <s v="Compliance Operational Enablement Head"/>
    <s v="9 year(s), 0 month(s), 25 day(s)"/>
    <s v="40 - 49"/>
    <s v="Female"/>
    <s v="Coloured (South Africa)"/>
  </r>
  <r>
    <s v="4873505"/>
    <x v="533"/>
    <x v="0"/>
    <x v="27"/>
    <s v="South Africa"/>
    <s v="RMB"/>
    <s v="RMBSA TTS Digital Interactions (Yolande Steyn)"/>
    <s v="77800000CLC RMBSA TTS Channel Management"/>
    <s v="Full Time Employee"/>
    <s v="Process, Operations and Administration"/>
    <s v="Change Manager"/>
    <s v="3 year(s), 1 month(s), 2 day(s)"/>
    <s v="30 - 39"/>
    <s v="Female"/>
    <s v="White (South Africa)"/>
  </r>
  <r>
    <s v="4875346"/>
    <x v="534"/>
    <x v="0"/>
    <x v="9"/>
    <s v="South Africa"/>
    <s v="FNB"/>
    <s v="First Risk and Advisory Services (Cynthia Mashego)"/>
    <s v="16900010758 First Risk and Advisory Services IT"/>
    <s v="Full Time Employee"/>
    <s v="Technology"/>
    <s v="Test Analyst Team Leader"/>
    <s v="2 year(s), 7 month(s), 2 day(s)"/>
    <s v="30 - 39"/>
    <s v="Male"/>
    <s v="African (South Africa)"/>
  </r>
  <r>
    <s v="4876709"/>
    <x v="535"/>
    <x v="0"/>
    <x v="0"/>
    <s v="South Africa"/>
    <s v="FNB"/>
    <s v="FNB Private Core Banking (Carol Gravette)"/>
    <s v="41200009898 FNB Private Core Banking Finance"/>
    <s v="Full Time Employee"/>
    <s v="Finance"/>
    <s v="Financial Manager"/>
    <s v="9 year(s), 8 month(s), 1 day(s)"/>
    <s v="30 - 39"/>
    <s v="Male"/>
    <s v="Indian (South Africa)"/>
  </r>
  <r>
    <s v="4877594"/>
    <x v="536"/>
    <x v="0"/>
    <x v="28"/>
    <s v="South Africa"/>
    <s v="FNB"/>
    <s v="FNB Private Banking and Advisory (Elaine Knoetsec)"/>
    <s v="34100003292 PB&amp;A Inland Central"/>
    <s v="Full Time Employee"/>
    <s v="Sales and Client Services"/>
    <s v="Head of Sales Enablement"/>
    <s v="10 year(s), 9 month(s), 2 day(s)"/>
    <s v="30 - 39"/>
    <s v="Male"/>
    <s v="African (South Africa)"/>
  </r>
  <r>
    <s v="4878043"/>
    <x v="537"/>
    <x v="0"/>
    <x v="0"/>
    <s v="South Africa"/>
    <s v="FNB"/>
    <s v="FNB Commercial Core Juristic Platform (Gerhard Buitendag)"/>
    <s v="34200010083 FNB Commercial CJP FML IT"/>
    <s v="Full Time Employee"/>
    <s v="Technology"/>
    <s v="Technical Team Leader"/>
    <s v="10 year(s), 4 month(s), 2 day(s)"/>
    <s v="30 - 39"/>
    <s v="Male"/>
    <s v="White (South Africa)"/>
  </r>
  <r>
    <s v="4878809"/>
    <x v="538"/>
    <x v="0"/>
    <x v="0"/>
    <s v="South Africa"/>
    <s v="FNB"/>
    <s v="CDO Infrastructure and Security Services (Grant Hassett)"/>
    <s v="20700001974 CDO Infrastructure and Security Services Information Security Management"/>
    <s v="Full Time Employee"/>
    <s v="Technology"/>
    <s v="Information Security Officer"/>
    <s v="10 year(s), 8 month(s), 2 day(s)"/>
    <s v="40 - 49"/>
    <s v="Male"/>
    <s v="White (South Africa)"/>
  </r>
  <r>
    <s v="4878922"/>
    <x v="539"/>
    <x v="0"/>
    <x v="0"/>
    <s v="South Africa"/>
    <s v="FNB"/>
    <s v="FNB Points of Presence (Angela Nathoo)"/>
    <s v="7710179200 FNB POP Branch Delivery Middelburg Mall"/>
    <s v="Full Time Employee"/>
    <s v="Sales and Client Services"/>
    <s v="Local Market Manager"/>
    <s v="10 year(s), 8 month(s), 30 day(s)"/>
    <s v="30 - 39"/>
    <s v="Female"/>
    <s v="African (South Africa)"/>
  </r>
  <r>
    <s v="4882253"/>
    <x v="540"/>
    <x v="0"/>
    <x v="12"/>
    <s v="South Africa"/>
    <s v="FNB"/>
    <s v="CDO Kernel ECM (Lucas Molea)"/>
    <s v="79000004946 CDO Kernel ECM"/>
    <s v="Full Time Employee"/>
    <s v="Technology"/>
    <s v="Application Development Manager"/>
    <s v="4 year(s), 4 month(s), 2 day(s)"/>
    <s v="30 - 39"/>
    <s v="Female"/>
    <s v="African (South Africa)"/>
  </r>
  <r>
    <s v="4883535"/>
    <x v="541"/>
    <x v="0"/>
    <x v="0"/>
    <s v="South Africa"/>
    <s v="FNB"/>
    <s v="FNB Commercial Financial Resource Management (Nick Jay)"/>
    <s v="34300004538 FNB Commercial Financial Resources Management"/>
    <s v="Full Time Employee"/>
    <s v="Finance"/>
    <s v="Financial Resources Management Portfolio Management Head"/>
    <s v="10 year(s), 7 month(s), 2 day(s)"/>
    <s v="40 - 49"/>
    <s v="Male"/>
    <s v="White (South Africa)"/>
  </r>
  <r>
    <s v="4887891"/>
    <x v="542"/>
    <x v="0"/>
    <x v="0"/>
    <s v="South Africa"/>
    <s v="FNB"/>
    <s v="FR Life Assurance (Justin Pather)"/>
    <s v="61500010279 FR Life I&amp;I Sales CC Underwritten"/>
    <s v="OBR With Fixed Pay"/>
    <s v="Sales and Client Services"/>
    <s v="Sales Consultant"/>
    <s v="6 year(s), 10 month(s), 19 day(s)"/>
    <s v="30 - 39"/>
    <s v="Male"/>
    <s v="African (South Africa)"/>
  </r>
  <r>
    <s v="4888758"/>
    <x v="543"/>
    <x v="0"/>
    <x v="0"/>
    <s v="South Africa"/>
    <s v="FNB"/>
    <s v="FNB Commercial Sales Cape (Tommie Burger)"/>
    <s v="34200008675 FNB Commercial Sales Eastern Cape 10 to 60M"/>
    <s v="Full Time Employee"/>
    <s v="Sales and Client Services"/>
    <s v="Business Relationship Manager"/>
    <s v="10 year(s), 7 month(s), 2 day(s)"/>
    <s v="30 - 39"/>
    <s v="Male"/>
    <s v="White (South Africa)"/>
  </r>
  <r>
    <s v="4892402"/>
    <x v="544"/>
    <x v="0"/>
    <x v="0"/>
    <s v="Namibia"/>
    <s v="FNB"/>
    <s v="FNB Namibia Limited (Kathleen Nell)"/>
    <s v="302000016055 FNB Namibia Commercial Online Banking"/>
    <s v="Full Time Employee"/>
    <s v="Sales and Client Services"/>
    <s v="Client Implementation Specialist"/>
    <s v="10 year(s), 3 month(s), 2 day(s)"/>
    <s v="30 - 39"/>
    <s v="Female"/>
    <s v="Racially disadvantaged (Namibia)"/>
  </r>
  <r>
    <s v="4893824"/>
    <x v="545"/>
    <x v="0"/>
    <x v="0"/>
    <s v="South Africa"/>
    <s v="FNB"/>
    <s v="FNB Commercial Projects and Operations (Cameron Mayes)"/>
    <s v="34200006673 FNB Commercial Payments PMO"/>
    <s v="Full Time Employee"/>
    <s v="Process, Operations and Administration"/>
    <s v="Programme Manager"/>
    <s v="10 year(s), 7 month(s), 2 day(s)"/>
    <s v="40 - 49"/>
    <s v="Male"/>
    <s v="White (South Africa)"/>
  </r>
  <r>
    <s v="4894391"/>
    <x v="546"/>
    <x v="0"/>
    <x v="0"/>
    <s v="South Africa"/>
    <s v="FNB"/>
    <s v="CDO Kernel iDnA (Mzi Bikwa)"/>
    <s v="50700008198 CDO Kernel iDnA Data Tech Infrastructure Support"/>
    <s v="Full Time Employee"/>
    <s v="Technology"/>
    <s v="Systems Administrator"/>
    <s v="10 year(s), 6 month(s), 2 day(s)"/>
    <s v="40 - 49"/>
    <s v="Male"/>
    <s v="African (South Africa)"/>
  </r>
  <r>
    <s v="4900243"/>
    <x v="547"/>
    <x v="0"/>
    <x v="0"/>
    <s v="South Africa"/>
    <s v="FNB"/>
    <s v="FNB Private Banking and Advisory (Gary Youlley)"/>
    <s v="34100004506 PB&amp;A KZN Wealth Management"/>
    <s v="OBR With Fixed Pay"/>
    <s v="Capital Markets and Invest"/>
    <s v="Wealth Manager"/>
    <s v="10 year(s), 6 month(s), 2 day(s)"/>
    <s v="30 - 39"/>
    <s v="Male"/>
    <s v="Indian (South Africa)"/>
  </r>
  <r>
    <s v="4901711"/>
    <x v="548"/>
    <x v="0"/>
    <x v="0"/>
    <s v="South Africa"/>
    <s v="FNB"/>
    <s v="FNB Finance and Support Group Information Management (Janine Nijs)"/>
    <s v="39400007479 FNB CDAO Data Protection"/>
    <s v="Full Time Employee"/>
    <s v="Process, Operations and Administration"/>
    <s v="Programme Manager"/>
    <s v="10 year(s), 5 month(s), 17 day(s)"/>
    <s v="40 - 49"/>
    <s v="Female"/>
    <s v="Indian (South Africa)"/>
  </r>
  <r>
    <s v="4901886"/>
    <x v="549"/>
    <x v="0"/>
    <x v="0"/>
    <s v="South Africa"/>
    <s v="FNB"/>
    <s v="FNB Commercial Projects and Operations (Natalie Rodrigues)"/>
    <s v="34200005441 FNB Commercial Sales and Services Solutions"/>
    <s v="Full Time Employee"/>
    <s v="Process, Operations and Administration"/>
    <s v="Service Recovery Operations Head"/>
    <s v="10 year(s), 5 month(s), 2 day(s)"/>
    <s v="30 - 39"/>
    <s v="Female"/>
    <s v="Indian (South Africa)"/>
  </r>
  <r>
    <s v="4904958"/>
    <x v="550"/>
    <x v="0"/>
    <x v="0"/>
    <s v="South Africa"/>
    <s v="RMB"/>
    <s v="RMBSA TTS Technology (Mias Du Plessis)"/>
    <s v="77800000RQI RMB Treasury"/>
    <s v="Full Time Employee"/>
    <s v="Technology"/>
    <s v="IT Solutions Architect"/>
    <s v="6 year(s), 9 month(s), 2 day(s)"/>
    <s v="40 - 49"/>
    <s v="Male"/>
    <s v="Indian (South Africa)"/>
  </r>
  <r>
    <s v="4905849"/>
    <x v="551"/>
    <x v="0"/>
    <x v="0"/>
    <s v="South Africa"/>
    <s v="FNB"/>
    <s v="CDO Infrastructure and Security Services (Grant Hassett)"/>
    <s v="20700001974 CDO Infrastructure and Security Services Information Security Management"/>
    <s v="Full Time Employee"/>
    <s v="Technology"/>
    <s v="Information Security Officer"/>
    <s v="10 year(s), 5 month(s), 2 day(s)"/>
    <s v="40 - 49"/>
    <s v="Male"/>
    <s v="African (South Africa)"/>
  </r>
  <r>
    <s v="4907752"/>
    <x v="552"/>
    <x v="0"/>
    <x v="0"/>
    <s v="South Africa"/>
    <s v="FNB"/>
    <s v="FNB Private Banking and Advisory (Keegan Govender)"/>
    <s v="34100005047 PB&amp;A Fairlands West Affluent"/>
    <s v="OBR With Fixed Pay"/>
    <s v="Sales and Client Services"/>
    <s v="Private Clients Advisor"/>
    <s v="9 year(s), 9 month(s), 2 day(s)"/>
    <s v="30 - 39"/>
    <s v="Female"/>
    <s v="Indian (South Africa)"/>
  </r>
  <r>
    <s v="4910036"/>
    <x v="553"/>
    <x v="0"/>
    <x v="0"/>
    <s v="South Africa"/>
    <s v="FNB"/>
    <s v="FNB Commercial Projects and Operations (Chris Lottreaux)"/>
    <s v="34200006673 FNB Commercial Payments PMO"/>
    <s v="Full Time Employee"/>
    <s v="Process, Operations and Administration"/>
    <s v="Senior Project Manager"/>
    <s v="10 year(s), 4 month(s), 2 day(s)"/>
    <s v="50 - 59"/>
    <s v="Male"/>
    <s v="White (South Africa)"/>
  </r>
  <r>
    <s v="4910117"/>
    <x v="554"/>
    <x v="0"/>
    <x v="0"/>
    <s v="South Africa"/>
    <s v="FNB"/>
    <s v="FNB Personal Segment (Lytania Johnson)"/>
    <s v="5910107040 FNB Personal Exco"/>
    <s v="Full Time Employee"/>
    <s v="Legal, Risk and Compliance"/>
    <s v="Segment Chief Risk Officer"/>
    <s v="10 year(s), 4 month(s), 13 day(s)"/>
    <s v="40 - 49"/>
    <s v="Male"/>
    <s v="African (South Africa)"/>
  </r>
  <r>
    <s v="4911148"/>
    <x v="555"/>
    <x v="0"/>
    <x v="1"/>
    <s v="South Africa"/>
    <s v="FNB"/>
    <s v="FNB Points of Presence (Dumisani Dyukwana)"/>
    <s v="7710213200 FNB POP Branch Delivery Qumbu"/>
    <s v="Full Time Employee"/>
    <s v="Process, Operations and Administration"/>
    <s v="Branch Administrator"/>
    <s v="10 year(s), 5 month(s), 2 day(s)"/>
    <s v="30 - 39"/>
    <s v="Female"/>
    <s v="African (South Africa)"/>
  </r>
  <r>
    <s v="4911296"/>
    <x v="556"/>
    <x v="0"/>
    <x v="0"/>
    <s v="South Africa"/>
    <s v="FNB"/>
    <s v="FNB Wealth and Investment Fiduciary Locan and Offshore (Aneesa Razack)"/>
    <s v="85500004208 FNB Private Global Solutions"/>
    <s v="Full Time Employee"/>
    <s v="Product"/>
    <s v="Product Head"/>
    <s v="9 year(s), 11 month(s), 2 day(s)"/>
    <s v="30 - 39"/>
    <s v="Female"/>
    <s v="White (South Africa)"/>
  </r>
  <r>
    <s v="4913930"/>
    <x v="557"/>
    <x v="0"/>
    <x v="0"/>
    <s v="South Africa"/>
    <s v="FNB"/>
    <s v="FNB Commercial TxP Analytics (Mark Van Der Westhuizen)"/>
    <s v="39800005521 FNB Commercial TxP Analytics"/>
    <s v="Full Time Employee"/>
    <s v="Data and Analytics"/>
    <s v="Data Science Manager"/>
    <s v="8 year(s), 9 month(s), 2 day(s)"/>
    <s v="30 - 39"/>
    <s v="Male"/>
    <s v="African (South Africa)"/>
  </r>
  <r>
    <s v="4919033"/>
    <x v="558"/>
    <x v="0"/>
    <x v="0"/>
    <s v="South Africa"/>
    <s v="FNB"/>
    <s v="FNB Loans (Mary-Jane Sibanda)"/>
    <s v="79100005608 FNB Consumer Loans Support Operations"/>
    <s v="Full Time Employee"/>
    <s v="Process, Operations and Administration"/>
    <s v="Administrator"/>
    <s v="9 year(s), 10 month(s), 2 day(s)"/>
    <s v="30 - 39"/>
    <s v="Male"/>
    <s v="African (South Africa)"/>
  </r>
  <r>
    <s v="4919270"/>
    <x v="559"/>
    <x v="0"/>
    <x v="0"/>
    <s v="South Africa"/>
    <s v="FNB"/>
    <s v="DirectAxis (Carmen Rodrigues)"/>
    <s v="99700015118 DA Business Optimisation"/>
    <s v="Full Time Employee"/>
    <s v="Process, Operations and Administration"/>
    <s v="Resource Planner"/>
    <s v="13 year(s), 5 month(s), 28 day(s)"/>
    <s v="30 - 39"/>
    <s v="Female"/>
    <s v="African (South Africa)"/>
  </r>
  <r>
    <s v="4920740"/>
    <x v="560"/>
    <x v="0"/>
    <x v="0"/>
    <s v="South Africa"/>
    <s v="FNB"/>
    <s v="FNB Commercial Sales Inland (Johan Kotze)"/>
    <s v="34200009213 FNB Commercial Sales Free State Platinum"/>
    <s v="Full Time Employee"/>
    <s v="Sales and Client Services"/>
    <s v="Relationship Analyst"/>
    <s v="10 year(s), 3 month(s), 0 day(s)"/>
    <s v="40 - 49"/>
    <s v="Female"/>
    <s v="White (South Africa)"/>
  </r>
  <r>
    <s v="4921151"/>
    <x v="561"/>
    <x v="0"/>
    <x v="0"/>
    <s v="South Africa"/>
    <s v="FNB"/>
    <s v="FNB Points of Presence (Nomfundo Favourite Chili)"/>
    <s v="771007900 FNB POP Branch Delivery Durban North"/>
    <s v="OBR With Fixed Pay"/>
    <s v="Sales and Client Services"/>
    <s v="Branch Advisor FAIS"/>
    <s v="10 year(s), 4 month(s), 2 day(s)"/>
    <s v="30 - 39"/>
    <s v="Female"/>
    <s v="African (South Africa)"/>
  </r>
  <r>
    <s v="4921852"/>
    <x v="562"/>
    <x v="0"/>
    <x v="0"/>
    <s v="South Africa"/>
    <s v="FNB"/>
    <s v="FNB Connect and Service Provider (MONENE MOILA)"/>
    <s v="83100003092 FNB Connect Risk and Compliance"/>
    <s v="Full Time Employee"/>
    <s v="Legal, Risk and Compliance"/>
    <s v="Operational Risk Head"/>
    <s v="9 year(s), 4 month(s), 2 day(s)"/>
    <s v="50 - 59"/>
    <s v="Male"/>
    <s v="Indian (South Africa)"/>
  </r>
  <r>
    <s v="4924460"/>
    <x v="563"/>
    <x v="0"/>
    <x v="0"/>
    <s v="South Africa"/>
    <s v="FNB"/>
    <s v="CDO Kernel iDnA (Gio Pera)"/>
    <s v="50700001965 CDO Kernel iDnA PMO Data"/>
    <s v="Full Time Employee"/>
    <s v="Process, Operations and Administration"/>
    <s v="Programme Manager"/>
    <s v="10 year(s), 1 month(s), 2 day(s)"/>
    <s v="40 - 49"/>
    <s v="Female"/>
    <s v="White (South Africa)"/>
  </r>
  <r>
    <s v="4927060"/>
    <x v="564"/>
    <x v="0"/>
    <x v="7"/>
    <s v="South Africa"/>
    <s v="RMB"/>
    <s v="RMBSA Technology (Christiaan Du Preez)"/>
    <s v="77800000HOZ RMBSA Executive Support Team"/>
    <s v="Full Time Employee"/>
    <s v="Process, Operations and Administration"/>
    <s v="Executive Assistant"/>
    <s v="5 year(s), 0 month(s), 2 day(s)"/>
    <s v="30 - 39"/>
    <s v="Female"/>
    <s v="African (South Africa)"/>
  </r>
  <r>
    <s v="4928652"/>
    <x v="565"/>
    <x v="0"/>
    <x v="0"/>
    <s v="South Africa"/>
    <s v="FNB"/>
    <s v="FNB Emerging Affluent (Megan Rufener)"/>
    <s v="34100001596 PB&amp;A Sales Solutions Suite"/>
    <s v="Full Time Employee"/>
    <s v="Sales and Client Services"/>
    <s v="Sales Coordinator"/>
    <s v="10 year(s), 3 month(s), 2 day(s)"/>
    <s v="30 - 39"/>
    <s v="Female"/>
    <s v="African (South Africa)"/>
  </r>
  <r>
    <s v="4931289"/>
    <x v="566"/>
    <x v="0"/>
    <x v="27"/>
    <s v="South Africa"/>
    <s v="FNB"/>
    <s v="CDO Infrastructure and Security Services (Tate Mphahlele)"/>
    <s v="20700005088 CDO Infrastructure and Security Services Business Intelligence"/>
    <s v="Full Time Employee"/>
    <s v="Data and Analytics"/>
    <s v="Business Intelligence Analyst"/>
    <s v="10 year(s), 2 month(s), 2 day(s)"/>
    <s v="40 - 49"/>
    <s v="Female"/>
    <s v="African (South Africa)"/>
  </r>
  <r>
    <s v="4932684"/>
    <x v="567"/>
    <x v="0"/>
    <x v="0"/>
    <s v="South Africa"/>
    <s v="RMB"/>
    <s v="RMBSA Global Markets (Reza Cassim)"/>
    <s v="77800000EXE RMBSA Global Markets Executives"/>
    <s v="Full Time Employee"/>
    <s v="Legal, Risk and Compliance"/>
    <s v="Chief Risk Officer Institutional and GM"/>
    <s v="10 year(s), 1 month(s), 17 day(s)"/>
    <s v="40 - 49"/>
    <s v="Male"/>
    <s v="Indian (South Africa)"/>
  </r>
  <r>
    <s v="4935993"/>
    <x v="568"/>
    <x v="0"/>
    <x v="0"/>
    <s v="South Africa"/>
    <s v="FNB"/>
    <s v="HC and FNB EnTech Leads (Hennie Horn)"/>
    <s v="47100001941 HC and FNB EnTech Support"/>
    <s v="Full Time Employee"/>
    <s v="Technology"/>
    <s v="Solutions Architect"/>
    <s v="6 year(s), 4 month(s), 25 day(s)"/>
    <s v="30 - 39"/>
    <s v="Male"/>
    <s v="African (South Africa)"/>
  </r>
  <r>
    <s v="4936795"/>
    <x v="569"/>
    <x v="0"/>
    <x v="0"/>
    <s v="South Africa"/>
    <s v="FNB"/>
    <s v="FNB Personal Exco (Lee Mhlongo)"/>
    <s v="5910701900 FNB Retail CDAO"/>
    <s v="Full Time Employee"/>
    <s v="Data and Analytics"/>
    <s v="Data Head"/>
    <s v="10 year(s), 0 month(s), 9 day(s)"/>
    <s v="30 - 39"/>
    <s v="Female"/>
    <s v="African (South Africa)"/>
  </r>
  <r>
    <s v="4937627"/>
    <x v="570"/>
    <x v="0"/>
    <x v="0"/>
    <s v="South Africa"/>
    <s v="FNB"/>
    <s v="FNB Business Value Propositions (Omelele Mmbo)"/>
    <s v="34300009103 FNB Business Platform Niches"/>
    <s v="Full Time Employee"/>
    <s v="Sales and Client Services"/>
    <s v="Deal Maker"/>
    <s v="10 year(s), 0 month(s), 9 day(s)"/>
    <s v="30 - 39"/>
    <s v="Male"/>
    <s v="Coloured (South Africa)"/>
  </r>
  <r>
    <s v="4939514"/>
    <x v="571"/>
    <x v="0"/>
    <x v="8"/>
    <s v="South Africa"/>
    <s v="FNB"/>
    <s v="FNB Credit Card Product House and Card Platform Chief Executive Office (Senzosenkosi Nsibande)"/>
    <s v="20300008486 FNB Credit Card Credit"/>
    <s v="Full Time Employee"/>
    <s v="Credit"/>
    <s v="Credit Head"/>
    <s v="10 year(s), 0 month(s), 9 day(s)"/>
    <s v="30 - 39"/>
    <s v="Male"/>
    <s v="Indian (South Africa)"/>
  </r>
  <r>
    <s v="4942027"/>
    <x v="572"/>
    <x v="0"/>
    <x v="0"/>
    <s v="South Africa"/>
    <s v="FNB"/>
    <s v="FNB Retail COO (Tara Cabion)"/>
    <s v="69000006171 FNB Retail Enterprise Project Management Office"/>
    <s v="Full Time Employee"/>
    <s v="Process, Operations and Administration"/>
    <s v="Programme Manager"/>
    <s v="10 year(s), 1 month(s), 2 day(s)"/>
    <s v="40 - 49"/>
    <s v="Female"/>
    <s v="Indian (South Africa)"/>
  </r>
  <r>
    <s v="4943384"/>
    <x v="573"/>
    <x v="0"/>
    <x v="0"/>
    <s v="South Africa"/>
    <s v="FNB"/>
    <s v="CDO Kernel ECM (Lucas Molea)"/>
    <s v="79000004946 CDO Kernel ECM"/>
    <s v="Full Time Employee"/>
    <s v="Technology"/>
    <s v="Technical Team Leader"/>
    <s v="9 year(s), 1 month(s), 2 day(s)"/>
    <s v="30 - 39"/>
    <s v="Male"/>
    <s v="White (South Africa)"/>
  </r>
  <r>
    <s v="4943899"/>
    <x v="574"/>
    <x v="0"/>
    <x v="0"/>
    <s v="South Africa"/>
    <s v="FNB"/>
    <s v="FNB Fiduciary (Ralton Leach)"/>
    <s v="54100008438 FNB WI Fiduciary Deceased Reporting DIV"/>
    <s v="Full Time Employee"/>
    <s v="Process, Operations and Administration"/>
    <s v="Fiduciary Administrator"/>
    <s v="9 year(s), 7 month(s), 2 day(s)"/>
    <s v="40 - 49"/>
    <s v="Male"/>
    <s v="African (South Africa)"/>
  </r>
  <r>
    <s v="4944585"/>
    <x v="575"/>
    <x v="0"/>
    <x v="0"/>
    <s v="South Africa"/>
    <s v="FNB"/>
    <s v="FNB Commercial Human Capital (Caricka Breedt)"/>
    <s v="34400009735 FNB Commercial Human Resources"/>
    <s v="Full Time Employee"/>
    <s v="Human Capital"/>
    <s v="Human Capital Head"/>
    <s v="9 year(s), 11 month(s), 19 day(s)"/>
    <s v="40 - 49"/>
    <s v="Female"/>
    <s v="White (South Africa)"/>
  </r>
  <r>
    <s v="4947444"/>
    <x v="576"/>
    <x v="0"/>
    <x v="0"/>
    <s v="Namibia"/>
    <s v="FNB"/>
    <s v="FNB Namibia Chief Executive Office (Conrad Dempsey)"/>
    <s v="302031B9B910 FNB Namibia Strategic Marketing and Communication"/>
    <s v="Full Time Employee"/>
    <s v="Marketing and Communication"/>
    <s v="Chief Marketing Officer"/>
    <s v="10 year(s), 0 month(s), 19 day(s)"/>
    <s v="50 - 59"/>
    <s v="Female"/>
    <s v="Racially advantaged (Namibia)"/>
  </r>
  <r>
    <s v="4948440"/>
    <x v="577"/>
    <x v="0"/>
    <x v="0"/>
    <s v="South Africa"/>
    <s v="WesBank"/>
    <s v="WB Motor (Khaya Mkhize)"/>
    <s v="30100007874 WB Motor HR"/>
    <s v="Full Time Employee"/>
    <s v="Human Capital"/>
    <s v="Learning and Development Manager"/>
    <s v="9 year(s), 11 month(s), 19 day(s)"/>
    <s v="40 - 49"/>
    <s v="Male"/>
    <s v="Indian (South Africa)"/>
  </r>
  <r>
    <s v="4950119"/>
    <x v="578"/>
    <x v="0"/>
    <x v="0"/>
    <s v="South Africa"/>
    <s v="WesBank"/>
    <s v="WB FML Product House (Matome Sekhaolelo)"/>
    <s v="30100005496 WB FML Projects"/>
    <s v="Full Time Employee"/>
    <s v="Data and Analytics"/>
    <s v="Data Analyst"/>
    <s v="10 year(s), 0 month(s), 2 day(s)"/>
    <s v="40 - 49"/>
    <s v="Male"/>
    <s v="White (South Africa)"/>
  </r>
  <r>
    <s v="4952464"/>
    <x v="579"/>
    <x v="0"/>
    <x v="0"/>
    <s v="South Africa"/>
    <s v="FNB"/>
    <s v="FNB CTE Management (Lucen Rathnum (Inherited))"/>
    <s v="86000006462 FNB Learning Quality Management"/>
    <s v="Full Time Employee"/>
    <s v="Human Capital"/>
    <s v="Contact Transaction Enablement Transactional Lead"/>
    <s v="9 year(s), 10 month(s), 27 day(s)"/>
    <s v="40 - 49"/>
    <s v="Female"/>
    <s v="White (South Africa)"/>
  </r>
  <r>
    <s v="4953312"/>
    <x v="580"/>
    <x v="0"/>
    <x v="0"/>
    <s v="South Africa"/>
    <s v="FNB"/>
    <s v="FNB Personal Segment Advisory and Suites (Debora Ngilima)"/>
    <s v="97200009224 PSAS Inbound Sales"/>
    <s v="Full Time Employee"/>
    <s v="Sales and Client Services"/>
    <s v="Sales Advisor"/>
    <s v="9 year(s), 4 month(s), 2 day(s)"/>
    <s v="30 - 39"/>
    <s v="Female"/>
    <s v="African (South Africa)"/>
  </r>
  <r>
    <s v="4955943"/>
    <x v="581"/>
    <x v="0"/>
    <x v="0"/>
    <s v="South Africa"/>
    <s v="FNB"/>
    <s v="FNB Private Core Banking (Crystal Mostert)"/>
    <s v="69000002537 FNB Retail COO Fraud"/>
    <s v="Full Time Employee"/>
    <s v="Process, Operations and Administration"/>
    <s v="Call Centre Team Leader"/>
    <s v="9 year(s), 11 month(s), 12 day(s)"/>
    <s v="30 - 39"/>
    <s v="Female"/>
    <s v="African (South Africa)"/>
  </r>
  <r>
    <s v="4960351"/>
    <x v="582"/>
    <x v="0"/>
    <x v="0"/>
    <s v="South Africa"/>
    <s v="FNB"/>
    <s v="FirstRand Legal (Virgil McLellan)"/>
    <s v="39400001347 FirstRand Legal Litigation"/>
    <s v="Full Time Employee"/>
    <s v="Legal, Risk and Compliance"/>
    <s v="Segment Litigation Head"/>
    <s v="9 year(s), 9 month(s), 23 day(s)"/>
    <s v="40 - 49"/>
    <s v="Female"/>
    <s v="Indian (South Africa)"/>
  </r>
  <r>
    <s v="4961153"/>
    <x v="583"/>
    <x v="0"/>
    <x v="0"/>
    <s v="South Africa"/>
    <s v="FNB"/>
    <s v="FNB Commercial TxP (Sandy Robertson)"/>
    <s v="39800003347 FNB Commercial TxP Operations"/>
    <s v="Full Time Employee"/>
    <s v="Process, Operations and Administration"/>
    <s v="Business Process Manager"/>
    <s v="9 year(s), 9 month(s), 23 day(s)"/>
    <s v="40 - 49"/>
    <s v="Male"/>
    <s v="African (South Africa)"/>
  </r>
  <r>
    <s v="4963105"/>
    <x v="584"/>
    <x v="0"/>
    <x v="0"/>
    <s v="South Africa"/>
    <s v="FNB"/>
    <s v="FNB Commercial National Sales and Service (Chris Prinsloo)"/>
    <s v="34300004388 FNB Commercial CRM Dynamics"/>
    <s v="Full Time Employee"/>
    <s v="Process, Operations and Administration"/>
    <s v="Solution Strategist"/>
    <s v="7 year(s), 9 month(s), 2 day(s)"/>
    <s v="20 - 29"/>
    <s v="Male"/>
    <s v="African (South Africa)"/>
  </r>
  <r>
    <s v="4963873"/>
    <x v="585"/>
    <x v="0"/>
    <x v="0"/>
    <s v="South Africa"/>
    <s v="FNB"/>
    <s v="FNB Personal Segment Advisory and Suites (Anne Ground)"/>
    <s v="97200008621 PSAS Aspire Chat"/>
    <s v="Full Time Employee"/>
    <s v="Sales and Client Services"/>
    <s v="Service and Sales Advisor"/>
    <s v="9 year(s), 10 month(s), 12 day(s)"/>
    <s v="30 - 39"/>
    <s v="Female"/>
    <s v="African (South Africa)"/>
  </r>
  <r>
    <s v="4965175"/>
    <x v="586"/>
    <x v="0"/>
    <x v="0"/>
    <s v="Namibia"/>
    <s v="FNB"/>
    <s v="FNB Group Technology and Operations COO (Rodney Forbes)"/>
    <s v="302000006368 FNB Namibia Digital Transformation and Data Office"/>
    <s v="Full Time Employee"/>
    <s v="Data and Analytics"/>
    <s v="Chief Data and Analytics Officer"/>
    <s v="9 year(s), 10 month(s), 2 day(s)"/>
    <s v="40 - 49"/>
    <s v="Male"/>
    <s v="Racially disadvantaged (Namibia)"/>
  </r>
  <r>
    <s v="4966724"/>
    <x v="587"/>
    <x v="0"/>
    <x v="0"/>
    <s v="South Africa"/>
    <s v="FNB"/>
    <s v="nav Chief Data and Analytics (Mohamed Ally)"/>
    <s v="39400005206 nav Data Insights"/>
    <s v="Full Time Employee"/>
    <s v="Data and Analytics"/>
    <s v="Data Engineer"/>
    <s v="9 year(s), 9 month(s), 23 day(s)"/>
    <s v="30 - 39"/>
    <s v="Male"/>
    <s v="White (South Africa)"/>
  </r>
  <r>
    <s v="4967305"/>
    <x v="588"/>
    <x v="0"/>
    <x v="0"/>
    <s v="South Africa"/>
    <s v="FNB"/>
    <s v="FNB Retail Marketing (Qaqamba Godlo)"/>
    <s v="85500006598 FNB Retail Marketing"/>
    <s v="Full Time Employee"/>
    <s v="Marketing and Communication"/>
    <s v="Marketing Portfolio Manager"/>
    <s v="9 year(s), 9 month(s), 2 day(s)"/>
    <s v="30 - 39"/>
    <s v="Female"/>
    <s v="African (South Africa)"/>
  </r>
  <r>
    <s v="4974298"/>
    <x v="589"/>
    <x v="0"/>
    <x v="0"/>
    <s v="South Africa"/>
    <s v="FNB"/>
    <s v="FNB Retail COO (Priven Moodley)"/>
    <s v="69000002201 FNB Retail COO Business Analysis"/>
    <s v="Full Time Employee"/>
    <s v="Process, Operations and Administration"/>
    <s v="Business Analyst Manager"/>
    <s v="4 year(s), 4 month(s), 2 day(s)"/>
    <s v="30 - 39"/>
    <s v="Male"/>
    <s v="African (South Africa)"/>
  </r>
  <r>
    <s v="4975278"/>
    <x v="590"/>
    <x v="0"/>
    <x v="0"/>
    <s v="South Africa"/>
    <s v="FNB"/>
    <s v="REMS Real Estate Management Services (Lodi Mothiba)"/>
    <s v="22300006243 REMS Finance"/>
    <s v="Full Time Employee"/>
    <s v="Finance"/>
    <s v="Financial Manager"/>
    <s v="6 year(s), 6 month(s), 2 day(s)"/>
    <s v="30 - 39"/>
    <s v="Female"/>
    <s v="African (South Africa)"/>
  </r>
  <r>
    <s v="4983394"/>
    <x v="591"/>
    <x v="0"/>
    <x v="18"/>
    <s v="South Africa"/>
    <s v="RMB"/>
    <s v="RMBSA Sustainable Finance and ESG Advisory (Nigel Beck)"/>
    <s v="77800000SUS RMB - SUS Sustainable Finance"/>
    <s v="Full Time Employee"/>
    <s v="Capital Markets and Invest"/>
    <s v="Transactor"/>
    <s v="9 year(s), 7 month(s), 2 day(s)"/>
    <s v="30 - 39"/>
    <s v="Female"/>
    <s v="African (South Africa)"/>
  </r>
  <r>
    <s v="4991583"/>
    <x v="592"/>
    <x v="0"/>
    <x v="0"/>
    <s v="South Africa"/>
    <s v="FNB"/>
    <s v="FNB Commercial Projects and Operations (Shari Taaibosch)"/>
    <s v="34200009245 FNB Commercial Fulfilment Support"/>
    <s v="Full Time Employee"/>
    <s v="Technology"/>
    <s v="Platform Enablement Lead"/>
    <s v="9 year(s), 6 month(s), 2 day(s)"/>
    <s v="40 - 49"/>
    <s v="Female"/>
    <s v="African (South Africa)"/>
  </r>
  <r>
    <s v="4991656"/>
    <x v="593"/>
    <x v="0"/>
    <x v="0"/>
    <s v="South Africa"/>
    <s v="FNB"/>
    <s v="FNB Affluent (Nelien Dippenaar)"/>
    <s v="34100005227 PB&amp;A Tshwane Affluent NE"/>
    <s v="Full Time Employee"/>
    <s v="Sales and Client Services"/>
    <s v="Banking Advisor Affluent"/>
    <s v="8 year(s), 5 month(s), 2 day(s)"/>
    <s v="30 - 39"/>
    <s v="Male"/>
    <s v="African (South Africa)"/>
  </r>
  <r>
    <s v="4994868"/>
    <x v="594"/>
    <x v="0"/>
    <x v="28"/>
    <s v="South Africa"/>
    <s v="FNB"/>
    <s v="FNB Retail COO (Felicity Dlamini)"/>
    <s v="69000006171 FNB Retail Enterprise Project Management Office"/>
    <s v="Full Time Employee"/>
    <s v="Process, Operations and Administration"/>
    <s v="Senior Project Manager"/>
    <s v="9 year(s), 4 month(s), 2 day(s)"/>
    <s v="30 - 39"/>
    <s v="Male"/>
    <s v="Indian (South Africa)"/>
  </r>
  <r>
    <s v="4995058"/>
    <x v="595"/>
    <x v="0"/>
    <x v="0"/>
    <s v="South Africa"/>
    <s v="FNB"/>
    <s v="FNB Commercial Projects and Operations (Anelda Rischmuller)"/>
    <s v="34200005604 FNB Commercial Data &amp; Analytics"/>
    <s v="Full Time Employee"/>
    <s v="Data and Analytics"/>
    <s v="Business Intelligence Head"/>
    <s v="9 year(s), 5 month(s), 26 day(s)"/>
    <s v="30 - 39"/>
    <s v="Male"/>
    <s v="White (South Africa)"/>
  </r>
  <r>
    <s v="4998332"/>
    <x v="596"/>
    <x v="0"/>
    <x v="0"/>
    <s v="South Africa"/>
    <s v="FNB"/>
    <s v="FNB Private Core Banking (Kestell Theron)"/>
    <s v="41200007812 FNB Private Core Banking Transact Account and Facility"/>
    <s v="Full Time Employee"/>
    <s v="Process, Operations and Administration"/>
    <s v="Solutions Specialist"/>
    <s v="8 year(s), 11 month(s), 14 day(s)"/>
    <s v="30 - 39"/>
    <s v="Male"/>
    <s v="African (South Africa)"/>
  </r>
  <r>
    <s v="5001439"/>
    <x v="597"/>
    <x v="0"/>
    <x v="0"/>
    <s v="South Africa"/>
    <s v="FNB"/>
    <s v="FNB COO Head Office (Dane Liebenberg)"/>
    <s v="69000005399 FNB Retail Platform Enablement"/>
    <s v="Full Time Employee"/>
    <s v="Process, Operations and Administration"/>
    <s v="Solutions Platform Manager"/>
    <s v="9 year(s), 5 month(s), 2 day(s)"/>
    <s v="40 - 49"/>
    <s v="Male"/>
    <s v="Indian (South Africa)"/>
  </r>
  <r>
    <s v="5004918"/>
    <x v="598"/>
    <x v="0"/>
    <x v="0"/>
    <s v="South Africa"/>
    <s v="FNB"/>
    <s v="FNB HSL (Chris Labuschagne)"/>
    <s v="21200003024 HSL Finance Support"/>
    <s v="Full Time Employee"/>
    <s v="Finance"/>
    <s v="Financial Manager"/>
    <s v="8 year(s), 10 month(s), 2 day(s)"/>
    <s v="30 - 39"/>
    <s v="Male"/>
    <s v="African (South Africa)"/>
  </r>
  <r>
    <s v="5008832"/>
    <x v="599"/>
    <x v="0"/>
    <x v="0"/>
    <s v="South Africa"/>
    <s v="FNB"/>
    <s v="FNB nav (Jolande Duvenage)"/>
    <s v="39400003192 FNB nav Head Office"/>
    <s v="Full Time Employee"/>
    <s v="Product"/>
    <s v="Product Head"/>
    <s v="9 year(s), 4 month(s), 2 day(s)"/>
    <s v="30 - 39"/>
    <s v="Female"/>
    <s v="Indian (South Africa)"/>
  </r>
  <r>
    <s v="5012457"/>
    <x v="600"/>
    <x v="0"/>
    <x v="0"/>
    <s v="South Africa"/>
    <s v="FNB"/>
    <s v="FNB Private Banking &amp; Advisory (Kotane Lekota)"/>
    <s v="34100003505 PB&amp;A Coverage Wealth"/>
    <s v="Full Time Employee"/>
    <s v="Sales and Client Services"/>
    <s v="Sales and Service Manager"/>
    <s v="9 year(s), 4 month(s), 2 day(s)"/>
    <s v="30 - 39"/>
    <s v="Female"/>
    <s v="Indian (South Africa)"/>
  </r>
  <r>
    <s v="5013569"/>
    <x v="601"/>
    <x v="0"/>
    <x v="5"/>
    <s v="South Africa"/>
    <s v="FNB"/>
    <s v="FNB Retail Exco (Vongani Mageza)"/>
    <s v="85500006598 FNB Retail Marketing"/>
    <s v="Full Time Employee"/>
    <s v="Marketing and Communication"/>
    <s v="Pillar Marketing Lead"/>
    <s v="6 year(s), 9 month(s), 2 day(s)"/>
    <s v="40 - 49"/>
    <s v="Female"/>
    <s v="Coloured (South Africa)"/>
  </r>
  <r>
    <s v="5017629"/>
    <x v="602"/>
    <x v="0"/>
    <x v="0"/>
    <s v="South Africa"/>
    <s v="FNB"/>
    <s v="CDO Kernel iNterfaceX (Anelisa Bam)"/>
    <s v="21800009856 CDO Kernel iNterfaceX Online Banking Business Analysis"/>
    <s v="Full Time Employee"/>
    <s v="Process, Operations and Administration"/>
    <s v="Business Analyst"/>
    <s v="8 year(s), 4 month(s), 2 day(s)"/>
    <s v="30 - 39"/>
    <s v="Female"/>
    <s v="African (South Africa)"/>
  </r>
  <r>
    <s v="5018692"/>
    <x v="603"/>
    <x v="0"/>
    <x v="0"/>
    <s v="South Africa"/>
    <s v="FNB"/>
    <s v="FNB HSL (Pam Hlungwani)"/>
    <s v="21200003096 Home Finance Product Department"/>
    <s v="Full Time Employee"/>
    <s v="Product"/>
    <s v="Product Specialist"/>
    <s v="9 year(s), 3 month(s), 2 day(s)"/>
    <s v="30 - 39"/>
    <s v="Female"/>
    <s v="Indian (South Africa)"/>
  </r>
  <r>
    <s v="5020964"/>
    <x v="604"/>
    <x v="0"/>
    <x v="1"/>
    <s v="South Africa"/>
    <s v="FNB"/>
    <s v="FNB Personal Core Banking (Christelle Pretorius)"/>
    <s v="48100002235 FNB Personal Core Banking Personal VISA"/>
    <s v="Full Time Employee"/>
    <s v="Sales and Client Services"/>
    <s v="Partnerships and Growth Head"/>
    <s v="9 year(s), 1 month(s), 2 day(s)"/>
    <s v="30 - 39"/>
    <s v="Female"/>
    <s v="White (South Africa)"/>
  </r>
  <r>
    <s v="5022290"/>
    <x v="605"/>
    <x v="0"/>
    <x v="0"/>
    <s v="South Africa"/>
    <s v="FNB"/>
    <s v="FNB Cash Investments (Kamogelo Masalesa)"/>
    <s v="65100005374 FNB Premium Cash Investments Operations"/>
    <s v="Full Time Employee"/>
    <s v="Marketing and Communication"/>
    <s v="Campaign Analyst"/>
    <s v="9 year(s), 2 month(s), 20 day(s)"/>
    <s v="30 - 39"/>
    <s v="Male"/>
    <s v="African (South Africa)"/>
  </r>
  <r>
    <s v="5027535"/>
    <x v="606"/>
    <x v="0"/>
    <x v="0"/>
    <s v="South Africa"/>
    <s v="FNB"/>
    <s v="FNB Commercial TxP (Louise Roux)"/>
    <s v="39800008853 FNB Commercial TxP Lend Products"/>
    <s v="Full Time Employee"/>
    <s v="Product"/>
    <s v="Product Manager"/>
    <s v="9 year(s), 1 month(s), 2 day(s)"/>
    <s v="30 - 39"/>
    <s v="Male"/>
    <s v="African (South Africa)"/>
  </r>
  <r>
    <s v="5029775"/>
    <x v="607"/>
    <x v="0"/>
    <x v="10"/>
    <s v="South Africa"/>
    <s v="RMB"/>
    <s v="RMBSA LRC Credit Risk Management (Thabani Zungu)"/>
    <s v="77800000SFC RMBSA IBD Structured Credit Analysts"/>
    <s v="Full Time Employee"/>
    <s v="Credit"/>
    <s v="Credit Executive Sponsor"/>
    <s v="9 year(s), 1 month(s), 2 day(s)"/>
    <s v="30 - 39"/>
    <s v="Female"/>
    <s v="White (South Africa)"/>
  </r>
  <r>
    <s v="5030374"/>
    <x v="608"/>
    <x v="0"/>
    <x v="29"/>
    <s v="South Africa"/>
    <s v="RMB"/>
    <s v="RMBSA IBD Real Estate Team A (Dylan Stevenson)"/>
    <s v="77800000SFP RMBSA IBD Real Estate"/>
    <s v="Full Time Employee"/>
    <s v="Capital Markets and Invest"/>
    <s v="Transactor"/>
    <s v="5 year(s), 11 month(s), 2 day(s)"/>
    <s v="30 - 39"/>
    <s v="Male"/>
    <s v="African (South Africa)"/>
  </r>
  <r>
    <s v="5030722"/>
    <x v="609"/>
    <x v="0"/>
    <x v="0"/>
    <s v="South Africa"/>
    <s v="FNB"/>
    <s v="CDO Banking (Karenza Van Heerden)"/>
    <s v="79000007694 FNB Enablement OCIO Quality Assurance Testing"/>
    <s v="Full Time Employee"/>
    <s v="Technology"/>
    <s v="Performance Test Engineer"/>
    <s v="9 year(s), 1 month(s), 2 day(s)"/>
    <s v="50 - 59"/>
    <s v="Male"/>
    <s v="White (South Africa)"/>
  </r>
  <r>
    <s v="5036445"/>
    <x v="610"/>
    <x v="0"/>
    <x v="0"/>
    <s v="South Africa"/>
    <s v="FNB"/>
    <s v="REMS Real Estate Management Services (Themba Ntuli)"/>
    <s v="22300005765 REMS Menlyn Facilities"/>
    <s v="Full Time Employee"/>
    <s v="Process, Operations and Administration"/>
    <s v="Administrator"/>
    <s v="8 year(s), 2 month(s), 2 day(s)"/>
    <s v="30 - 39"/>
    <s v="Male"/>
    <s v="African (South Africa)"/>
  </r>
  <r>
    <s v="5036976"/>
    <x v="611"/>
    <x v="0"/>
    <x v="0"/>
    <s v="South Africa"/>
    <s v="FNB"/>
    <s v="FNB Credit Card (Jaya Govender)"/>
    <s v="20300004537 FNB Card Enabler Fleet Fraud"/>
    <s v="Full Time Employee"/>
    <s v="Legal, Risk and Compliance"/>
    <s v="Fraud Analyst"/>
    <s v="7 year(s), 10 month(s), 2 day(s)"/>
    <s v="30 - 39"/>
    <s v="Male"/>
    <s v="African (South Africa)"/>
  </r>
  <r>
    <s v="5041260"/>
    <x v="612"/>
    <x v="0"/>
    <x v="0"/>
    <s v="South Africa"/>
    <s v="FNB"/>
    <s v="nav Chief Data and Analytics (Mohamed Ally)"/>
    <s v="39400005206 nav Data Insights"/>
    <s v="Full Time Employee"/>
    <s v="Data and Analytics"/>
    <s v="Data Steward"/>
    <s v="10 year(s), 6 month(s), 20 day(s)"/>
    <s v="30 - 39"/>
    <s v="Female"/>
    <s v="African (South Africa)"/>
  </r>
  <r>
    <s v="5043050"/>
    <x v="613"/>
    <x v="0"/>
    <x v="0"/>
    <s v="South Africa"/>
    <s v="FNB"/>
    <s v="FNB Private Banking and Advisory (Diren Jugmohan)"/>
    <s v="34100007658 PB&amp;A Fairlands Wealth"/>
    <s v="OBR With Fixed Pay"/>
    <s v="Sales and Client Services"/>
    <s v="Private Wealth Advisor"/>
    <s v="8 year(s), 10 month(s), 2 day(s)"/>
    <s v="40 - 49"/>
    <s v="Male"/>
    <s v="White (South Africa)"/>
  </r>
  <r>
    <s v="5043174"/>
    <x v="614"/>
    <x v="0"/>
    <x v="0"/>
    <s v="South Africa"/>
    <s v="FNB"/>
    <s v="FNB eBucks (Bathandwa Mbovane (Inherited))"/>
    <s v="25600005661 FNB eBucks FirstRand Partner Management"/>
    <s v="Full Time Employee"/>
    <s v="Product"/>
    <s v="Product Manager"/>
    <s v="8 year(s), 10 month(s), 2 day(s)"/>
    <s v="30 - 39"/>
    <s v="Female"/>
    <s v="Indian (South Africa)"/>
  </r>
  <r>
    <s v="5053625"/>
    <x v="615"/>
    <x v="0"/>
    <x v="0"/>
    <s v="South Africa"/>
    <s v="FNB"/>
    <s v="CDO Infrastructure and Security Services (Riaaz Ben)"/>
    <s v="20700005247 CDO Identity and Access Governance"/>
    <s v="Full Time Employee"/>
    <s v="Technology"/>
    <s v="Test Analyst"/>
    <s v="8 year(s), 7 month(s), 2 day(s)"/>
    <s v="30 - 39"/>
    <s v="Female"/>
    <s v="African (South Africa)"/>
  </r>
  <r>
    <s v="5056837"/>
    <x v="616"/>
    <x v="0"/>
    <x v="0"/>
    <s v="South Africa"/>
    <s v="WesBank"/>
    <s v="WB IT Business Enablement (Thokozile Khobane)"/>
    <s v="30100002006 WB IT Business Analysis"/>
    <s v="Full Time Employee"/>
    <s v="Process, Operations and Administration"/>
    <s v="Business Analyst"/>
    <s v="8 year(s), 0 month(s), 2 day(s)"/>
    <s v="30 - 39"/>
    <s v="Female"/>
    <s v="African (South Africa)"/>
  </r>
  <r>
    <s v="5057019"/>
    <x v="617"/>
    <x v="0"/>
    <x v="0"/>
    <s v="South Africa"/>
    <s v="FNB"/>
    <s v="FNB Points of Presence (Grace Rammela)"/>
    <s v="771046600 FNB POP Branch Delivery Thohoyandou"/>
    <s v="Full Time Employee"/>
    <s v="Sales and Client Services"/>
    <s v="Branch Delivery Sales and Service Team Leader"/>
    <s v="8 year(s), 7 month(s), 22 day(s)"/>
    <s v="30 - 39"/>
    <s v="Female"/>
    <s v="African (South Africa)"/>
  </r>
  <r>
    <s v="5060761"/>
    <x v="618"/>
    <x v="0"/>
    <x v="0"/>
    <s v="South Africa"/>
    <s v="FNB"/>
    <s v="FNB Credit Card (Jaco Van Wyk)"/>
    <s v="20300008297 FNB Credit Card Fleet"/>
    <s v="Full Time Employee"/>
    <s v="Sales and Client Services"/>
    <s v="Growth Specialist"/>
    <s v="8 year(s), 7 month(s), 2 day(s)"/>
    <s v="30 - 39"/>
    <s v="Male"/>
    <s v="African (South Africa)"/>
  </r>
  <r>
    <s v="5061040"/>
    <x v="619"/>
    <x v="0"/>
    <x v="1"/>
    <s v="South Africa"/>
    <s v="RMB"/>
    <s v="RMBSA Technology (Christiaan Du Preez)"/>
    <s v="77800000TFE RMB - RMB BT Enablement"/>
    <s v="Full Time Employee"/>
    <s v="Technology"/>
    <s v="Chief Information Officer"/>
    <s v="8 year(s), 7 month(s), 2 day(s)"/>
    <s v="50 - 59"/>
    <s v="Female"/>
    <s v="African (South Africa)"/>
  </r>
  <r>
    <s v="5061725"/>
    <x v="620"/>
    <x v="0"/>
    <x v="1"/>
    <s v="South Africa"/>
    <s v="FirstRand Corporate Centre"/>
    <s v="FRCC Platform Journey Office (Kam Gopaldass)"/>
    <s v="20200010712 FRCC Platform Journey Office"/>
    <s v="Full Time Employee"/>
    <s v="Process, Operations and Administration"/>
    <s v="Business Analysis and Solutions Manager"/>
    <s v="8 year(s), 1 month(s), 2 day(s)"/>
    <s v="30 - 39"/>
    <s v="Male"/>
    <s v="White (South Africa)"/>
  </r>
  <r>
    <s v="5062667"/>
    <x v="621"/>
    <x v="0"/>
    <x v="0"/>
    <s v="South Africa"/>
    <s v="FNB"/>
    <s v="CDO Kernel iNterfaceX Fraud Risk Management (Craig Grieve)"/>
    <s v="21800006165 CDO Kernel iNterfaceX Audit and Risk"/>
    <s v="Full Time Employee"/>
    <s v="Legal, Risk and Compliance"/>
    <s v="IT Risk Head"/>
    <s v="8 year(s), 6 month(s), 2 day(s)"/>
    <s v="30 - 39"/>
    <s v="Female"/>
    <s v="African (South Africa)"/>
  </r>
  <r>
    <s v="5065267"/>
    <x v="622"/>
    <x v="0"/>
    <x v="30"/>
    <s v="South Africa"/>
    <s v="FNB"/>
    <s v="FNB Private Core Banking (Ryan Leicher)"/>
    <s v="48100009834 FNB Personal Core Banking Human Capital"/>
    <s v="Full Time Employee"/>
    <s v="Human Capital"/>
    <s v="Learning Consultant"/>
    <s v="8 year(s), 6 month(s), 2 day(s)"/>
    <s v="30 - 39"/>
    <s v="Female"/>
    <s v="Indian (South Africa)"/>
  </r>
  <r>
    <s v="5066964"/>
    <x v="623"/>
    <x v="0"/>
    <x v="12"/>
    <s v="South Africa"/>
    <s v="FNB"/>
    <s v="FNB nav Head Office (Pierre Boshoff)"/>
    <s v="39400005207 nav Retail Technology"/>
    <s v="Full Time Employee"/>
    <s v="Technology"/>
    <s v="JAVA Developer Team Leader"/>
    <s v="8 year(s), 5 month(s), 6 day(s)"/>
    <s v="30 - 39"/>
    <s v="Male"/>
    <s v="African (South Africa)"/>
  </r>
  <r>
    <s v="5068649"/>
    <x v="624"/>
    <x v="0"/>
    <x v="0"/>
    <s v="South Africa"/>
    <s v="FNB"/>
    <s v="FNB Commercial Structured Finance Solutions (Tholwana Molefe)"/>
    <s v="33900009219 FNB Commercial Debtor Finance Operations"/>
    <s v="Full Time Employee"/>
    <s v="Credit"/>
    <s v="Debtor Finance Analyst"/>
    <s v="8 year(s), 5 month(s), 27 day(s)"/>
    <s v="30 - 39"/>
    <s v="Male"/>
    <s v="White (South Africa)"/>
  </r>
  <r>
    <s v="5068924"/>
    <x v="625"/>
    <x v="0"/>
    <x v="0"/>
    <s v="South Africa"/>
    <s v="FirstRand Corporate Centre"/>
    <s v="Inflexion Platform (Matthew Hale)"/>
    <s v="20200004626 FRCC Payments Platform"/>
    <s v="Full Time Employee"/>
    <s v="Process, Operations and Administration"/>
    <s v="Business Analyst Lead"/>
    <s v="8 year(s), 0 month(s), 12 day(s)"/>
    <s v="30 - 39"/>
    <s v="Male"/>
    <s v="Coloured (South Africa)"/>
  </r>
  <r>
    <s v="5069939"/>
    <x v="626"/>
    <x v="0"/>
    <x v="0"/>
    <s v="South Africa"/>
    <s v="FNB"/>
    <s v="FNB Personal Segment Advisory and Suites (Nino Anthony)"/>
    <s v="97200005296 PSAS Premier Chat"/>
    <s v="Full Time Employee"/>
    <s v="Sales and Client Services"/>
    <s v="Service and Sales Advisor"/>
    <s v="7 year(s), 5 month(s), 2 day(s)"/>
    <s v="30 - 39"/>
    <s v="Male"/>
    <s v="African (South Africa)"/>
  </r>
  <r>
    <s v="5070244"/>
    <x v="627"/>
    <x v="0"/>
    <x v="0"/>
    <s v="South Africa"/>
    <s v="FNB"/>
    <s v="FNB Point of Presence (Tokoloho Pitso)"/>
    <s v="771084000 FNB POP Branch Delivery Randburg Square"/>
    <s v="OBR With Fixed Pay"/>
    <s v="Sales and Client Services"/>
    <s v="Branch Advisor FAIS"/>
    <s v="8 year(s), 5 month(s), 2 day(s)"/>
    <s v="30 - 39"/>
    <s v="Female"/>
    <s v="African (South Africa)"/>
  </r>
  <r>
    <s v="5071151"/>
    <x v="628"/>
    <x v="0"/>
    <x v="0"/>
    <s v="South Africa"/>
    <s v="FNB"/>
    <s v="FNB Personal Segment Advisory and Suites (Sarushan Naidoo)"/>
    <s v="97200009224 PSAS Inbound Sales"/>
    <s v="Full Time Employee"/>
    <s v="Sales and Client Services"/>
    <s v="Sales Advisor"/>
    <s v="8 year(s), 5 month(s), 13 day(s)"/>
    <s v="30 - 39"/>
    <s v="Female"/>
    <s v="African (South Africa)"/>
  </r>
  <r>
    <s v="5072638"/>
    <x v="629"/>
    <x v="0"/>
    <x v="13"/>
    <s v="South Africa"/>
    <s v="FNB"/>
    <s v="CDO Infrastructure and Security Services (Patrick Mosakoa)"/>
    <s v="20700005499 CDO Infrastructure and Security Services Security Delivery"/>
    <s v="Full Time Employee"/>
    <s v="Technology"/>
    <s v="IT Security Specialist"/>
    <s v="5 year(s), 10 month(s), 18 day(s)"/>
    <s v="30 - 39"/>
    <s v="Female"/>
    <s v="African (South Africa)"/>
  </r>
  <r>
    <s v="5074258"/>
    <x v="630"/>
    <x v="0"/>
    <x v="22"/>
    <s v="South Africa"/>
    <s v="FNB"/>
    <s v="FNB Central Finance (Cayoom Garrido)"/>
    <s v="39400004304 FNB Finance Support Legal and Risk"/>
    <s v="Full Time Employee"/>
    <s v="Legal, Risk and Compliance"/>
    <s v="Risk Manager"/>
    <s v="8 year(s), 4 month(s), 2 day(s)"/>
    <s v="30 - 39"/>
    <s v="Female"/>
    <s v="White (South Africa)"/>
  </r>
  <r>
    <s v="5076234"/>
    <x v="631"/>
    <x v="0"/>
    <x v="0"/>
    <s v="South Africa"/>
    <s v="FNB"/>
    <s v="FNB Points of Presence (Kobus Steenkamp)"/>
    <s v="771027600 FNB POP Branch Delivery Kroonstad"/>
    <s v="Full Time Employee"/>
    <s v="Sales and Client Services"/>
    <s v="Associate"/>
    <s v="8 year(s), 4 month(s), 16 day(s)"/>
    <s v="30 - 39"/>
    <s v="Male"/>
    <s v="African (South Africa)"/>
  </r>
  <r>
    <s v="5079888"/>
    <x v="632"/>
    <x v="0"/>
    <x v="0"/>
    <s v="South Africa"/>
    <s v="FNB"/>
    <s v="FNB Affluent (Nelien Dippenaar)"/>
    <s v="34100005227 PB&amp;A Tshwane Affluent NE"/>
    <s v="OBR With Fixed Pay"/>
    <s v="Sales and Client Services"/>
    <s v="Banking Advisor Affluent"/>
    <s v="8 year(s), 4 month(s), 2 day(s)"/>
    <s v="30 - 39"/>
    <s v="Female"/>
    <s v="African (South Africa)"/>
  </r>
  <r>
    <s v="5080096"/>
    <x v="633"/>
    <x v="0"/>
    <x v="15"/>
    <s v="South Africa"/>
    <s v="FNB"/>
    <s v="FNB Core Banking Platform (Farieda Mayet (Inherited))"/>
    <s v="59600007235 FNB Personal and Private IT Home Loans IT Systems"/>
    <s v="Full Time Employee"/>
    <s v="Technology"/>
    <s v="Technical Team Leader"/>
    <s v="8 year(s), 3 month(s), 2 day(s)"/>
    <s v="40 - 49"/>
    <s v="Female"/>
    <s v="Indian (South Africa)"/>
  </r>
  <r>
    <s v="5084474"/>
    <x v="634"/>
    <x v="0"/>
    <x v="0"/>
    <s v="South Africa"/>
    <s v="FNB"/>
    <s v="HC and FNB EnTech Leads (Sivy Veloo)"/>
    <s v="86000001986 FNB HC Operations Technology"/>
    <s v="Full Time Employee"/>
    <s v="Technology"/>
    <s v="Technical Team Leader"/>
    <s v="7 year(s), 7 month(s), 2 day(s)"/>
    <s v="40 - 49"/>
    <s v="Male"/>
    <s v="White (South Africa)"/>
  </r>
  <r>
    <s v="5084725"/>
    <x v="635"/>
    <x v="0"/>
    <x v="0"/>
    <s v="South Africa"/>
    <s v="FNB"/>
    <s v="CDO Kernel Integrations (Rudzani Nemusombori)"/>
    <s v="79000005315 CDO Kernel Integrations"/>
    <s v="Full Time Employee"/>
    <s v="Technology"/>
    <s v="Systems Analyst"/>
    <s v="8 year(s), 2 month(s), 28 day(s)"/>
    <s v="30 - 39"/>
    <s v="Male"/>
    <s v="African (South Africa)"/>
  </r>
  <r>
    <s v="5086027"/>
    <x v="636"/>
    <x v="0"/>
    <x v="0"/>
    <s v="South Africa"/>
    <s v="FNB"/>
    <s v="FNB Emerging Affluent (Chantal Pillay)"/>
    <s v="34100001596 PB&amp;A Sales Solutions Suite"/>
    <s v="OBR With Fixed Pay"/>
    <s v="Sales and Client Services"/>
    <s v="Sales Advisor"/>
    <s v="8 year(s), 3 month(s), 2 day(s)"/>
    <s v="30 - 39"/>
    <s v="Female"/>
    <s v="African (South Africa)"/>
  </r>
  <r>
    <s v="5087112"/>
    <x v="637"/>
    <x v="0"/>
    <x v="0"/>
    <s v="South Africa"/>
    <s v="FNB"/>
    <s v="FNB Commercial Merchant Services (Netsai Ngidi)"/>
    <s v="22800004061 FNB Commercial Merchant Services Product and Solutions"/>
    <s v="Full Time Employee"/>
    <s v="Sales and Client Services"/>
    <s v="Industry Manager"/>
    <s v="8 year(s), 1 month(s), 2 day(s)"/>
    <s v="40 - 49"/>
    <s v="Female"/>
    <s v="African (South Africa)"/>
  </r>
  <r>
    <s v="5089875"/>
    <x v="638"/>
    <x v="0"/>
    <x v="0"/>
    <s v="South Africa"/>
    <s v="FNB"/>
    <s v="FNB HSL. (Leanne Brooks)"/>
    <s v="69000002201 FNB Retail COO Business Analysis"/>
    <s v="Full Time Employee"/>
    <s v="Process, Operations and Administration"/>
    <s v="Business Analyst"/>
    <s v="10 year(s), 5 month(s), 2 day(s)"/>
    <s v="40 - 49"/>
    <s v="Female"/>
    <s v="White (South Africa)"/>
  </r>
  <r>
    <s v="5090598"/>
    <x v="639"/>
    <x v="0"/>
    <x v="0"/>
    <s v="South Africa"/>
    <s v="FNB"/>
    <s v="FNB Chief Executive Office Commercial RoFA (Dinesh Fakir)"/>
    <s v="83200004115 FNB International Global Business Banking"/>
    <s v="Full Time Employee"/>
    <s v="Product"/>
    <s v="Product Head"/>
    <s v="8 year(s), 0 month(s), 12 day(s)"/>
    <s v="30 - 39"/>
    <s v="Male"/>
    <s v="White (South Africa)"/>
  </r>
  <r>
    <s v="5091136"/>
    <x v="640"/>
    <x v="0"/>
    <x v="0"/>
    <s v="South Africa"/>
    <s v="FNB"/>
    <s v="FNB Dynamic Decisioning (Adeleya Davis)"/>
    <s v="23900003941 FNB Dynamic Decisioning Cortex"/>
    <s v="Full Time Employee"/>
    <s v="Technology"/>
    <s v="Solutions Architect"/>
    <s v="8 year(s), 0 month(s), 12 day(s)"/>
    <s v="30 - 39"/>
    <s v="Female"/>
    <s v="Coloured (South Africa)"/>
  </r>
  <r>
    <s v="5092620"/>
    <x v="641"/>
    <x v="0"/>
    <x v="0"/>
    <s v="South Africa"/>
    <s v="FNB"/>
    <s v="FNB Core Banking Platform (Nicolaas Swanepoel)"/>
    <s v="59600010091 FNB Personal and Private IT WB Information Security"/>
    <s v="Full Time Employee"/>
    <s v="Technology"/>
    <s v="IT Security Analyst"/>
    <s v="7 year(s), 0 month(s), 2 day(s)"/>
    <s v="30 - 39"/>
    <s v="Male"/>
    <s v="African (South Africa)"/>
  </r>
  <r>
    <s v="5093120"/>
    <x v="642"/>
    <x v="0"/>
    <x v="0"/>
    <s v="South Africa"/>
    <s v="FNB"/>
    <s v="FNB Credit Card (Cilliers Kriel)"/>
    <s v="20300004152 FNB Card Enabler Data and Analytics"/>
    <s v="Full Time Employee"/>
    <s v="Technology"/>
    <s v="Information Architecture Head"/>
    <s v="8 year(s), 0 month(s), 2 day(s)"/>
    <s v="40 - 49"/>
    <s v="Female"/>
    <s v="White (South Africa)"/>
  </r>
  <r>
    <s v="5093155"/>
    <x v="643"/>
    <x v="0"/>
    <x v="18"/>
    <s v="South Africa"/>
    <s v="FNB"/>
    <s v="FNB Points of Presence (Vumbhoni Allan Shandlale)"/>
    <s v="69000001647 FNB Retail Engineering and Analysis"/>
    <s v="Full Time Employee"/>
    <s v="Process, Operations and Administration"/>
    <s v="Business Process Manager"/>
    <s v="8 year(s), 1 month(s), 2 day(s)"/>
    <s v="30 - 39"/>
    <s v="Female"/>
    <s v="African (South Africa)"/>
  </r>
  <r>
    <s v="5096979"/>
    <x v="644"/>
    <x v="0"/>
    <x v="0"/>
    <s v="South Africa"/>
    <s v="FirstRand Corporate Centre"/>
    <s v="Group Chief Digital Office (Kevin Mitchell)"/>
    <s v="20200010712 FRCC Platform Journey Office"/>
    <s v="Full Time Employee"/>
    <s v="Human Capital"/>
    <s v="Segment Human Capital Business Transformation Lead"/>
    <s v="8 year(s), 0 month(s), 2 day(s)"/>
    <s v="30 - 39"/>
    <s v="Female"/>
    <s v="White (South Africa)"/>
  </r>
  <r>
    <s v="5097096"/>
    <x v="645"/>
    <x v="0"/>
    <x v="0"/>
    <s v="South Africa"/>
    <s v="FNB"/>
    <s v="FNB Private Banking and Advisory (Cohen Naidoo)"/>
    <s v="34100003502 PB&amp;A Bedfordview Wealth"/>
    <s v="OBR With Fixed Pay"/>
    <s v="Sales and Client Services"/>
    <s v="Banking Advisor Wealth"/>
    <s v="8 year(s), 0 month(s), 19 day(s)"/>
    <s v="30 - 39"/>
    <s v="Female"/>
    <s v="African (South Africa)"/>
  </r>
  <r>
    <s v="5100305"/>
    <x v="646"/>
    <x v="0"/>
    <x v="0"/>
    <s v="South Africa"/>
    <s v="FNB"/>
    <s v="FNB Loans (Francois Schreuder)"/>
    <s v="79100007564 FNB Consumer Loans Unsecured Pillar"/>
    <s v="Full Time Employee"/>
    <s v="Sales and Client Services"/>
    <s v="Growth Specialist"/>
    <s v="7 year(s), 6 month(s), 2 day(s)"/>
    <s v="20 - 29"/>
    <s v="Male"/>
    <s v="White (South Africa)"/>
  </r>
  <r>
    <s v="5101042"/>
    <x v="647"/>
    <x v="0"/>
    <x v="0"/>
    <s v="South Africa"/>
    <s v="FNB"/>
    <s v="FNB Commercial TxP (Ansley Adams)"/>
    <s v="39800002945 FNB Commercial TxP Credit Card Sales"/>
    <s v="Full Time Employee"/>
    <s v="Sales and Client Services"/>
    <s v="Regional Manager"/>
    <s v="8 year(s), 0 month(s), 2 day(s)"/>
    <s v="30 - 39"/>
    <s v="Male"/>
    <s v="Coloured (South Africa)"/>
  </r>
  <r>
    <s v="5102758"/>
    <x v="648"/>
    <x v="0"/>
    <x v="0"/>
    <s v="Namibia"/>
    <s v="FNB"/>
    <s v="FNB Namibia Chief Executive Office (Conrad Dempsey)"/>
    <s v="302000016042 FNB Namibia Retail Operations"/>
    <s v="Full Time Employee"/>
    <s v="Process, Operations and Administration"/>
    <s v="Executive Officer Retail"/>
    <s v="8 year(s), 0 month(s), 2 day(s)"/>
    <s v="40 - 49"/>
    <s v="Female"/>
    <s v="Racially disadvantaged (Namibia)"/>
  </r>
  <r>
    <s v="5107547"/>
    <x v="649"/>
    <x v="0"/>
    <x v="0"/>
    <s v="South Africa"/>
    <s v="FNB"/>
    <s v="FNB COO Head Office (Mareli Benn)"/>
    <s v="69000004783 FNB COO - Communications"/>
    <s v="Full Time Employee"/>
    <s v="Marketing and Communication"/>
    <s v="Communications Manager"/>
    <s v="7 year(s), 10 month(s), 14 day(s)"/>
    <s v="30 - 39"/>
    <s v="Female"/>
    <s v="African (South Africa)"/>
  </r>
  <r>
    <s v="5108136"/>
    <x v="650"/>
    <x v="0"/>
    <x v="15"/>
    <s v="South Africa"/>
    <s v="FNB"/>
    <s v="FNB Points of Presence (Michael Meyer)"/>
    <s v="7710710200 FNB POP Learning and Development"/>
    <s v="Full Time Employee"/>
    <s v="Human Capital"/>
    <s v="Learning Coordinator"/>
    <s v="7 year(s), 0 month(s), 2 day(s)"/>
    <s v="30 - 39"/>
    <s v="Male"/>
    <s v="African (South Africa)"/>
  </r>
  <r>
    <s v="5112575"/>
    <x v="651"/>
    <x v="0"/>
    <x v="0"/>
    <s v="South Africa"/>
    <s v="RMB"/>
    <s v="RMBSA Technology (Christiaan Du Preez)"/>
    <s v="77800000RNJ RMB RNJ RMB Client Tech"/>
    <s v="Full Time Employee"/>
    <s v="Technology"/>
    <s v="Chief Information Officer Client Coverage"/>
    <s v="7 year(s), 8 month(s), 2 day(s)"/>
    <s v="50 - 59"/>
    <s v="Male"/>
    <s v="White (South Africa)"/>
  </r>
  <r>
    <s v="5115345"/>
    <x v="652"/>
    <x v="0"/>
    <x v="17"/>
    <s v="South Africa"/>
    <s v="FNB"/>
    <s v="FNB Points of Presence (Moloisho Mashiloane)"/>
    <s v="771063100 FNB POP Branch Delivery Northgate"/>
    <s v="OBR With Fixed Pay"/>
    <s v="Sales and Client Services"/>
    <s v="Branch Advisor FAIS"/>
    <s v="7 year(s), 10 month(s), 2 day(s)"/>
    <s v="30 - 39"/>
    <s v="Female"/>
    <s v="African (South Africa)"/>
  </r>
  <r>
    <s v="5116716"/>
    <x v="653"/>
    <x v="0"/>
    <x v="0"/>
    <s v="South Africa"/>
    <s v="FNB"/>
    <s v="FNB Personal Core Banking (Stephen Barnes)"/>
    <s v="48100005372 FNB Personal Core Banking Consumer Value Management"/>
    <s v="Full Time Employee"/>
    <s v="Data and Analytics"/>
    <s v="Data Science Manager"/>
    <s v="7 year(s), 10 month(s), 2 day(s)"/>
    <s v="30 - 39"/>
    <s v="Male"/>
    <s v="White (South Africa)"/>
  </r>
  <r>
    <s v="5118875"/>
    <x v="654"/>
    <x v="0"/>
    <x v="14"/>
    <s v="Namibia"/>
    <s v="FNB"/>
    <s v="FNB Group Technology and Operations COO (Rodney Forbes)"/>
    <s v="302000005067 FNB Namibia Project Management Office"/>
    <s v="Full Time Employee"/>
    <s v="Process, Operations and Administration"/>
    <s v="Project Management Office Head"/>
    <s v="7 year(s), 9 month(s), 2 day(s)"/>
    <s v="30 - 39"/>
    <s v="Male"/>
    <s v="Racially disadvantaged (Namibia)"/>
  </r>
  <r>
    <s v="5118905"/>
    <x v="655"/>
    <x v="0"/>
    <x v="0"/>
    <s v="South Africa"/>
    <s v="FirstRand Corporate Centre"/>
    <s v="Group Internal Audit Invest Pillar (Ajay Somla)"/>
    <s v="20200007969 GIA Invest Pillar"/>
    <s v="Full Time Employee"/>
    <s v="Legal, Risk and Compliance"/>
    <s v="Internal Audit Manager"/>
    <s v="7 year(s), 9 month(s), 14 day(s)"/>
    <s v="50 - 59"/>
    <s v="Female"/>
    <s v="Indian (South Africa)"/>
  </r>
  <r>
    <s v="5119545"/>
    <x v="656"/>
    <x v="0"/>
    <x v="0"/>
    <s v="South Africa"/>
    <s v="FNB"/>
    <s v="First Risk and Advisory Services (Ryan Murray)"/>
    <s v="16900010789 First Risk and Advisory Services DD Direct Sales"/>
    <s v="Full Time Employee"/>
    <s v="Capital Markets and Invest"/>
    <s v="Sales Broker"/>
    <s v="7 year(s), 9 month(s), 2 day(s)"/>
    <s v="30 - 39"/>
    <s v="Male"/>
    <s v="African (South Africa)"/>
  </r>
  <r>
    <s v="5124891"/>
    <x v="657"/>
    <x v="0"/>
    <x v="0"/>
    <s v="South Africa"/>
    <s v="FNB"/>
    <s v="FNB Credit Card (Sashin Govender)"/>
    <s v="20300004184 FNB Card Fraud Admin Complex Cases"/>
    <s v="Full Time Employee"/>
    <s v="Legal, Risk and Compliance"/>
    <s v="Fraud Administrator"/>
    <s v="7 year(s), 8 month(s), 27 day(s)"/>
    <s v="30 - 39"/>
    <s v="Female"/>
    <s v="African (South Africa)"/>
  </r>
  <r>
    <s v="5126703"/>
    <x v="658"/>
    <x v="0"/>
    <x v="0"/>
    <s v="South Africa"/>
    <s v="FNB"/>
    <s v="FNB Private Core Banking (Chanel Mudaly)"/>
    <s v="41200004426 FNB Private Core Banking Credit Risk and Analytics"/>
    <s v="Full Time Employee"/>
    <s v="Product"/>
    <s v="Product Manager"/>
    <s v="7 year(s), 7 month(s), 16 day(s)"/>
    <s v="30 - 39"/>
    <s v="Female"/>
    <s v="African (South Africa)"/>
  </r>
  <r>
    <s v="5129192"/>
    <x v="659"/>
    <x v="0"/>
    <x v="0"/>
    <s v="South Africa"/>
    <s v="FNB"/>
    <s v="FNB Dynamic Decisioning (Sello Mogaladi)"/>
    <s v="23900006889 FNB Dynamic Decisioning Campaigns and CLB"/>
    <s v="Full Time Employee"/>
    <s v="Product"/>
    <s v="Platform Migration Specialist"/>
    <s v="6 year(s), 8 month(s), 2 day(s)"/>
    <s v="30 - 39"/>
    <s v="Male"/>
    <s v="African (South Africa)"/>
  </r>
  <r>
    <s v="5130409"/>
    <x v="660"/>
    <x v="0"/>
    <x v="0"/>
    <s v="South Africa"/>
    <s v="FNB"/>
    <s v="FNB Points of Presence (Kobela Mataboge)"/>
    <s v="771038300 FNB POP Branch Delivery Swartruggens"/>
    <s v="Full Time Employee"/>
    <s v="Sales and Client Services"/>
    <s v="Universal Advisor"/>
    <s v="5 year(s), 11 month(s), 16 day(s)"/>
    <s v="30 - 39"/>
    <s v="Female"/>
    <s v="African (South Africa)"/>
  </r>
  <r>
    <s v="5130778"/>
    <x v="661"/>
    <x v="0"/>
    <x v="1"/>
    <s v="South Africa"/>
    <s v="RMB"/>
    <s v="RMBSA Global Markets Technology Trading (Doron Klotz)"/>
    <s v="77800000BGE RMBSA Global Market Data Services Capability"/>
    <s v="Full Time Employee"/>
    <s v="Technology"/>
    <s v="Platform Head"/>
    <s v="7 year(s), 7 month(s), 2 day(s)"/>
    <s v="40 - 49"/>
    <s v="Female"/>
    <s v="Indian (South Africa)"/>
  </r>
  <r>
    <s v="5134005"/>
    <x v="662"/>
    <x v="0"/>
    <x v="0"/>
    <s v="South Africa"/>
    <s v="FNB"/>
    <s v="FNB Commercial Core Juristic Platform (Mary Hlungwani)"/>
    <s v="34200009782 FNB Commercial CJP PMO"/>
    <s v="Full Time Employee"/>
    <s v="Process, Operations and Administration"/>
    <s v="IT Programme Manager"/>
    <s v="7 year(s), 7 month(s), 16 day(s)"/>
    <s v="50 - 59"/>
    <s v="Female"/>
    <s v="Indian (South Africa)"/>
  </r>
  <r>
    <s v="5134358"/>
    <x v="663"/>
    <x v="0"/>
    <x v="0"/>
    <s v="South Africa"/>
    <s v="FNB"/>
    <s v="FR Life Assurance (Jabulile Sigasa)"/>
    <s v="61500010272 FR Life Marketing"/>
    <s v="Full Time Employee"/>
    <s v="Sales and Client Services"/>
    <s v="Client Experience Manager"/>
    <s v="8 year(s), 2 month(s), 2 day(s)"/>
    <s v="30 - 39"/>
    <s v="Female"/>
    <s v="Coloured (South Africa)"/>
  </r>
  <r>
    <s v="5136628"/>
    <x v="664"/>
    <x v="0"/>
    <x v="10"/>
    <s v="South Africa"/>
    <s v="RMB"/>
    <s v="RMBSA IBD LRC Credit Risk Management (Thembi Ngobeni)"/>
    <s v="77800000SFA RMBSA IBD Credit Analysts"/>
    <s v="Full Time Employee"/>
    <s v="Credit"/>
    <s v="Credit Team Lead"/>
    <s v="7 year(s), 7 month(s), 2 day(s)"/>
    <s v="30 - 39"/>
    <s v="Female"/>
    <s v="Indian (South Africa)"/>
  </r>
  <r>
    <s v="5137225"/>
    <x v="665"/>
    <x v="0"/>
    <x v="0"/>
    <s v="South Africa"/>
    <s v="FNB"/>
    <s v="FNB HSL (Jason Michaels)"/>
    <s v="21200000933 HSL Channel Management"/>
    <s v="Commission With Fixed Pay"/>
    <s v="Sales and Client Services"/>
    <s v="Sales Consultant Home Loans External"/>
    <s v="6 year(s), 8 month(s), 2 day(s)"/>
    <s v="30 - 39"/>
    <s v="Female"/>
    <s v="Coloured (South Africa)"/>
  </r>
  <r>
    <s v="5140005"/>
    <x v="666"/>
    <x v="0"/>
    <x v="0"/>
    <s v="South Africa"/>
    <s v="FNB"/>
    <s v="FNB Retail Exco (Vongani Mageza)"/>
    <s v="85500006598 FNB Retail Marketing"/>
    <s v="Full Time Employee"/>
    <s v="Marketing and Communication"/>
    <s v="Pillar Marketing Lead"/>
    <s v="7 year(s), 6 month(s), 2 day(s)"/>
    <s v="40 - 49"/>
    <s v="Female"/>
    <s v="White (South Africa)"/>
  </r>
  <r>
    <s v="5142407"/>
    <x v="667"/>
    <x v="0"/>
    <x v="0"/>
    <s v="South Africa"/>
    <s v="FNB"/>
    <s v="FNB Commercial Credit Scoring (Alfred Friend)"/>
    <s v="34200003338 FNB Commercial Credit Scoring"/>
    <s v="Full Time Employee"/>
    <s v="Process, Operations and Administration"/>
    <s v="Business Process Manager"/>
    <s v="6 year(s), 2 month(s), 2 day(s)"/>
    <s v="30 - 39"/>
    <s v="Male"/>
    <s v="African (South Africa)"/>
  </r>
  <r>
    <s v="5149487"/>
    <x v="668"/>
    <x v="0"/>
    <x v="0"/>
    <s v="South Africa"/>
    <s v="FNB"/>
    <s v="FNB Points of Presence (Maryke Wessels De Witt)"/>
    <s v="7710632900 FNB POP Legal Support"/>
    <s v="Full Time Employee"/>
    <s v="Legal, Risk and Compliance"/>
    <s v="Legal Advisor"/>
    <s v="7 year(s), 6 month(s), 1 day(s)"/>
    <s v="30 - 39"/>
    <s v="Female"/>
    <s v="African (South Africa)"/>
  </r>
  <r>
    <s v="5149584"/>
    <x v="669"/>
    <x v="0"/>
    <x v="0"/>
    <s v="South Africa"/>
    <s v="FNB"/>
    <s v="FNB Fiduciary (David Lovett)"/>
    <s v="30300008732 FNB WI Fiduciary Administration DBN"/>
    <s v="Full Time Employee"/>
    <s v="Process, Operations and Administration"/>
    <s v="Administrator"/>
    <s v="7 year(s), 6 month(s), 18 day(s)"/>
    <s v="30 - 39"/>
    <s v="Female"/>
    <s v="Indian (South Africa)"/>
  </r>
  <r>
    <s v="5150175"/>
    <x v="670"/>
    <x v="0"/>
    <x v="15"/>
    <s v="South Africa"/>
    <s v="FNB"/>
    <s v="FRG Data and Analytics Office (Lian Van Oudheusden)"/>
    <s v="39400010972 FNB Chief Risk Office Credit Risk and Reporting"/>
    <s v="Full Time Employee"/>
    <s v="Technology"/>
    <s v="Information Architecture Head"/>
    <s v="17 year(s), 0 month(s), 2 day(s)"/>
    <s v="40 - 49"/>
    <s v="Male"/>
    <s v="White (South Africa)"/>
  </r>
  <r>
    <s v="5151058"/>
    <x v="671"/>
    <x v="0"/>
    <x v="13"/>
    <s v="South Africa"/>
    <s v="RMB"/>
    <s v="RMB TTS Client Groups (Kevin Ssemwogerere)"/>
    <s v="77800000TXS RMBSA TTS Transactional Banking Sales"/>
    <s v="Full Time Employee"/>
    <s v="Sales and Client Services"/>
    <s v="Business Development Strategist"/>
    <s v="6 year(s), 7 month(s), 2 day(s)"/>
    <s v="30 - 39"/>
    <s v="Male"/>
    <s v="African (South Africa)"/>
  </r>
  <r>
    <s v="5152305"/>
    <x v="672"/>
    <x v="0"/>
    <x v="0"/>
    <s v="South Africa"/>
    <s v="FNB"/>
    <s v="Group Human Capital Chief Information Office (Farid Karolia)"/>
    <s v="47100007825 HC and FNB EnTech Delivery"/>
    <s v="Full Time Employee"/>
    <s v="Technology"/>
    <s v="Product Owner"/>
    <s v="7 year(s), 5 month(s), 2 day(s)"/>
    <s v="30 - 39"/>
    <s v="Female"/>
    <s v="Indian (South Africa)"/>
  </r>
  <r>
    <s v="5154375"/>
    <x v="673"/>
    <x v="0"/>
    <x v="19"/>
    <s v="South Africa"/>
    <s v="FNB"/>
    <s v="CDO Kernel iNterfaceX (Shaimal Bhika)"/>
    <s v="21800004117 CDO Kernel iNterfaceX Data Science Engineering"/>
    <s v="Full Time Employee"/>
    <s v="Technology"/>
    <s v="Systems Analyst"/>
    <s v="7 year(s), 0 month(s), 13 day(s)"/>
    <s v="20 - 29"/>
    <s v="Female"/>
    <s v="Indian (South Africa)"/>
  </r>
  <r>
    <s v="5156270"/>
    <x v="674"/>
    <x v="0"/>
    <x v="16"/>
    <s v="South Africa"/>
    <s v="FNB"/>
    <s v="FNB Retail Financial Resource Management (Anina Siriram)"/>
    <s v="85500002046 FNB Retail Financial Resource Management"/>
    <s v="Full Time Employee"/>
    <s v="Finance"/>
    <s v="Financial Resources Analyst"/>
    <s v="7 year(s), 0 month(s), 13 day(s)"/>
    <s v="30 - 39"/>
    <s v="Male"/>
    <s v="White (South Africa)"/>
  </r>
  <r>
    <s v="5159903"/>
    <x v="675"/>
    <x v="0"/>
    <x v="1"/>
    <s v="South Africa"/>
    <s v="RMB"/>
    <s v="RMBSA TTS Client Groups (Tamara D'Onofrio)"/>
    <s v="77800000SON RMBSA TTS Client Group Sales Enablement"/>
    <s v="Full Time Employee"/>
    <s v="Sales and Client Services"/>
    <s v="Sales Enablement Head"/>
    <s v="6 year(s), 4 month(s), 2 day(s)"/>
    <s v="30 - 39"/>
    <s v="Female"/>
    <s v="African (South Africa)"/>
  </r>
  <r>
    <s v="5161533"/>
    <x v="676"/>
    <x v="0"/>
    <x v="0"/>
    <s v="South Africa"/>
    <s v="FNB"/>
    <s v="FNB Commercial Cash Investments Chief Executive Office (Vaughan David)"/>
    <s v="65100004404 FNB Premium Cash Investments Development"/>
    <s v="Full Time Employee"/>
    <s v="Sales and Client Services"/>
    <s v="Business Development Head"/>
    <s v="7 year(s), 4 month(s), 24 day(s)"/>
    <s v="30 - 39"/>
    <s v="Male"/>
    <s v="African (South Africa)"/>
  </r>
  <r>
    <s v="5163536"/>
    <x v="677"/>
    <x v="0"/>
    <x v="8"/>
    <s v="South Africa"/>
    <s v="FNB"/>
    <s v="CDO Infrastructure and Security Services (Vuyokazi Rozani)"/>
    <s v="20700008475 CDO Networks and Security Services End User Support"/>
    <s v="Full Time Employee"/>
    <s v="Technology"/>
    <s v="IT Support Technician Team Lead"/>
    <s v="6 year(s), 6 month(s), 2 day(s)"/>
    <s v="20 - 29"/>
    <s v="Male"/>
    <s v="African (South Africa)"/>
  </r>
  <r>
    <s v="5164621"/>
    <x v="678"/>
    <x v="0"/>
    <x v="0"/>
    <s v="South Africa"/>
    <s v="FNB"/>
    <s v="FR Life Assurance (Lebohang Lesekele)"/>
    <s v="61500010294 FR Life Insure Sales CC"/>
    <s v="OBR With Fixed Pay"/>
    <s v="Sales and Client Services"/>
    <s v="Sales Consultant"/>
    <s v="6 year(s), 5 month(s), 2 day(s)"/>
    <s v="20 - 29"/>
    <s v="Male"/>
    <s v="African (South Africa)"/>
  </r>
  <r>
    <s v="5166268"/>
    <x v="679"/>
    <x v="0"/>
    <x v="0"/>
    <s v="South Africa"/>
    <s v="WesBank"/>
    <s v="FNB Commercial Chief Executive Office FML (Andisiwe Nikelo)"/>
    <s v="30100007317 WB FML Head Office"/>
    <s v="Full Time Employee"/>
    <s v="Data and Analytics"/>
    <s v="Chief Data and Analytics Officer"/>
    <s v="7 year(s), 5 month(s), 2 day(s)"/>
    <s v="30 - 39"/>
    <s v="Male"/>
    <s v="African (South Africa)"/>
  </r>
  <r>
    <s v="5167663"/>
    <x v="680"/>
    <x v="0"/>
    <x v="0"/>
    <s v="South Africa"/>
    <s v="FNB"/>
    <s v="FNB Point of Presence (Keriokers Modise)"/>
    <s v="7710213700 FNB POP Branch Delivery Birch Acres Mall"/>
    <s v="OBR With Fixed Pay"/>
    <s v="Sales and Client Services"/>
    <s v="Branch Advisor FAIS"/>
    <s v="6 year(s), 8 month(s), 2 day(s)"/>
    <s v="20 - 29"/>
    <s v="Male"/>
    <s v="African (South Africa)"/>
  </r>
  <r>
    <s v="5171164"/>
    <x v="681"/>
    <x v="0"/>
    <x v="14"/>
    <s v="South Africa"/>
    <s v="FNB"/>
    <s v="FNB Commercial TxP (Lauren Deva)"/>
    <s v="39800004465 FNB Commercial TxP Transact Products"/>
    <s v="Full Time Employee"/>
    <s v="Product"/>
    <s v="Product Manager"/>
    <s v="7 year(s), 3 month(s), 19 day(s)"/>
    <s v="30 - 39"/>
    <s v="Female"/>
    <s v="Indian (South Africa)"/>
  </r>
  <r>
    <s v="5172349"/>
    <x v="682"/>
    <x v="0"/>
    <x v="0"/>
    <s v="South Africa"/>
    <s v="FNB"/>
    <s v="FNB Personal Segment Advisory and Suites (Clinton Gray)"/>
    <s v="97200009841 PSAS Cash Invesments"/>
    <s v="PHI Benefit"/>
    <s v="Capital Markets and Invest"/>
    <s v="Investment Advisor"/>
    <s v="7 year(s), 4 month(s), 2 day(s)"/>
    <s v="30 - 39"/>
    <s v="Female"/>
    <s v="Indian (South Africa)"/>
  </r>
  <r>
    <s v="5178819"/>
    <x v="683"/>
    <x v="0"/>
    <x v="0"/>
    <s v="South Africa"/>
    <s v="FNB"/>
    <s v="FNB Commercial Merchant Services (Ashley Jacobs)"/>
    <s v="22800008224 FNB Commercial Merchant Services Projects"/>
    <s v="Full Time Employee"/>
    <s v="Process, Operations and Administration"/>
    <s v="Project Management Office Portfolio Manager"/>
    <s v="6 year(s), 9 month(s), 2 day(s)"/>
    <s v="40 - 49"/>
    <s v="Male"/>
    <s v="African (South Africa)"/>
  </r>
  <r>
    <s v="5179386"/>
    <x v="684"/>
    <x v="0"/>
    <x v="15"/>
    <s v="South Africa"/>
    <s v="FNB"/>
    <s v="FNB Core Banking Platform (Liesel Bekker)"/>
    <s v="59600007235 FNB Personal and Private IT Home Loans IT Systems"/>
    <s v="Full Time Employee"/>
    <s v="Technology"/>
    <s v="Developer"/>
    <s v="7 year(s), 0 month(s), 13 day(s)"/>
    <s v="20 - 29"/>
    <s v="Male"/>
    <s v="Indian (South Africa)"/>
  </r>
  <r>
    <s v="5179890"/>
    <x v="685"/>
    <x v="0"/>
    <x v="0"/>
    <s v="South Africa"/>
    <s v="FNB"/>
    <s v="FR Life Assurance (Mbali Goodness Xaba)"/>
    <s v="61500010279 FR Life I&amp;I Sales CC Underwritten"/>
    <s v="OBR With Fixed Pay"/>
    <s v="Sales and Client Services"/>
    <s v="Sales Consultant"/>
    <s v="7 year(s), 2 month(s), 19 day(s)"/>
    <s v="30 - 39"/>
    <s v="Female"/>
    <s v="African (South Africa)"/>
  </r>
  <r>
    <s v="5180015"/>
    <x v="686"/>
    <x v="0"/>
    <x v="0"/>
    <s v="South Africa"/>
    <s v="FNB"/>
    <s v="FNB International SA (Lorna Reid)"/>
    <s v="83200005732 FNB International SA Human Resources"/>
    <s v="Full Time Employee"/>
    <s v="Human Capital"/>
    <s v="Organisational Development Specialist"/>
    <s v="16 year(s), 10 month(s), 2 day(s)"/>
    <s v="60 - 64"/>
    <s v="Female"/>
    <s v="White (South Africa)"/>
  </r>
  <r>
    <s v="5180082"/>
    <x v="687"/>
    <x v="0"/>
    <x v="0"/>
    <s v="South Africa"/>
    <s v="FNB"/>
    <s v="FNB Human Capital R&amp;C (Donald Khumalo)"/>
    <s v="47100001985 FNB HR Executive"/>
    <s v="Full Time Employee"/>
    <s v="Human Capital"/>
    <s v="Human Capital Head"/>
    <s v="18 year(s), 8 month(s), 2 day(s)"/>
    <s v="60 - 64"/>
    <s v="Female"/>
    <s v="Indian (South Africa)"/>
  </r>
  <r>
    <s v="5180163"/>
    <x v="688"/>
    <x v="0"/>
    <x v="15"/>
    <s v="South Africa"/>
    <s v="FNB"/>
    <s v="FNB Human Capital Support (Zoraydah Shedrick)"/>
    <s v="47100009659 CoE Talent Management"/>
    <s v="Full Time Employee"/>
    <s v="Human Capital"/>
    <s v="Performance Enablement Manager"/>
    <s v="10 year(s), 0 month(s), 2 day(s)"/>
    <s v="50 - 59"/>
    <s v="Female"/>
    <s v="White (South Africa)"/>
  </r>
  <r>
    <s v="5181704"/>
    <x v="689"/>
    <x v="0"/>
    <x v="0"/>
    <s v="South Africa"/>
    <s v="FNB"/>
    <s v="FNB Connect and Service Provider (Mzwandile Maawu)"/>
    <s v="69000002201 FNB Retail COO Business Analysis"/>
    <s v="Full Time Employee"/>
    <s v="Process, Operations and Administration"/>
    <s v="Business Analyst"/>
    <s v="7 year(s), 0 month(s), 13 day(s)"/>
    <s v="20 - 29"/>
    <s v="Female"/>
    <s v="African (South Africa)"/>
  </r>
  <r>
    <s v="5182840"/>
    <x v="690"/>
    <x v="0"/>
    <x v="0"/>
    <s v="South Africa"/>
    <s v="FNB"/>
    <s v="Group Human Capital Chief Information Office (Farid Karolia)"/>
    <s v="47100009663 HC and FNB EnTech Leads"/>
    <s v="Full Time Employee"/>
    <s v="Technology"/>
    <s v="IT Operations Head"/>
    <s v="7 year(s), 0 month(s), 19 day(s)"/>
    <s v="30 - 39"/>
    <s v="Female"/>
    <s v="Indian (South Africa)"/>
  </r>
  <r>
    <s v="5182859"/>
    <x v="691"/>
    <x v="0"/>
    <x v="0"/>
    <s v="South Africa"/>
    <s v="FirstRand Corporate Centre"/>
    <s v="Group Human Capital (Dudu Moloko)"/>
    <s v="20200007954 FRCC People Governance Learning Compliance"/>
    <s v="Full Time Employee"/>
    <s v="Human Capital"/>
    <s v="Group Lead Learning and Development"/>
    <s v="7 year(s), 2 month(s), 14 day(s)"/>
    <s v="40 - 49"/>
    <s v="Female"/>
    <s v="Indian (South Africa)"/>
  </r>
  <r>
    <s v="5184851"/>
    <x v="692"/>
    <x v="0"/>
    <x v="8"/>
    <s v="South Africa"/>
    <s v="RMB"/>
    <s v="RMBSA Global Markets Technology (Thomas Evje)"/>
    <s v="77800000BMU RMBSA Global Markets Technology Murex"/>
    <s v="Full Time Employee"/>
    <s v="Technology"/>
    <s v="Business Technology Head"/>
    <s v="7 year(s), 2 month(s), 2 day(s)"/>
    <s v="40 - 49"/>
    <s v="Female"/>
    <s v="White (South Africa)"/>
  </r>
  <r>
    <s v="5186838"/>
    <x v="693"/>
    <x v="0"/>
    <x v="5"/>
    <s v="South Africa"/>
    <s v="FNB"/>
    <s v="FNB Wealth (Daniel Malete)"/>
    <s v="34100001596 PB&amp;A Sales Solutions Suite"/>
    <s v="OBR With Fixed Pay"/>
    <s v="Process, Operations and Administration"/>
    <s v="Team Leader"/>
    <s v="7 year(s), 1 month(s), 23 day(s)"/>
    <s v="30 - 39"/>
    <s v="Male"/>
    <s v="African (South Africa)"/>
  </r>
  <r>
    <s v="5188180"/>
    <x v="694"/>
    <x v="0"/>
    <x v="0"/>
    <s v="South Africa"/>
    <s v="FNB"/>
    <s v="FNB Economics (Mamello Matikinca)"/>
    <s v="39400003093 FNB Economics"/>
    <s v="Full Time Employee"/>
    <s v="Capital Markets and Invest"/>
    <s v="Economist"/>
    <s v="7 year(s), 0 month(s), 24 day(s)"/>
    <s v="30 - 39"/>
    <s v="Male"/>
    <s v="African (South Africa)"/>
  </r>
  <r>
    <s v="5189306"/>
    <x v="695"/>
    <x v="0"/>
    <x v="0"/>
    <s v="South Africa"/>
    <s v="FNB"/>
    <s v="FNB Retail P Human Capital (Coleen Cloete)"/>
    <s v="85500008557 FNB Retail Learning Solutions"/>
    <s v="PHI Benefit"/>
    <s v="Human Capital"/>
    <s v="Learning Architect"/>
    <s v="7 year(s), 2 month(s), 7 day(s)"/>
    <s v="40 - 49"/>
    <s v="Male"/>
    <s v="White (South Africa)"/>
  </r>
  <r>
    <s v="5189365"/>
    <x v="696"/>
    <x v="0"/>
    <x v="0"/>
    <s v="South Africa"/>
    <s v="FNB"/>
    <s v="FNB Private Banking and Advisory (Elaine Knoetsec)"/>
    <s v="34100007661 PB&amp;A Inland Lowveld Wealth"/>
    <s v="Full Time Employee"/>
    <s v="Sales and Client Services"/>
    <s v="Channel Management Head"/>
    <s v="7 year(s), 1 month(s), 2 day(s)"/>
    <s v="30 - 39"/>
    <s v="Male"/>
    <s v="White (South Africa)"/>
  </r>
  <r>
    <s v="5189543"/>
    <x v="697"/>
    <x v="0"/>
    <x v="0"/>
    <s v="South Africa"/>
    <s v="FNB"/>
    <s v="FNB Integrated Advice (Ester Ochse)"/>
    <s v="85500007549 FNB Integrated Advice"/>
    <s v="Full Time Employee"/>
    <s v="Process, Operations and Administration"/>
    <s v="Business Solutions Specialist"/>
    <s v="7 year(s), 1 month(s), 29 day(s)"/>
    <s v="30 - 39"/>
    <s v="Female"/>
    <s v="African (South Africa)"/>
  </r>
  <r>
    <s v="5191297"/>
    <x v="698"/>
    <x v="0"/>
    <x v="0"/>
    <s v="South Africa"/>
    <s v="FNB"/>
    <s v="FNB Connect and Service Provider (Shadrack Palmer)"/>
    <s v="83100002039 FNB Connect Product Development and Support"/>
    <s v="Full Time Employee"/>
    <s v="Product"/>
    <s v="Product Development Manager"/>
    <s v="7 year(s), 0 month(s), 25 day(s)"/>
    <s v="40 - 49"/>
    <s v="Female"/>
    <s v="White (South Africa)"/>
  </r>
  <r>
    <s v="5201918"/>
    <x v="699"/>
    <x v="0"/>
    <x v="0"/>
    <s v="South Africa"/>
    <s v="FNB"/>
    <s v="FNB Commercial Chief Risk Office (Nazeem Goolam Hoosen)"/>
    <s v="34400008612 FNB Commercial Chief Risk Office Operational Risk"/>
    <s v="Full Time Employee"/>
    <s v="Legal, Risk and Compliance"/>
    <s v="Risk Manager"/>
    <s v="7 year(s), 0 month(s), 27 day(s)"/>
    <s v="40 - 49"/>
    <s v="Female"/>
    <s v="Indian (South Africa)"/>
  </r>
  <r>
    <s v="5209137"/>
    <x v="700"/>
    <x v="0"/>
    <x v="0"/>
    <s v="South Africa"/>
    <s v="WesBank"/>
    <s v="WB ABF Scored Credit (Anika Nieman)"/>
    <s v="30100003151 WB ABF Scored Credit"/>
    <s v="Full Time Employee"/>
    <s v="Data and Analytics"/>
    <s v="Data Scientist"/>
    <s v="7 year(s), 0 month(s), 2 day(s)"/>
    <s v="20 - 29"/>
    <s v="Female"/>
    <s v="African (South Africa)"/>
  </r>
  <r>
    <s v="5216788"/>
    <x v="701"/>
    <x v="0"/>
    <x v="0"/>
    <s v="South Africa"/>
    <s v="FNB"/>
    <s v="FNB Commercial Sales Gauteng North (Selvan Govender)"/>
    <s v="34200006247 FNB Commercial Sales Gauteng Klipriver 150M Plus"/>
    <s v="Full Time Employee"/>
    <s v="Sales and Client Services"/>
    <s v="Sales Head"/>
    <s v="6 year(s), 11 month(s), 16 day(s)"/>
    <s v="50 - 59"/>
    <s v="Male"/>
    <s v="African (South Africa)"/>
  </r>
  <r>
    <s v="5218233"/>
    <x v="702"/>
    <x v="0"/>
    <x v="0"/>
    <s v="South Africa"/>
    <s v="FirstRand Corporate Centre"/>
    <s v="Group Internal Audit FCC Central IT (Luzuko Dyosi)"/>
    <s v="20200006029 FRCC Central IT Internal Audit"/>
    <s v="Full Time Employee"/>
    <s v="Legal, Risk and Compliance"/>
    <s v="Internal Audit Manager"/>
    <s v="5 year(s), 8 month(s), 23 day(s)"/>
    <s v="30 - 39"/>
    <s v="Female"/>
    <s v="Coloured (South Africa)"/>
  </r>
  <r>
    <s v="5219604"/>
    <x v="703"/>
    <x v="0"/>
    <x v="15"/>
    <s v="South Africa"/>
    <s v="FNB"/>
    <s v="FNB Commercial Merchant Services (Shiwaan Rahman)"/>
    <s v="22800008303 FNB Commercial Merchant Services Pricing Analytics"/>
    <s v="Full Time Employee"/>
    <s v="Data and Analytics"/>
    <s v="Business Intelligence Analyst"/>
    <s v="6 year(s), 11 month(s), 2 day(s)"/>
    <s v="30 - 39"/>
    <s v="Male"/>
    <s v="African (South Africa)"/>
  </r>
  <r>
    <s v="5225310"/>
    <x v="704"/>
    <x v="0"/>
    <x v="3"/>
    <s v="Namibia"/>
    <s v="FNB"/>
    <s v="FNB Namibia Limited (Christophine Shiikwa)"/>
    <s v="302000001404 FNB Namibia Contact Centre"/>
    <s v="Full Time Employee"/>
    <s v="Sales and Client Services"/>
    <s v="Call Centre Agent"/>
    <s v="14 year(s), 4 month(s), 2 day(s)"/>
    <s v="40 - 49"/>
    <s v="Female"/>
    <s v="Racially disadvantaged (Namibia)"/>
  </r>
  <r>
    <s v="5230160"/>
    <x v="705"/>
    <x v="0"/>
    <x v="0"/>
    <s v="South Africa"/>
    <s v="FNB"/>
    <s v="FNB Points of Presence (Nicolene Fourie)"/>
    <s v="771022900 FNB POP Branch Delivery George"/>
    <s v="Full Time Employee"/>
    <s v="Sales and Client Services"/>
    <s v="Branch Delivery Sales and Service Team Leader"/>
    <s v="18 year(s), 11 month(s), 15 day(s)"/>
    <s v="30 - 39"/>
    <s v="Female"/>
    <s v="Coloured (South Africa)"/>
  </r>
  <r>
    <s v="5231302"/>
    <x v="706"/>
    <x v="0"/>
    <x v="0"/>
    <s v="South Africa"/>
    <s v="FNB"/>
    <s v="DirectAxis (Hayley Carelse)"/>
    <s v="99700015116 DA Fraud"/>
    <s v="Full Time Employee"/>
    <s v="Sales and Client Services"/>
    <s v="Sales Advisor"/>
    <s v="6 year(s), 3 month(s), 2 day(s)"/>
    <s v="20 - 29"/>
    <s v="Female"/>
    <s v="African (South Africa)"/>
  </r>
  <r>
    <s v="5231345"/>
    <x v="707"/>
    <x v="0"/>
    <x v="0"/>
    <s v="South Africa"/>
    <s v="FNB"/>
    <s v="DirectAxis (Jean-Pierre Crook)"/>
    <s v="99700015118 DA Business Optimisation"/>
    <s v="Full Time Employee"/>
    <s v="Process, Operations and Administration"/>
    <s v="Dialer Administrator"/>
    <s v="6 year(s), 3 month(s), 2 day(s)"/>
    <s v="20 - 29"/>
    <s v="Female"/>
    <s v="Coloured (South Africa)"/>
  </r>
  <r>
    <s v="5234735"/>
    <x v="708"/>
    <x v="0"/>
    <x v="25"/>
    <s v="South Africa"/>
    <s v="FNB"/>
    <s v="FNB HSL (Dineo Mokoena)"/>
    <s v="21200004068 HSL Strategic Lending Modelling Impairments and Capital"/>
    <s v="Full Time Employee"/>
    <s v="Process, Operations and Administration"/>
    <s v="Quality Assurer"/>
    <s v="16 year(s), 7 month(s), 2 day(s)"/>
    <s v="40 - 49"/>
    <s v="Female"/>
    <s v="Coloured (South Africa)"/>
  </r>
  <r>
    <s v="5235049"/>
    <x v="709"/>
    <x v="0"/>
    <x v="0"/>
    <s v="South Africa"/>
    <s v="FNB"/>
    <s v="FNB Personal Segment Advisory and Suites (Devesh Naidoo)"/>
    <s v="97200005382 PSAS Stratco"/>
    <s v="Full Time Employee"/>
    <s v="Legal, Risk and Compliance"/>
    <s v="Risk Head"/>
    <s v="8 year(s), 0 month(s), 2 day(s)"/>
    <s v="30 - 39"/>
    <s v="Female"/>
    <s v="African (South Africa)"/>
  </r>
  <r>
    <s v="5235103"/>
    <x v="710"/>
    <x v="0"/>
    <x v="0"/>
    <s v="South Africa"/>
    <s v="FNB"/>
    <s v="FNB Personal Segment Advisory and Suites (Mocheko Chaka)"/>
    <s v="97200011017 FNB PSAS - Suite Exco"/>
    <s v="Full Time Employee"/>
    <s v="Process, Operations and Administration"/>
    <s v="Business Support Head"/>
    <s v="8 year(s), 0 month(s), 2 day(s)"/>
    <s v="30 - 39"/>
    <s v="Female"/>
    <s v="African (South Africa)"/>
  </r>
  <r>
    <s v="5238722"/>
    <x v="711"/>
    <x v="0"/>
    <x v="0"/>
    <s v="South Africa"/>
    <s v="FNB"/>
    <s v="FNB iCustomer (Mandlenkosi Vana)"/>
    <s v="39400005921 FNB iCustomer Extraction and Recognition"/>
    <s v="Full Time Employee"/>
    <s v="Technology"/>
    <s v="Business Solutions Manager"/>
    <s v="15 year(s), 6 month(s), 2 day(s)"/>
    <s v="40 - 49"/>
    <s v="Male"/>
    <s v="Indian (South Africa)"/>
  </r>
  <r>
    <s v="5240301"/>
    <x v="712"/>
    <x v="0"/>
    <x v="0"/>
    <s v="South Africa"/>
    <s v="FNB"/>
    <s v="FNB Human Capital Support (Zoraydah Shedrick)"/>
    <s v="47100009659 CoE Talent Management"/>
    <s v="Full Time Employee"/>
    <s v="Human Capital"/>
    <s v="Career Coaching Specialist"/>
    <s v="9 year(s), 1 month(s), 21 day(s)"/>
    <s v="40 - 49"/>
    <s v="Female"/>
    <s v="Coloured (South Africa)"/>
  </r>
  <r>
    <s v="5241340"/>
    <x v="713"/>
    <x v="0"/>
    <x v="0"/>
    <s v="South Africa"/>
    <s v="FNB"/>
    <s v="FNB Personal Segment Advisory and Suites (Edwin Phiri)"/>
    <s v="97200007505 PSAS QAD COE"/>
    <s v="Full Time Employee"/>
    <s v="Process, Operations and Administration"/>
    <s v="Quality Assurer"/>
    <s v="9 year(s), 11 month(s), 17 day(s)"/>
    <s v="30 - 39"/>
    <s v="Male"/>
    <s v="Coloured (South Africa)"/>
  </r>
  <r>
    <s v="5242118"/>
    <x v="714"/>
    <x v="0"/>
    <x v="0"/>
    <s v="South Africa"/>
    <s v="FNB"/>
    <s v="DirectAxis (Lux Mkhwanazi)"/>
    <s v="99700015107 DA Cash Power Loans Fulfilment"/>
    <s v="Full Time Employee"/>
    <s v="Sales and Client Services"/>
    <s v="Call Centre Support Advisor"/>
    <s v="10 year(s), 3 month(s), 15 day(s)"/>
    <s v="30 - 39"/>
    <s v="Female"/>
    <s v="African (South Africa)"/>
  </r>
  <r>
    <s v="5242444"/>
    <x v="715"/>
    <x v="0"/>
    <x v="0"/>
    <s v="South Africa"/>
    <s v="FNB"/>
    <s v="DirectAxis (Jean-Pierre Crook)"/>
    <s v="99700015118 DA Business Optimisation"/>
    <s v="Full Time Employee"/>
    <s v="Process, Operations and Administration"/>
    <s v="Dialer Administrator"/>
    <s v="10 year(s), 4 month(s), 27 day(s)"/>
    <s v="30 - 39"/>
    <s v="Female"/>
    <s v="Indian (South Africa)"/>
  </r>
  <r>
    <s v="5244005"/>
    <x v="716"/>
    <x v="0"/>
    <x v="0"/>
    <s v="South Africa"/>
    <s v="FNB"/>
    <s v="DirectAxis (Yasmin Abrahams)"/>
    <s v="99700009159 FNB DA Operations Executives"/>
    <s v="Full Time Employee"/>
    <s v="Product"/>
    <s v="Product Head"/>
    <s v="10 year(s), 10 month(s), 9 day(s)"/>
    <s v="40 - 49"/>
    <s v="Male"/>
    <s v="White (South Africa)"/>
  </r>
  <r>
    <s v="5244552"/>
    <x v="717"/>
    <x v="0"/>
    <x v="7"/>
    <s v="South Africa"/>
    <s v="FNB"/>
    <s v="FNB Customer and Sales Interactions (Donovan Pretorius)"/>
    <s v="99100007928 FNB Customer and Sales Interactions Analytics"/>
    <s v="Full Time Employee"/>
    <s v="Data and Analytics"/>
    <s v="Data Scientist"/>
    <s v="11 year(s), 2 month(s), 2 day(s)"/>
    <s v="40 - 49"/>
    <s v="Male"/>
    <s v="Coloured (South Africa)"/>
  </r>
  <r>
    <s v="5244676"/>
    <x v="718"/>
    <x v="0"/>
    <x v="0"/>
    <s v="South Africa"/>
    <s v="FNB"/>
    <s v="CDO Infrastructure and Security Services (Shaun Parboo)"/>
    <s v="20700005802 CDO Infrastructure and Security Services Change and Configuration Management"/>
    <s v="Full Time Employee"/>
    <s v="Process, Operations and Administration"/>
    <s v="IT Change and Release Manager"/>
    <s v="11 year(s), 4 month(s), 2 day(s)"/>
    <s v="50 - 59"/>
    <s v="Male"/>
    <s v="Coloured (South Africa)"/>
  </r>
  <r>
    <s v="5246091"/>
    <x v="719"/>
    <x v="0"/>
    <x v="1"/>
    <s v="South Africa"/>
    <s v="FNB"/>
    <s v="FNB Personal Exco (Maryke Venter)"/>
    <s v="99100009981 FNB Customer and Sales Interactions Enablement"/>
    <s v="Full Time Employee"/>
    <s v="Data and Analytics"/>
    <s v="Data Science Manager"/>
    <s v="12 year(s), 3 month(s), 20 day(s)"/>
    <s v="40 - 49"/>
    <s v="Female"/>
    <s v="White (South Africa)"/>
  </r>
  <r>
    <s v="5246229"/>
    <x v="720"/>
    <x v="0"/>
    <x v="0"/>
    <s v="South Africa"/>
    <s v="FNB"/>
    <s v="DirectAxis (Ahmad Gangat)"/>
    <s v="69000006171 FNB Retail Enterprise Project Management Office"/>
    <s v="Full Time Employee"/>
    <s v="Process, Operations and Administration"/>
    <s v="Programme Manager"/>
    <s v="12 year(s), 3 month(s), 27 day(s)"/>
    <s v="50 - 59"/>
    <s v="Male"/>
    <s v="White (South Africa)"/>
  </r>
  <r>
    <s v="5247861"/>
    <x v="721"/>
    <x v="0"/>
    <x v="0"/>
    <s v="South Africa"/>
    <s v="FNB"/>
    <s v="FNB Commercial Human Capital (Nthabiseng Maboya)"/>
    <s v="34400009735 FNB Commercial Human Resources"/>
    <s v="Full Time Employee"/>
    <s v="Human Capital"/>
    <s v="Talent Sourcing Specialist"/>
    <s v="13 year(s), 11 month(s), 18 day(s)"/>
    <s v="30 - 39"/>
    <s v="Female"/>
    <s v="African (South Africa)"/>
  </r>
  <r>
    <s v="5248469"/>
    <x v="722"/>
    <x v="0"/>
    <x v="0"/>
    <s v="South Africa"/>
    <s v="FNB"/>
    <s v="FNB Loans (Aisha Abrahams)"/>
    <s v="99700015167 DA Loans Credit Risk"/>
    <s v="Full Time Employee"/>
    <s v="Legal, Risk and Compliance"/>
    <s v="Fraud Analyst"/>
    <s v="14 year(s), 11 month(s), 27 day(s)"/>
    <s v="30 - 39"/>
    <s v="Female"/>
    <s v="Coloured (South Africa)"/>
  </r>
  <r>
    <s v="5248698"/>
    <x v="723"/>
    <x v="0"/>
    <x v="0"/>
    <s v="South Africa"/>
    <s v="FNB"/>
    <s v="DirectAxis (Shimaaz Ely)"/>
    <s v="99700015102 DA Solutions Delivery"/>
    <s v="Full Time Employee"/>
    <s v="Process, Operations and Administration"/>
    <s v="Implementation Manager"/>
    <s v="15 year(s), 7 month(s), 6 day(s)"/>
    <s v="40 - 49"/>
    <s v="Female"/>
    <s v="Coloured (South Africa)"/>
  </r>
  <r>
    <s v="5249627"/>
    <x v="724"/>
    <x v="0"/>
    <x v="0"/>
    <s v="South Africa"/>
    <s v="FNB"/>
    <s v="DirectAxis (Carika Frans)"/>
    <s v="99700015104 DA Business Unit 1"/>
    <s v="Full Time Employee"/>
    <s v="Sales and Client Services"/>
    <s v="Call Centre Team Leader"/>
    <s v="17 year(s), 2 month(s), 2 day(s)"/>
    <s v="40 - 49"/>
    <s v="Female"/>
    <s v="Coloured (South Africa)"/>
  </r>
  <r>
    <s v="5249996"/>
    <x v="725"/>
    <x v="0"/>
    <x v="0"/>
    <s v="South Africa"/>
    <s v="FNB"/>
    <s v="FNB Points of Presence (Vumbhoni Allan Shandlale)"/>
    <s v="69000001647 FNB Retail Engineering and Analysis"/>
    <s v="Full Time Employee"/>
    <s v="Process, Operations and Administration"/>
    <s v="Business Process Manager"/>
    <s v="17 year(s), 10 month(s), 2 day(s)"/>
    <s v="30 - 39"/>
    <s v="Male"/>
    <s v="Coloured (South Africa)"/>
  </r>
  <r>
    <s v="5250587"/>
    <x v="726"/>
    <x v="0"/>
    <x v="0"/>
    <s v="South Africa"/>
    <s v="FNB"/>
    <s v="FNB Personal Segment Advisory and Suites (Devesh Naidoo)"/>
    <s v="97200005382 PSAS Stratco"/>
    <s v="Full Time Employee"/>
    <s v="Process, Operations and Administration"/>
    <s v="Chief Operating Officer"/>
    <s v="19 year(s), 3 month(s), 2 day(s)"/>
    <s v="40 - 49"/>
    <s v="Male"/>
    <s v="Coloured (South Africa)"/>
  </r>
  <r>
    <s v="5251109"/>
    <x v="727"/>
    <x v="0"/>
    <x v="6"/>
    <s v="South Africa"/>
    <s v="FNB"/>
    <s v="FNB Personal Exco (Michael Davis)"/>
    <s v="79100009677 FNB Consumer Loans CEO Office"/>
    <s v="Full Time Employee"/>
    <s v="Process, Operations and Administration"/>
    <s v="Pillar Market Conduct Head"/>
    <s v="20 year(s), 9 month(s), 2 day(s)"/>
    <s v="50 - 59"/>
    <s v="Female"/>
    <s v="Coloured (South Africa)"/>
  </r>
  <r>
    <s v="5251346"/>
    <x v="728"/>
    <x v="0"/>
    <x v="0"/>
    <s v="South Africa"/>
    <s v="FNB"/>
    <s v="FNB Personal Segment Advisory and Suites (Mocheko Chaka)"/>
    <s v="99700015004 PSAS Outsourcing Sales"/>
    <s v="Full Time Employee"/>
    <s v="Sales and Client Services"/>
    <s v="Sales and Service Head"/>
    <s v="21 year(s), 9 month(s), 8 day(s)"/>
    <s v="50 - 59"/>
    <s v="Female"/>
    <s v="White (South Africa)"/>
  </r>
  <r>
    <s v="5251443"/>
    <x v="729"/>
    <x v="0"/>
    <x v="0"/>
    <s v="South Africa"/>
    <s v="FNB"/>
    <s v="FNB Personal Segment Advisory and Suites (Monique Smith)"/>
    <s v="97200008195 PSAS CVP, Digital, CEX"/>
    <s v="Full Time Employee"/>
    <s v="Sales and Client Services"/>
    <s v="Customer Experience Head"/>
    <s v="26 year(s), 4 month(s), 28 day(s)"/>
    <s v="50 - 59"/>
    <s v="Female"/>
    <s v="White (South Africa)"/>
  </r>
  <r>
    <s v="5253160"/>
    <x v="730"/>
    <x v="0"/>
    <x v="13"/>
    <s v="South Africa"/>
    <s v="FNB"/>
    <s v="DirectAxis (Adriaan Odendaal)"/>
    <s v="99700015137 DA IT Operations"/>
    <s v="Full Time Employee"/>
    <s v="Technology"/>
    <s v="Server Administrator"/>
    <s v="15 year(s), 9 month(s), 2 day(s)"/>
    <s v="30 - 39"/>
    <s v="Male"/>
    <s v="Coloured (South Africa)"/>
  </r>
  <r>
    <s v="5256224"/>
    <x v="731"/>
    <x v="0"/>
    <x v="0"/>
    <s v="South Africa"/>
    <s v="FNB"/>
    <s v="FNB Wealth (Feroza Seedat)"/>
    <s v="34100008803 PB&amp;A Human Capital"/>
    <s v="Full Time Employee"/>
    <s v="Human Capital"/>
    <s v="Human Capital Business Partner"/>
    <s v="6 year(s), 10 month(s), 2 day(s)"/>
    <s v="30 - 39"/>
    <s v="Male"/>
    <s v="African (South Africa)"/>
  </r>
  <r>
    <s v="5256984"/>
    <x v="732"/>
    <x v="0"/>
    <x v="0"/>
    <s v="South Africa"/>
    <s v="FNB"/>
    <s v="FNB Chief Risk Office IT (Paul Hazelton)"/>
    <s v="39400008197 FNB Chief Risk Office IT"/>
    <s v="Full Time Employee"/>
    <s v="Sales and Client Services"/>
    <s v="Small and Medium Enterprise Development Head"/>
    <s v="6 year(s), 10 month(s), 13 day(s)"/>
    <s v="30 - 39"/>
    <s v="Male"/>
    <s v="African (South Africa)"/>
  </r>
  <r>
    <s v="5258219"/>
    <x v="733"/>
    <x v="0"/>
    <x v="0"/>
    <s v="South Africa"/>
    <s v="FNB"/>
    <s v="FNB Commercial TxP (Lauren Deva)"/>
    <s v="39800004465 FNB Commercial TxP Transact Products"/>
    <s v="Full Time Employee"/>
    <s v="Product"/>
    <s v="Product Manager"/>
    <s v="6 year(s), 10 month(s), 2 day(s)"/>
    <s v="30 - 39"/>
    <s v="Female"/>
    <s v="African (South Africa)"/>
  </r>
  <r>
    <s v="5258626"/>
    <x v="734"/>
    <x v="0"/>
    <x v="4"/>
    <s v="South Africa"/>
    <s v="FNB"/>
    <s v="FNB Personal Core Banking (Sylvia Kambule)"/>
    <s v="28100006613 FNB Personal Banking Risk Management Collections"/>
    <s v="Full Time Employee"/>
    <s v="Credit"/>
    <s v="Collections Advisor"/>
    <s v="5 year(s), 6 month(s), 2 day(s)"/>
    <s v="30 - 39"/>
    <s v="Male"/>
    <s v="African (South Africa)"/>
  </r>
  <r>
    <s v="5262690"/>
    <x v="735"/>
    <x v="0"/>
    <x v="0"/>
    <s v="South Africa"/>
    <s v="FNB"/>
    <s v="FNB Chief Risk Office Executive (Dale Rimmington)"/>
    <s v="39400009192 FNB Chief Risk Office IT Risk"/>
    <s v="Full Time Employee"/>
    <s v="Legal, Risk and Compliance"/>
    <s v="IT Risk Head"/>
    <s v="6 year(s), 10 month(s), 2 day(s)"/>
    <s v="40 - 49"/>
    <s v="Male"/>
    <s v="Indian (South Africa)"/>
  </r>
  <r>
    <s v="5263026"/>
    <x v="736"/>
    <x v="0"/>
    <x v="0"/>
    <s v="South Africa"/>
    <s v="FNB"/>
    <s v="FNB Points of Presence (Tebogo Kekana)"/>
    <s v="771064400 FNB POP Branch Delivery The Boulders"/>
    <s v="OBR With Fixed Pay"/>
    <s v="Sales and Client Services"/>
    <s v="Branch Advisor FAIS"/>
    <s v="4 year(s), 10 month(s), 2 day(s)"/>
    <s v="30 - 39"/>
    <s v="Male"/>
    <s v="African (South Africa)"/>
  </r>
  <r>
    <s v="5264405"/>
    <x v="737"/>
    <x v="0"/>
    <x v="0"/>
    <s v="South Africa"/>
    <s v="FNB"/>
    <s v="FNB Personal (Shanaaz Goolam)"/>
    <s v="771049200 FNB POP Branch Delivery Melville"/>
    <s v="OBR With Fixed Pay"/>
    <s v="Sales and Client Services"/>
    <s v="Branch Advisor FAIS"/>
    <s v="4 year(s), 9 month(s), 2 day(s)"/>
    <s v="30 - 39"/>
    <s v="Male"/>
    <s v="African (South Africa)"/>
  </r>
  <r>
    <s v="5264944"/>
    <x v="738"/>
    <x v="0"/>
    <x v="0"/>
    <s v="South Africa"/>
    <s v="FNB"/>
    <s v="FNB Commercial Finance, Data, Infrastructure and SME Development Enablement (Chantal Roodt)"/>
    <s v="34400006939 FNB Commercial Facilities Management"/>
    <s v="Full Time Employee"/>
    <s v="Process, Operations and Administration"/>
    <s v="Asset Coordinator"/>
    <s v="2 year(s), 7 month(s), 2 day(s)"/>
    <s v="30 - 39"/>
    <s v="Male"/>
    <s v="African (South Africa)"/>
  </r>
  <r>
    <s v="5266106"/>
    <x v="739"/>
    <x v="0"/>
    <x v="0"/>
    <s v="South Africa"/>
    <s v="FNB"/>
    <s v="FNB Personal Human Capital (Shalini John)"/>
    <s v="84900003961 FNB ConnectMe EXCO"/>
    <s v="Full Time Employee"/>
    <s v="Human Capital"/>
    <s v="Human Capital Manager"/>
    <s v="6 year(s), 10 month(s), 2 day(s)"/>
    <s v="50 - 59"/>
    <s v="Female"/>
    <s v="Coloured (South Africa)"/>
  </r>
  <r>
    <s v="5266270"/>
    <x v="740"/>
    <x v="0"/>
    <x v="31"/>
    <s v="South Africa"/>
    <s v="FNB"/>
    <s v="FNB Dynamic Decisioning Project Delivery (Cindy John)"/>
    <s v="23900006144 FNB Dynamic Decisioning Project Delivery"/>
    <s v="Full Time Employee"/>
    <s v="Process, Operations and Administration"/>
    <s v="Project Management Office Portfolio Manager"/>
    <s v="6 year(s), 9 month(s), 12 day(s)"/>
    <s v="40 - 49"/>
    <s v="Male"/>
    <s v="White (South Africa)"/>
  </r>
  <r>
    <s v="5266513"/>
    <x v="741"/>
    <x v="0"/>
    <x v="0"/>
    <s v="South Africa"/>
    <s v="FNB"/>
    <s v="FNB Commercial TxP (Francis Tobin)"/>
    <s v="39800006739 FNB Commercial TxP Credit Card Collections"/>
    <s v="Full Time Employee"/>
    <s v="Credit"/>
    <s v="Collections Manager"/>
    <s v="6 year(s), 10 month(s), 2 day(s)"/>
    <s v="30 - 39"/>
    <s v="Female"/>
    <s v="African (South Africa)"/>
  </r>
  <r>
    <s v="5267986"/>
    <x v="742"/>
    <x v="0"/>
    <x v="10"/>
    <s v="South Africa"/>
    <s v="RMB"/>
    <s v="RMBSA IBD LRC Credit Risk Management (Thembi Ngobeni)"/>
    <s v="77800000SFA RMBSA IBD Credit Analysts"/>
    <s v="Full Time Employee"/>
    <s v="Credit"/>
    <s v="Credit Team Lead"/>
    <s v="6 year(s), 9 month(s), 2 day(s)"/>
    <s v="30 - 39"/>
    <s v="Male"/>
    <s v="African (South Africa)"/>
  </r>
  <r>
    <s v="5273323"/>
    <x v="743"/>
    <x v="0"/>
    <x v="0"/>
    <s v="South Africa"/>
    <s v="FNB"/>
    <s v="FNB Commercial Chief Risk Office (Thloni Mhango (Inherited))"/>
    <s v="34400005615 FNB Commercial Chief Risk Office Regulatory Risk"/>
    <s v="PHI Benefit"/>
    <s v="Legal, Risk and Compliance"/>
    <s v="Compliance Head"/>
    <s v="6 year(s), 4 month(s), 2 day(s)"/>
    <s v="50 - 59"/>
    <s v="Female"/>
    <s v="Coloured (South Africa)"/>
  </r>
  <r>
    <s v="5275032"/>
    <x v="744"/>
    <x v="0"/>
    <x v="23"/>
    <s v="South Africa"/>
    <s v="RMB"/>
    <s v="RMBSA Client Group Operations (Helen Wood)"/>
    <s v="77800000CXD RMBSA Client Experience Design"/>
    <s v="Full Time Employee"/>
    <s v="Sales and Client Services"/>
    <s v="Client Experience Design Head"/>
    <s v="6 year(s), 8 month(s), 2 day(s)"/>
    <s v="50 - 59"/>
    <s v="Female"/>
    <s v="African (South Africa)"/>
  </r>
  <r>
    <s v="5277264"/>
    <x v="745"/>
    <x v="0"/>
    <x v="0"/>
    <s v="South Africa"/>
    <s v="FNB"/>
    <s v="FNB Points of Presence (Nontobeko Kunene)"/>
    <s v="771079400 FNB POP Branch Delivery Nelspruit Pinnacle"/>
    <s v="OBR With Fixed Pay"/>
    <s v="Sales and Client Services"/>
    <s v="Branch Advisor FAIS"/>
    <s v="6 year(s), 9 month(s), 2 day(s)"/>
    <s v="30 - 39"/>
    <s v="Male"/>
    <s v="African (South Africa)"/>
  </r>
  <r>
    <s v="5280486"/>
    <x v="746"/>
    <x v="0"/>
    <x v="0"/>
    <s v="South Africa"/>
    <s v="FNB"/>
    <s v="FNB Business CXC (Mpho Disetlhe)"/>
    <s v="34300009996 FNB Business CXC OBE"/>
    <s v="Full Time Employee"/>
    <s v="Sales and Client Services"/>
    <s v="Business Banking Advisor"/>
    <s v="6 year(s), 2 month(s), 2 day(s)"/>
    <s v="30 - 39"/>
    <s v="Female"/>
    <s v="African (South Africa)"/>
  </r>
  <r>
    <s v="5283345"/>
    <x v="747"/>
    <x v="0"/>
    <x v="7"/>
    <s v="South Africa"/>
    <s v="FNB"/>
    <s v="FNB Points of Presence (Godfrey Mosaku)"/>
    <s v="771069100 FNB POP Branch Delivery Maluti"/>
    <s v="Full Time Employee"/>
    <s v="Sales and Client Services"/>
    <s v="Branch Delivery Sales and Service Team Leader"/>
    <s v="6 year(s), 7 month(s), 24 day(s)"/>
    <s v="30 - 39"/>
    <s v="Male"/>
    <s v="African (South Africa)"/>
  </r>
  <r>
    <s v="5283957"/>
    <x v="748"/>
    <x v="0"/>
    <x v="5"/>
    <s v="South Africa"/>
    <s v="FNB"/>
    <s v="FNB HR Centre of Expertise (Liesel Hollis)"/>
    <s v="47100007956 CoE Transformation"/>
    <s v="Full Time Employee"/>
    <s v="Human Capital"/>
    <s v="Diversity and Inclusion Specialist"/>
    <s v="6 year(s), 7 month(s), 2 day(s)"/>
    <s v="30 - 39"/>
    <s v="Female"/>
    <s v="African (South Africa)"/>
  </r>
  <r>
    <s v="5285739"/>
    <x v="749"/>
    <x v="0"/>
    <x v="3"/>
    <s v="South Africa"/>
    <s v="FNB"/>
    <s v="FNB Retail COO (Tuaneshnee Naidoo)"/>
    <s v="69000002201 FNB Retail COO Business Analysis"/>
    <s v="Full Time Employee"/>
    <s v="Process, Operations and Administration"/>
    <s v="Business Analyst"/>
    <s v="3 year(s), 9 month(s), 2 day(s)"/>
    <s v="40 - 49"/>
    <s v="Male"/>
    <s v="African (South Africa)"/>
  </r>
  <r>
    <s v="5290678"/>
    <x v="750"/>
    <x v="0"/>
    <x v="0"/>
    <s v="South Africa"/>
    <s v="FNB"/>
    <s v="FNB Points of Presence (Lusanda Tekula)"/>
    <s v="771029600 FNB POP Branch Delivery Margate"/>
    <s v="Full Time Employee"/>
    <s v="Sales and Client Services"/>
    <s v="Universal Advisor Lead"/>
    <s v="6 year(s), 7 month(s), 2 day(s)"/>
    <s v="30 - 39"/>
    <s v="Female"/>
    <s v="African (South Africa)"/>
  </r>
  <r>
    <s v="5293197"/>
    <x v="751"/>
    <x v="0"/>
    <x v="0"/>
    <s v="South Africa"/>
    <s v="WesBank"/>
    <s v="WB Motor Operations (Lebogang Leketi)"/>
    <s v="30100007302 WB WesBank/TFS CSC"/>
    <s v="Full Time Employee"/>
    <s v="Sales and Client Services"/>
    <s v="Advanced Client Service Agent"/>
    <s v="5 year(s), 10 month(s), 2 day(s)"/>
    <s v="20 - 29"/>
    <s v="Male"/>
    <s v="Coloured (South Africa)"/>
  </r>
  <r>
    <s v="5295181"/>
    <x v="752"/>
    <x v="0"/>
    <x v="0"/>
    <s v="South Africa"/>
    <s v="FNB"/>
    <s v="FNB Personal Segment Advisory and Suites (Phindile Gwamanda)"/>
    <s v="97200009224 PSAS Inbound Sales"/>
    <s v="Full Time Employee"/>
    <s v="Sales and Client Services"/>
    <s v="Sales Advisor"/>
    <s v="6 year(s), 6 month(s), 19 day(s)"/>
    <s v="20 - 29"/>
    <s v="Male"/>
    <s v="Coloured (South Africa)"/>
  </r>
  <r>
    <s v="5300002"/>
    <x v="753"/>
    <x v="0"/>
    <x v="0"/>
    <s v="South Africa"/>
    <s v="FNB"/>
    <s v="FNB Wealth and Investments (Boitumelo Finger)"/>
    <s v="46700006634 FNB WI IT Dev Data"/>
    <s v="Full Time Employee"/>
    <s v="Data and Analytics"/>
    <s v="Data Manager"/>
    <s v="6 year(s), 5 month(s), 2 day(s)"/>
    <s v="40 - 49"/>
    <s v="Female"/>
    <s v="African (South Africa)"/>
  </r>
  <r>
    <s v="5307619"/>
    <x v="754"/>
    <x v="0"/>
    <x v="0"/>
    <s v="South Africa"/>
    <s v="FNB"/>
    <s v="FNB Private Banking and Advisory (Tshepiso Martin)"/>
    <s v="34100008332 PB&amp;A Cape Peninsula Affluent"/>
    <s v="OBR With Fixed Pay"/>
    <s v="Sales and Client Services"/>
    <s v="Private Clients Advisor"/>
    <s v="3 year(s), 3 month(s), 2 day(s)"/>
    <s v="40 - 49"/>
    <s v="Male"/>
    <s v="Coloured (South Africa)"/>
  </r>
  <r>
    <s v="5308046"/>
    <x v="755"/>
    <x v="0"/>
    <x v="0"/>
    <s v="South Africa"/>
    <s v="FNB"/>
    <s v="DirectAxis (Asterico Adams)"/>
    <s v="99700015137 DA IT Operations"/>
    <s v="Full Time Employee"/>
    <s v="Data and Analytics"/>
    <s v="Information Management Specialist"/>
    <s v="4 year(s), 0 month(s), 2 day(s)"/>
    <s v="40 - 49"/>
    <s v="Female"/>
    <s v="Indian (South Africa)"/>
  </r>
  <r>
    <s v="5308984"/>
    <x v="756"/>
    <x v="0"/>
    <x v="0"/>
    <s v="South Africa"/>
    <s v="FNB"/>
    <s v="FNB Commercial Merchant Services (Prinasen Moodley)"/>
    <s v="22800008613 FNB Commercial Merchant Services Sales and Marketing"/>
    <s v="Full Time Employee"/>
    <s v="Sales and Client Services"/>
    <s v="Sales Coordinator"/>
    <s v="3 year(s), 8 month(s), 2 day(s)"/>
    <s v="30 - 39"/>
    <s v="Female"/>
    <s v="African (South Africa)"/>
  </r>
  <r>
    <s v="5309395"/>
    <x v="757"/>
    <x v="0"/>
    <x v="0"/>
    <s v="South Africa"/>
    <s v="FNB"/>
    <s v="FNB Points of Presence (Nokwazi Shabalala)"/>
    <s v="771067400 FNB POP Branch Delivery Boom Street"/>
    <s v="OBR With Fixed Pay"/>
    <s v="Sales and Client Services"/>
    <s v="Branch Advisor FAIS"/>
    <s v="6 year(s), 5 month(s), 2 day(s)"/>
    <s v="30 - 39"/>
    <s v="Female"/>
    <s v="African (South Africa)"/>
  </r>
  <r>
    <s v="5309409"/>
    <x v="758"/>
    <x v="0"/>
    <x v="1"/>
    <s v="South Africa"/>
    <s v="FNB"/>
    <s v="FNB Core Banking Platform (Farieda Mayet)"/>
    <s v="59600007235 FNB Personal and Private IT Home Loans IT Systems"/>
    <s v="Full Time Employee"/>
    <s v="Technology"/>
    <s v="User Experience Manager"/>
    <s v="6 year(s), 4 month(s), 18 day(s)"/>
    <s v="30 - 39"/>
    <s v="Male"/>
    <s v="White (South Africa)"/>
  </r>
  <r>
    <s v="5310601"/>
    <x v="759"/>
    <x v="0"/>
    <x v="0"/>
    <s v="South Africa"/>
    <s v="FNB"/>
    <s v="nav Product (Willem Potgieter)"/>
    <s v="39400003192 FNB nav Head Office"/>
    <s v="Full Time Employee"/>
    <s v="Product"/>
    <s v="Support Imagineer"/>
    <s v="6 year(s), 4 month(s), 2 day(s)"/>
    <s v="30 - 39"/>
    <s v="Male"/>
    <s v="Coloured (South Africa)"/>
  </r>
  <r>
    <s v="5310741"/>
    <x v="760"/>
    <x v="0"/>
    <x v="0"/>
    <s v="South Africa"/>
    <s v="FNB"/>
    <s v="FNB HSL (Shannon De Andrade)"/>
    <s v="21200001447 HSL Attorney Liaison and Pipeline Management"/>
    <s v="Full Time Employee"/>
    <s v="Process, Operations and Administration"/>
    <s v="Attorney Liaison Manager"/>
    <s v="6 year(s), 4 month(s), 11 day(s)"/>
    <s v="30 - 39"/>
    <s v="Male"/>
    <s v="African (South Africa)"/>
  </r>
  <r>
    <s v="5312337"/>
    <x v="761"/>
    <x v="0"/>
    <x v="0"/>
    <s v="South Africa"/>
    <s v="FNB"/>
    <s v="FNB Retail P Human Capital (Craig Fortuin)"/>
    <s v="85500008557 FNB Retail Learning Solutions"/>
    <s v="Full Time Employee"/>
    <s v="Process, Operations and Administration"/>
    <s v="Programme Manager"/>
    <s v="6 year(s), 4 month(s), 2 day(s)"/>
    <s v="40 - 49"/>
    <s v="Male"/>
    <s v="Coloured (South Africa)"/>
  </r>
  <r>
    <s v="5313317"/>
    <x v="762"/>
    <x v="0"/>
    <x v="0"/>
    <s v="South Africa"/>
    <s v="FNB"/>
    <s v="FNB Personal (Clint Eksteen)"/>
    <s v="97200010705 FNB Internet Capability"/>
    <s v="Full Time Employee"/>
    <s v="Technology"/>
    <s v="Digital Creative Producer"/>
    <s v="6 year(s), 4 month(s), 2 day(s)"/>
    <s v="30 - 39"/>
    <s v="Male"/>
    <s v="Coloured (South Africa)"/>
  </r>
  <r>
    <s v="5313589"/>
    <x v="763"/>
    <x v="0"/>
    <x v="0"/>
    <s v="South Africa"/>
    <s v="FNB"/>
    <s v="FNB Private Banking and Advisory (Reginald Gow)"/>
    <s v="34100007232 PB&amp;A Service Suite Advisor Engagement"/>
    <s v="Full Time Employee"/>
    <s v="Sales and Client Services"/>
    <s v="Private Service Advisor"/>
    <s v="6 year(s), 4 month(s), 25 day(s)"/>
    <s v="30 - 39"/>
    <s v="Female"/>
    <s v="African (South Africa)"/>
  </r>
  <r>
    <s v="5314267"/>
    <x v="764"/>
    <x v="0"/>
    <x v="0"/>
    <s v="South Africa"/>
    <s v="FNB"/>
    <s v="CDO Kernel iNterfaceX (Pavan Konatham)"/>
    <s v="21800009263 CDO Kernel iNterfaceX Tech Online Banking QA"/>
    <s v="Full Time Employee"/>
    <s v="Technology"/>
    <s v="Test Analyst"/>
    <s v="5 year(s), 0 month(s), 2 day(s)"/>
    <s v="30 - 39"/>
    <s v="Female"/>
    <s v="African (South Africa)"/>
  </r>
  <r>
    <s v="5315670"/>
    <x v="765"/>
    <x v="0"/>
    <x v="0"/>
    <s v="South Africa"/>
    <s v="FNB"/>
    <s v="FNB HR Executive (Itumeleng Mosiane)"/>
    <s v="47100009193 FNB Enabling Learning"/>
    <s v="Full Time Employee"/>
    <s v="Human Capital"/>
    <s v="Learning Specialist"/>
    <s v="6 year(s), 3 month(s), 20 day(s)"/>
    <s v="30 - 39"/>
    <s v="Male"/>
    <s v="African (South Africa)"/>
  </r>
  <r>
    <s v="5318076"/>
    <x v="766"/>
    <x v="0"/>
    <x v="0"/>
    <s v="South Africa"/>
    <s v="FNB"/>
    <s v="FNB Commercial Cash Operations Support (Thembisa Mcetywa)"/>
    <s v="76100000967 FNB Commercial Cash Centre Pretoria"/>
    <s v="Full Time Employee"/>
    <s v="Sales and Client Services"/>
    <s v="Teller"/>
    <s v="4 year(s), 10 month(s), 2 day(s)"/>
    <s v="30 - 39"/>
    <s v="Male"/>
    <s v="African (South Africa)"/>
  </r>
  <r>
    <s v="5319579"/>
    <x v="767"/>
    <x v="0"/>
    <x v="0"/>
    <s v="South Africa"/>
    <s v="FNB"/>
    <s v="FNB Personal Segment Advisory and Suites (Jillian April)"/>
    <s v="97200011158 FNB PSAS Transact"/>
    <s v="Full Time Employee"/>
    <s v="Sales and Client Services"/>
    <s v="Sales Advisor"/>
    <s v="6 year(s), 4 month(s), 2 day(s)"/>
    <s v="40 - 49"/>
    <s v="Female"/>
    <s v="Coloured (South Africa)"/>
  </r>
  <r>
    <s v="5320992"/>
    <x v="768"/>
    <x v="0"/>
    <x v="0"/>
    <s v="South Africa"/>
    <s v="FNB"/>
    <s v="FNB Brand Graphic Design (Dominique Wilkins)"/>
    <s v="22400005494 FNB Marketing Strategy"/>
    <s v="Full Time Employee"/>
    <s v="Marketing and Communication"/>
    <s v="Senior Brand Identity Specialist"/>
    <s v="6 year(s), 3 month(s), 20 day(s)"/>
    <s v="40 - 49"/>
    <s v="Male"/>
    <s v="African (South Africa)"/>
  </r>
  <r>
    <s v="5321131"/>
    <x v="769"/>
    <x v="0"/>
    <x v="0"/>
    <s v="South Africa"/>
    <s v="FNB"/>
    <s v="CDO Infrastructure and Security Services (Vanessa Govender)"/>
    <s v="20700001342 CDO Infrastructure and Security Services Risk"/>
    <s v="Full Time Employee"/>
    <s v="Process, Operations and Administration"/>
    <s v="Business Process Engineer"/>
    <s v="6 year(s), 3 month(s), 2 day(s)"/>
    <s v="30 - 39"/>
    <s v="Male"/>
    <s v="African (South Africa)"/>
  </r>
  <r>
    <s v="5322219"/>
    <x v="770"/>
    <x v="0"/>
    <x v="0"/>
    <s v="South Africa"/>
    <s v="RMB"/>
    <s v="RMBSA CCG Auto, Logistics and Industrials Sector (Pieter Nienaber)"/>
    <s v="77800000AUT RMBSA Auto, Logistics and Industrials Sector"/>
    <s v="Full Time Employee"/>
    <s v="Sales and Client Services"/>
    <s v="Sector Banker"/>
    <s v="6 year(s), 2 month(s), 30 day(s)"/>
    <s v="40 - 49"/>
    <s v="Female"/>
    <s v="African (South Africa)"/>
  </r>
  <r>
    <s v="5322693"/>
    <x v="771"/>
    <x v="0"/>
    <x v="0"/>
    <s v="South Africa"/>
    <s v="FNB"/>
    <s v="FNB Commercial Sales Gauteng North (Jessie Mogoba)"/>
    <s v="34200006343 FNB Commercial Sales Gauteng Midrand 60 to 150M"/>
    <s v="Full Time Employee"/>
    <s v="Sales and Client Services"/>
    <s v="Client Portfolio Executive"/>
    <s v="6 year(s), 2 month(s), 30 day(s)"/>
    <s v="50 - 59"/>
    <s v="Male"/>
    <s v="African (South Africa)"/>
  </r>
  <r>
    <s v="5323460"/>
    <x v="772"/>
    <x v="0"/>
    <x v="0"/>
    <s v="South Africa"/>
    <s v="FNB"/>
    <s v="FNB Cash Investments (Cornel Du Toit)"/>
    <s v="65100003691 FNB Cash Investments Pricing &amp; Analytics"/>
    <s v="Full Time Employee"/>
    <s v="Data and Analytics"/>
    <s v="Data Science Manager"/>
    <s v="6 year(s), 2 month(s), 30 day(s)"/>
    <s v="30 - 39"/>
    <s v="Male"/>
    <s v="African (South Africa)"/>
  </r>
  <r>
    <s v="5326583"/>
    <x v="773"/>
    <x v="0"/>
    <x v="0"/>
    <s v="South Africa"/>
    <s v="FNB"/>
    <s v="FNB iCustomer (Sajiv Bhikha)"/>
    <s v="39400005972 FNB iCustomer Customer Data Management"/>
    <s v="Full Time Employee"/>
    <s v="Data and Analytics"/>
    <s v="Information Management Specialist"/>
    <s v="4 year(s), 2 month(s), 2 day(s)"/>
    <s v="30 - 39"/>
    <s v="Female"/>
    <s v="African (South Africa)"/>
  </r>
  <r>
    <s v="5329132"/>
    <x v="774"/>
    <x v="0"/>
    <x v="19"/>
    <s v="South Africa"/>
    <s v="FNB"/>
    <s v="FNB eBucks Technology (Kuven Pillay)"/>
    <s v="25600005667 FNB eBucks Technology"/>
    <s v="Full Time Employee"/>
    <s v="Technology"/>
    <s v="Systems Analyst"/>
    <s v="6 year(s), 0 month(s), 14 day(s)"/>
    <s v="20 - 29"/>
    <s v="Male"/>
    <s v="Indian (South Africa)"/>
  </r>
  <r>
    <s v="5332451"/>
    <x v="775"/>
    <x v="0"/>
    <x v="4"/>
    <s v="South Africa"/>
    <s v="RMB"/>
    <s v="RMBSA Global Markets ICG Structured Sales (Nico Le Roux)"/>
    <s v="77800000SAI RMBSA Global Markets SA Institutional Strucutred Sales"/>
    <s v="Full Time Employee"/>
    <s v="Capital Markets and Invest"/>
    <s v="Client Structurer"/>
    <s v="6 year(s), 0 month(s), 21 day(s)"/>
    <s v="40 - 49"/>
    <s v="Female"/>
    <s v="Indian (South Africa)"/>
  </r>
  <r>
    <s v="5334187"/>
    <x v="776"/>
    <x v="0"/>
    <x v="1"/>
    <s v="South Africa"/>
    <s v="RMB"/>
    <s v="RMBSA IBD Leverage Finance Team A (Duncan Smith)"/>
    <s v="77800000AQN RMBSA IBD Leverage Finance"/>
    <s v="Full Time Employee"/>
    <s v="Capital Markets and Invest"/>
    <s v="Transactor"/>
    <s v="6 year(s), 1 month(s), 2 day(s)"/>
    <s v="20 - 29"/>
    <s v="Male"/>
    <s v="White (South Africa)"/>
  </r>
  <r>
    <s v="5334810"/>
    <x v="777"/>
    <x v="0"/>
    <x v="0"/>
    <s v="South Africa"/>
    <s v="FNB"/>
    <s v="FNB Broader Africa (Nozipho Duma)"/>
    <s v="83200004112 FNB International SA Chief Data and Analytics Office"/>
    <s v="Full Time Employee"/>
    <s v="Data and Analytics"/>
    <s v="Data Engineer"/>
    <s v="4 year(s), 5 month(s), 24 day(s)"/>
    <s v="30 - 39"/>
    <s v="Male"/>
    <s v="African (South Africa)"/>
  </r>
  <r>
    <s v="5335655"/>
    <x v="778"/>
    <x v="0"/>
    <x v="0"/>
    <s v="South Africa"/>
    <s v="FNB"/>
    <s v="FNB HR Centre of Expertise (Joanna Preston)"/>
    <s v="47100009666 CoE Niche Talent Programme"/>
    <s v="Full Time Employee"/>
    <s v="Human Capital"/>
    <s v="Young Talent Learning and Development Manager"/>
    <s v="6 year(s), 0 month(s), 21 day(s)"/>
    <s v="40 - 49"/>
    <s v="Female"/>
    <s v="African (South Africa)"/>
  </r>
  <r>
    <s v="5336120"/>
    <x v="779"/>
    <x v="0"/>
    <x v="0"/>
    <s v="South Africa"/>
    <s v="FNB"/>
    <s v="FNB Dynamic Decisioning (Waldo Botha)"/>
    <s v="23900002832 FNB Dynamic Decisioning Contextual Analytics"/>
    <s v="Full Time Employee"/>
    <s v="Data and Analytics"/>
    <s v="Data Scientist"/>
    <s v="6 year(s), 0 month(s), 14 day(s)"/>
    <s v="20 - 29"/>
    <s v="Female"/>
    <s v="Coloured (South Africa)"/>
  </r>
  <r>
    <s v="5336309"/>
    <x v="780"/>
    <x v="0"/>
    <x v="0"/>
    <s v="South Africa"/>
    <s v="FNB"/>
    <s v="FNB HSL. (Nikita Ranchod)"/>
    <s v="21200002627 HSL  Processing Operations Loans NB"/>
    <s v="Full Time Employee"/>
    <s v="Process, Operations and Administration"/>
    <s v="Operations Head"/>
    <s v="6 year(s), 0 month(s), 0 day(s)"/>
    <s v="40 - 49"/>
    <s v="Male"/>
    <s v="African (South Africa)"/>
  </r>
  <r>
    <s v="5339502"/>
    <x v="781"/>
    <x v="0"/>
    <x v="1"/>
    <s v="Namibia"/>
    <s v="FNB"/>
    <s v="FNB Namibia Limited (Charles Chapman)"/>
    <s v="302000002227 FNB Namibia Commercial Digital Channels"/>
    <s v="Full Time Employee"/>
    <s v="Product"/>
    <s v="Transact Pillar Head"/>
    <s v="5 year(s), 11 month(s), 2 day(s)"/>
    <s v="40 - 49"/>
    <s v="Male"/>
    <s v="Racially disadvantaged (Namibia)"/>
  </r>
  <r>
    <s v="5376963"/>
    <x v="782"/>
    <x v="0"/>
    <x v="4"/>
    <s v="South Africa"/>
    <s v="FNB"/>
    <s v="CDO Kernel iNterfaceX (Direshan Govender)"/>
    <s v="21800001994 CDO Kernel iNterfaceX Tech App and Mobile Dev App"/>
    <s v="Full Time Employee"/>
    <s v="Technology"/>
    <s v="Java Developer"/>
    <s v="5 year(s), 0 month(s), 16 day(s)"/>
    <s v="20 - 29"/>
    <s v="Male"/>
    <s v="Indian (South Africa)"/>
  </r>
  <r>
    <s v="5377749"/>
    <x v="783"/>
    <x v="0"/>
    <x v="0"/>
    <s v="South Africa"/>
    <s v="FNB"/>
    <s v="FNB Points of Presence (Donna Fortuin)"/>
    <s v="771036300 FNB POP Branch Delivery Schweizer Reneke"/>
    <s v="OBR With Fixed Pay"/>
    <s v="Sales and Client Services"/>
    <s v="Branch Advisor FAIS"/>
    <s v="4 year(s), 11 month(s), 2 day(s)"/>
    <s v="30 - 39"/>
    <s v="Male"/>
    <s v="African (South Africa)"/>
  </r>
  <r>
    <s v="5389585"/>
    <x v="784"/>
    <x v="0"/>
    <x v="0"/>
    <s v="South Africa"/>
    <s v="FNB"/>
    <s v="FNB Commercial Core Juristic Platform (Khulani Mvelase)"/>
    <s v="34200005978 FNB Commercial CJP CRM"/>
    <s v="Full Time Employee"/>
    <s v="Technology"/>
    <s v="Technical Tester"/>
    <s v="4 year(s), 11 month(s), 2 day(s)"/>
    <s v="30 - 39"/>
    <s v="Female"/>
    <s v="African (South Africa)"/>
  </r>
  <r>
    <s v="5390427"/>
    <x v="785"/>
    <x v="0"/>
    <x v="0"/>
    <s v="South Africa"/>
    <s v="FNB"/>
    <s v="FR Life Assurance (Adriaan Van Der Merwe)"/>
    <s v="61500010304 FR Insure and Invest Distribution"/>
    <s v="Full Time Employee"/>
    <s v="Sales and Client Services"/>
    <s v="Business Development Manager"/>
    <s v="4 year(s), 11 month(s), 2 day(s)"/>
    <s v="30 - 39"/>
    <s v="Male"/>
    <s v="Indian (South Africa)"/>
  </r>
  <r>
    <s v="5391458"/>
    <x v="786"/>
    <x v="0"/>
    <x v="25"/>
    <s v="South Africa"/>
    <s v="FNB"/>
    <s v="FNB Commercial Merchant Services (Ashley Jacobs)"/>
    <s v="22800008224 FNB Commercial Merchant Services Projects"/>
    <s v="Full Time Employee"/>
    <s v="Process, Operations and Administration"/>
    <s v="Business Analyst"/>
    <s v="4 year(s), 6 month(s), 2 day(s)"/>
    <s v="30 - 39"/>
    <s v="Male"/>
    <s v="African (South Africa)"/>
  </r>
  <r>
    <s v="5414032"/>
    <x v="787"/>
    <x v="0"/>
    <x v="1"/>
    <s v="South Africa"/>
    <s v="RMB"/>
    <s v="RMBSA Investment Banking Division (IBD) (Rob Leon)"/>
    <s v="77800000DTR RMBSA IBD Loan Capital Markets &amp; Syndications"/>
    <s v="Full Time Employee"/>
    <s v="Capital Markets and Invest"/>
    <s v="Loan Capital Market Solutions Head"/>
    <s v="4 year(s), 7 month(s), 2 day(s)"/>
    <s v="40 - 49"/>
    <s v="Female"/>
    <s v="African (South Africa)"/>
  </r>
  <r>
    <s v="5420725"/>
    <x v="788"/>
    <x v="0"/>
    <x v="0"/>
    <s v="South Africa"/>
    <s v="FNB"/>
    <s v="FNB Dynamic Decisioning (Naude Pretorius)"/>
    <s v="23900005393 FNB Dynamic Decisioning Scoring"/>
    <s v="Full Time Employee"/>
    <s v="Data and Analytics"/>
    <s v="Data Science Head"/>
    <s v="4 year(s), 5 month(s), 2 day(s)"/>
    <s v="30 - 39"/>
    <s v="Male"/>
    <s v="African (South Africa)"/>
  </r>
  <r>
    <s v="5430577"/>
    <x v="789"/>
    <x v="0"/>
    <x v="18"/>
    <s v="South Africa"/>
    <s v="RMB"/>
    <s v="RMBSA Global Markets Technical Risk Advisory Projects (Michelle Verwey)"/>
    <s v="77800000EQS RMBSA Global Markets Operational Risk"/>
    <s v="Full Time Employee"/>
    <s v="Legal, Risk and Compliance"/>
    <s v="Risk Programme Manager"/>
    <s v="4 year(s), 5 month(s), 29 day(s)"/>
    <s v="40 - 49"/>
    <s v="Male"/>
    <s v="African (South Africa)"/>
  </r>
  <r>
    <s v="5431328"/>
    <x v="790"/>
    <x v="0"/>
    <x v="5"/>
    <s v="South Africa"/>
    <s v="FirstRand Corporate Centre"/>
    <s v="Group Chief Executive Office (Mary Vilakazi)"/>
    <s v="20200006713 Chief Financial Office"/>
    <s v="Full Time Employee"/>
    <s v="Human Capital"/>
    <s v="Group Chief People Officer"/>
    <s v="4 year(s), 5 month(s), 2 day(s)"/>
    <s v="50 - 59"/>
    <s v="Male"/>
    <s v="African (South Africa)"/>
  </r>
  <r>
    <s v="5441579"/>
    <x v="791"/>
    <x v="0"/>
    <x v="28"/>
    <s v="South Africa"/>
    <s v="FNB"/>
    <s v="FNB Core Banking Platform (Johan Van Rooyen)"/>
    <s v="59600005979 FNB Personal and Private IT Collections IT"/>
    <s v="Full Time Employee"/>
    <s v="Technology"/>
    <s v="Systems Analyst"/>
    <s v="4 year(s), 3 month(s), 2 day(s)"/>
    <s v="40 - 49"/>
    <s v="Male"/>
    <s v="Indian (South Africa)"/>
  </r>
  <r>
    <s v="5448255"/>
    <x v="792"/>
    <x v="0"/>
    <x v="15"/>
    <s v="South Africa"/>
    <s v="FNB"/>
    <s v="FNB Integrated Advice (Ermi Du Plessis)"/>
    <s v="85500004971 FNB Sustainability &amp; ESG Solutions"/>
    <s v="Full Time Employee"/>
    <s v="Data and Analytics"/>
    <s v="Data Scientist"/>
    <s v="3 year(s), 1 month(s), 30 day(s)"/>
    <s v="30 - 39"/>
    <s v="Male"/>
    <s v="African (South Africa)"/>
  </r>
  <r>
    <s v="5449510"/>
    <x v="793"/>
    <x v="0"/>
    <x v="0"/>
    <s v="South Africa"/>
    <s v="FNB"/>
    <s v="FNB Retail Judgemental Credit (Joshni Narotam)"/>
    <s v="85500005752 RJC Inland"/>
    <s v="Full Time Employee"/>
    <s v="Credit"/>
    <s v="Retail Judgemental Credit Specialist"/>
    <s v="4 year(s), 2 month(s), 19 day(s)"/>
    <s v="40 - 49"/>
    <s v="Male"/>
    <s v="White (South Africa)"/>
  </r>
  <r>
    <s v="5453100"/>
    <x v="794"/>
    <x v="0"/>
    <x v="0"/>
    <s v="South Africa"/>
    <s v="FNB"/>
    <s v="FNB Commercial Merchant Services (Carrie Anne Feldman)"/>
    <s v="22800008303 FNB Commercial Merchant Services Pricing Analytics"/>
    <s v="Full Time Employee"/>
    <s v="Data and Analytics"/>
    <s v="Information Management Specialist"/>
    <s v="4 year(s), 2 month(s), 12 day(s)"/>
    <s v="30 - 39"/>
    <s v="Male"/>
    <s v="African (South Africa)"/>
  </r>
  <r>
    <s v="5454506"/>
    <x v="795"/>
    <x v="0"/>
    <x v="27"/>
    <s v="South Africa"/>
    <s v="FNB"/>
    <s v="CDO Kernel iNterfaceX (Aruna Seerpath)"/>
    <s v="21800005099 CDO Kernel iNterfaceX App Business Analysis"/>
    <s v="Full Time Employee"/>
    <s v="Process, Operations and Administration"/>
    <s v="Business Analyst"/>
    <s v="4 year(s), 0 month(s), 17 day(s)"/>
    <s v="20 - 29"/>
    <s v="Female"/>
    <s v="Indian (South Africa)"/>
  </r>
  <r>
    <s v="5455383"/>
    <x v="796"/>
    <x v="0"/>
    <x v="0"/>
    <s v="South Africa"/>
    <s v="FNB"/>
    <s v="FNB Chief Risk Office Retail and Commercial Compliance (Rozanne Carstens)"/>
    <s v="39400001973 FNB Chief Risk Office Retail and Commercial Compliance"/>
    <s v="Full Time Employee"/>
    <s v="Legal, Risk and Compliance"/>
    <s v="Integrated Financial Crime Compliance Manager"/>
    <s v="4 year(s), 3 month(s), 2 day(s)"/>
    <s v="30 - 39"/>
    <s v="Female"/>
    <s v="African (South Africa)"/>
  </r>
  <r>
    <s v="5459192"/>
    <x v="797"/>
    <x v="0"/>
    <x v="27"/>
    <s v="South Africa"/>
    <s v="FNB"/>
    <s v="CDO Payments (Otilia Fernandes)"/>
    <s v="79000007694 FNB Enablement OCIO Quality Assurance Testing"/>
    <s v="Full Time Employee"/>
    <s v="Technology"/>
    <s v="Performance Test Engineer"/>
    <s v="4 year(s), 2 month(s), 2 day(s)"/>
    <s v="30 - 39"/>
    <s v="Female"/>
    <s v="African (South Africa)"/>
  </r>
  <r>
    <s v="5461030"/>
    <x v="798"/>
    <x v="0"/>
    <x v="0"/>
    <s v="South Africa"/>
    <s v="FNB"/>
    <s v="FNB Personal Segment Advisory and Suites (Angela Paoli)"/>
    <s v="97200003119 PSAS Staff Engagement"/>
    <s v="Full Time Employee"/>
    <s v="Technology"/>
    <s v="Developer"/>
    <s v="4 year(s), 2 month(s), 12 day(s)"/>
    <s v="30 - 39"/>
    <s v="Male"/>
    <s v="African (South Africa)"/>
  </r>
  <r>
    <s v="5464692"/>
    <x v="799"/>
    <x v="0"/>
    <x v="0"/>
    <s v="South Africa"/>
    <s v="FNB"/>
    <s v="FNB eBucks (Raeesah Karriem)"/>
    <s v="25600005675 FNB eBucks User Experience"/>
    <s v="Full Time Employee"/>
    <s v="Technology"/>
    <s v="Usability Interface Specialist"/>
    <s v="4 year(s), 1 month(s), 27 day(s)"/>
    <s v="30 - 39"/>
    <s v="Female"/>
    <s v="African (South Africa)"/>
  </r>
  <r>
    <s v="5464900"/>
    <x v="800"/>
    <x v="0"/>
    <x v="23"/>
    <s v="South Africa"/>
    <s v="FNB"/>
    <s v="CDO Infrastructure and Security Services (Maphelo Mpofu)"/>
    <s v="20700008786 CDO Infrastructure and Security Services Active Directory"/>
    <s v="Full Time Employee"/>
    <s v="Technology"/>
    <s v="IT Security Specialist"/>
    <s v="4 year(s), 0 month(s), 24 day(s)"/>
    <s v="30 - 39"/>
    <s v="Male"/>
    <s v="African (South Africa)"/>
  </r>
  <r>
    <s v="5474426"/>
    <x v="801"/>
    <x v="0"/>
    <x v="4"/>
    <s v="South Africa"/>
    <s v="FNB"/>
    <s v="FNB Personal Exco (Lee Mhlongo)"/>
    <s v="5910701900 FNB Retail CDAO"/>
    <s v="Full Time Employee"/>
    <s v="Data and Analytics"/>
    <s v="Data Privacy Officer"/>
    <s v="4 year(s), 0 month(s), 17 day(s)"/>
    <s v="40 - 49"/>
    <s v="Female"/>
    <s v="Indian (South Africa)"/>
  </r>
  <r>
    <s v="5476038"/>
    <x v="802"/>
    <x v="0"/>
    <x v="0"/>
    <s v="South Africa"/>
    <s v="FNB"/>
    <s v="FNB Wealth (Chris De Jager)"/>
    <s v="34100003214 PB&amp;A Fiduciary"/>
    <s v="Full Time Employee"/>
    <s v="Capital Markets and Invest"/>
    <s v="Trustee Fiduciary Specialist"/>
    <s v="4 year(s), 0 month(s), 2 day(s)"/>
    <s v="40 - 49"/>
    <s v="Male"/>
    <s v="Indian (South Africa)"/>
  </r>
  <r>
    <s v="5478960"/>
    <x v="803"/>
    <x v="0"/>
    <x v="0"/>
    <s v="South Africa"/>
    <s v="FNB"/>
    <s v="CDO Kernel Customer IT (Craig Coombs)"/>
    <s v="79000005746 CDO Kernel CIS"/>
    <s v="Full Time Employee"/>
    <s v="Technology"/>
    <s v="Application Development Manager"/>
    <s v="3 year(s), 11 month(s), 2 day(s)"/>
    <s v="40 - 49"/>
    <s v="Male"/>
    <s v="Coloured (South Africa)"/>
  </r>
  <r>
    <s v="5485924"/>
    <x v="804"/>
    <x v="0"/>
    <x v="15"/>
    <s v="South Africa"/>
    <s v="FNB"/>
    <s v="FNB Commercial Sales Inland Agriculture (Bertie Huggett)"/>
    <s v="37100004411 FNB Commercial Agriculture Support Fairland"/>
    <s v="Full Time Employee"/>
    <s v="Product"/>
    <s v="Product Portfolio Head"/>
    <s v="3 year(s), 11 month(s), 2 day(s)"/>
    <s v="40 - 49"/>
    <s v="Female"/>
    <s v="African (South Africa)"/>
  </r>
  <r>
    <s v="5491363"/>
    <x v="805"/>
    <x v="0"/>
    <x v="0"/>
    <s v="South Africa"/>
    <s v="FNB"/>
    <s v="CDO Infrastructure and Security Services (Dave Van Der Schyff)"/>
    <s v="20700008789 CDO Infrastructure and Security Services Security Randburg"/>
    <s v="Full Time Employee"/>
    <s v="Support Services"/>
    <s v="Security Guard"/>
    <s v="3 year(s), 10 month(s), 20 day(s)"/>
    <s v="40 - 49"/>
    <s v="Male"/>
    <s v="African (South Africa)"/>
  </r>
  <r>
    <s v="5498783"/>
    <x v="806"/>
    <x v="0"/>
    <x v="27"/>
    <s v="South Africa"/>
    <s v="FNB"/>
    <s v="CDO Kernel iNterfaceX (Chris Bolle)"/>
    <s v="21800001994 CDO Kernel iNterfaceX Tech App and Mobile Dev App"/>
    <s v="Full Time Employee"/>
    <s v="Technology"/>
    <s v="Developer"/>
    <s v="3 year(s), 9 month(s), 2 day(s)"/>
    <s v="30 - 39"/>
    <s v="Female"/>
    <s v="Indian (South Africa)"/>
  </r>
  <r>
    <s v="5500591"/>
    <x v="807"/>
    <x v="0"/>
    <x v="4"/>
    <s v="South Africa"/>
    <s v="FNB"/>
    <s v="FNB Core Banking Platform (Marius Lombard)"/>
    <s v="59600005335 FNB Personal and Private IT PMO"/>
    <s v="Full Time Employee"/>
    <s v="Process, Operations and Administration"/>
    <s v="Project Management Office Portfolio Manager"/>
    <s v="3 year(s), 9 month(s), 16 day(s)"/>
    <s v="50 - 59"/>
    <s v="Female"/>
    <s v="Coloured (South Africa)"/>
  </r>
  <r>
    <s v="5506549"/>
    <x v="808"/>
    <x v="0"/>
    <x v="1"/>
    <s v="South Africa"/>
    <s v="FNB"/>
    <s v="FNB Personal Segment Advisory and Suites (Romanchea Muller)"/>
    <s v="97200005293 PSAS Entry Service"/>
    <s v="Full Time Employee"/>
    <s v="Sales and Client Services"/>
    <s v="Service and Sales Advisor"/>
    <s v="3 year(s), 9 month(s), 2 day(s)"/>
    <s v="30 - 39"/>
    <s v="Male"/>
    <s v="African (South Africa)"/>
  </r>
  <r>
    <s v="5527066"/>
    <x v="809"/>
    <x v="0"/>
    <x v="32"/>
    <s v="South Africa"/>
    <s v="FNB"/>
    <s v="FNB Retail Marketing Pillar (Tanya Weitz)"/>
    <s v="85500006598 FNB Retail Marketing"/>
    <s v="Full Time Employee"/>
    <s v="Marketing and Communication"/>
    <s v="Marketing Portfolio Manager"/>
    <s v="3 year(s), 5 month(s), 2 day(s)"/>
    <s v="40 - 49"/>
    <s v="Female"/>
    <s v="Coloured (South Africa)"/>
  </r>
  <r>
    <s v="5530253"/>
    <x v="810"/>
    <x v="0"/>
    <x v="15"/>
    <s v="South Africa"/>
    <s v="FNB"/>
    <s v="FNB nav Head Office (Ashley Modisane)"/>
    <s v="39400009035 nav Business Technology"/>
    <s v="Full Time Employee"/>
    <s v="Technology"/>
    <s v="Systems Analyst"/>
    <s v="3 year(s), 6 month(s), 2 day(s)"/>
    <s v="20 - 29"/>
    <s v="Male"/>
    <s v="White (South Africa)"/>
  </r>
  <r>
    <s v="5530407"/>
    <x v="811"/>
    <x v="0"/>
    <x v="7"/>
    <s v="South Africa"/>
    <s v="RMB"/>
    <s v="RMBSA TTS Operations Portfolio Delivery Enablement (Sharlene Dayaram)"/>
    <s v="77800000PDC RMB TTS Operations PDE CTB"/>
    <s v="Full Time Employee"/>
    <s v="Process, Operations and Administration"/>
    <s v="Project Manager"/>
    <s v="3 year(s), 6 month(s), 2 day(s)"/>
    <s v="40 - 49"/>
    <s v="Male"/>
    <s v="Indian (South Africa)"/>
  </r>
  <r>
    <s v="5546745"/>
    <x v="812"/>
    <x v="0"/>
    <x v="0"/>
    <s v="South Africa"/>
    <s v="FNB"/>
    <s v="FNB Retail CDAO (Kgomotso Sebakwane)"/>
    <s v="5910701900 FNB Retail CDAO"/>
    <s v="Full Time Employee"/>
    <s v="Data and Analytics"/>
    <s v="Data Scientist"/>
    <s v="3 year(s), 6 month(s), 2 day(s)"/>
    <s v="30 - 39"/>
    <s v="Female"/>
    <s v="Indian (South Africa)"/>
  </r>
  <r>
    <s v="5546885"/>
    <x v="813"/>
    <x v="0"/>
    <x v="1"/>
    <s v="South Africa"/>
    <s v="FNB"/>
    <s v="FNB Commercial TxP (Phillip Mthimunye)"/>
    <s v="39800003339 FNB Commercial TxP Finance"/>
    <s v="Full Time Employee"/>
    <s v="Finance"/>
    <s v="Financial Manager"/>
    <s v="1 year(s), 11 month(s), 29 day(s)"/>
    <s v="30 - 39"/>
    <s v="Male"/>
    <s v="African (South Africa)"/>
  </r>
  <r>
    <s v="5561922"/>
    <x v="814"/>
    <x v="0"/>
    <x v="0"/>
    <s v="South Africa"/>
    <s v="FNB"/>
    <s v="FNB Commercial Merchant Services (Ashley Jacobs)"/>
    <s v="22800008224 FNB Commercial Merchant Services Projects"/>
    <s v="Full Time Employee"/>
    <s v="Technology"/>
    <s v="User Experience Designer"/>
    <s v="3 year(s), 9 month(s), 0 day(s)"/>
    <s v="30 - 39"/>
    <s v="Male"/>
    <s v="African (South Africa)"/>
  </r>
  <r>
    <s v="5574404"/>
    <x v="815"/>
    <x v="0"/>
    <x v="20"/>
    <s v="South Africa"/>
    <s v="WesBank"/>
    <s v="WB FML Product House (Goodman Nkosi)"/>
    <s v="30100006775 WB FML Admin Operations"/>
    <s v="Full Time Employee"/>
    <s v="Process, Operations and Administration"/>
    <s v="Administrator"/>
    <s v="3 year(s), 3 month(s), 1 day(s)"/>
    <s v="30 - 39"/>
    <s v="Female"/>
    <s v="African (South Africa)"/>
  </r>
  <r>
    <s v="5581613"/>
    <x v="816"/>
    <x v="0"/>
    <x v="0"/>
    <s v="South Africa"/>
    <s v="FNB"/>
    <s v="FNB Private Banking and Advisory (Tshepiso Martin)"/>
    <s v="34100008332 PB&amp;A Cape Peninsula Affluent"/>
    <s v="OBR With Fixed Pay"/>
    <s v="Sales and Client Services"/>
    <s v="Private Clients Advisor"/>
    <s v="3 year(s), 3 month(s), 2 day(s)"/>
    <s v="30 - 39"/>
    <s v="Male"/>
    <s v="Coloured (South Africa)"/>
  </r>
  <r>
    <s v="5585023"/>
    <x v="817"/>
    <x v="0"/>
    <x v="4"/>
    <s v="South Africa"/>
    <s v="WesBank"/>
    <s v="WB FML Product House (Hitekani Shivambu)"/>
    <s v="30100005239 WB FML Finance"/>
    <s v="Full Time Employee"/>
    <s v="Data and Analytics"/>
    <s v="Data Analyst"/>
    <s v="3 year(s), 3 month(s), 10 day(s)"/>
    <s v="20 - 29"/>
    <s v="Male"/>
    <s v="African (South Africa)"/>
  </r>
  <r>
    <s v="5590949"/>
    <x v="818"/>
    <x v="0"/>
    <x v="1"/>
    <s v="South Africa"/>
    <s v="RMB"/>
    <s v="FR Ashburton (Mduduzi Ndlovu)"/>
    <s v="77400000OHO Ashburton Operations Management Team"/>
    <s v="Full Time Employee"/>
    <s v="Process, Operations and Administration"/>
    <s v="Chief Operating Officer"/>
    <s v="3 year(s), 3 month(s), 2 day(s)"/>
    <s v="40 - 49"/>
    <s v="Male"/>
    <s v="African (South Africa)"/>
  </r>
  <r>
    <s v="5597900"/>
    <x v="819"/>
    <x v="0"/>
    <x v="27"/>
    <s v="South Africa"/>
    <s v="FNB"/>
    <s v="FNB Core Banking Platform (Johan Van Rooyen)"/>
    <s v="59600005979 FNB Personal and Private IT Collections IT"/>
    <s v="Full Time Employee"/>
    <s v="Technology"/>
    <s v="Systems Analyst"/>
    <s v="3 year(s), 0 month(s), 25 day(s)"/>
    <s v="30 - 39"/>
    <s v="Male"/>
    <s v="African (South Africa)"/>
  </r>
  <r>
    <s v="5603935"/>
    <x v="820"/>
    <x v="0"/>
    <x v="0"/>
    <s v="South Africa"/>
    <s v="FNB"/>
    <s v="FNB Loans (Joshua Maduna)"/>
    <s v="79100009082 FNB Consumer Loans Support Credit"/>
    <s v="Full Time Employee"/>
    <s v="Data and Analytics"/>
    <s v="Data Scientist"/>
    <s v="3 year(s), 0 month(s), 18 day(s)"/>
    <s v="20 - 29"/>
    <s v="Male"/>
    <s v="White (South Africa)"/>
  </r>
  <r>
    <s v="5604389"/>
    <x v="821"/>
    <x v="0"/>
    <x v="8"/>
    <s v="South Africa"/>
    <s v="FNB"/>
    <s v="FNB Customer and Sales Interactions (Christiaan Paulsen)"/>
    <s v="21200001751 Home Finance Credit Strategic Credit and Pricing"/>
    <s v="Full Time Employee"/>
    <s v="Data and Analytics"/>
    <s v="Data Scientist"/>
    <s v="3 year(s), 0 month(s), 18 day(s)"/>
    <s v="20 - 29"/>
    <s v="Male"/>
    <s v="African (South Africa)"/>
  </r>
  <r>
    <s v="5610486"/>
    <x v="822"/>
    <x v="0"/>
    <x v="0"/>
    <s v="South Africa"/>
    <s v="FNB"/>
    <s v="FNB Core Banking Platform (Rowaan Chetty)"/>
    <s v="79000007694 FNB Enablement OCIO Quality Assurance Testing"/>
    <s v="Full Time Employee"/>
    <s v="Technology"/>
    <s v="Technical Test Analyst"/>
    <s v="3 year(s), 1 month(s), 0 day(s)"/>
    <s v="20 - 29"/>
    <s v="Male"/>
    <s v="African (South Africa)"/>
  </r>
  <r>
    <s v="5612217"/>
    <x v="823"/>
    <x v="0"/>
    <x v="15"/>
    <s v="South Africa"/>
    <s v="FNB"/>
    <s v="FNB eBucks (Meshaan Ramgadhu (Inherited))"/>
    <s v="25600005667 FNB eBucks Technology"/>
    <s v="Full Time Employee"/>
    <s v="Technology"/>
    <s v="Developer"/>
    <s v="3 year(s), 1 month(s), 22 day(s)"/>
    <s v="50 - 59"/>
    <s v="Female"/>
    <s v="White (South Africa)"/>
  </r>
  <r>
    <s v="5619289"/>
    <x v="824"/>
    <x v="0"/>
    <x v="33"/>
    <s v="South Africa"/>
    <s v="FNB"/>
    <s v="CDO Kernel Customer (Mpho Mmakola)"/>
    <s v="79000005422 CDO Kernel OCEP"/>
    <s v="Full Time Employee"/>
    <s v="Technology"/>
    <s v="Developer"/>
    <s v="2 year(s), 11 month(s), 2 day(s)"/>
    <s v="20 - 29"/>
    <s v="Male"/>
    <s v="African (South Africa)"/>
  </r>
  <r>
    <s v="5645840"/>
    <x v="825"/>
    <x v="0"/>
    <x v="23"/>
    <s v="South Africa"/>
    <s v="FNB"/>
    <s v="CDO Payments Corporate and Acquiring (Isabel Abelho)"/>
    <s v="79000006202 CDO Payments Settlement and Swift"/>
    <s v="Full Time Employee"/>
    <s v="Technology"/>
    <s v="Java Developer"/>
    <s v="2 year(s), 9 month(s), 2 day(s)"/>
    <s v="30 - 39"/>
    <s v="Male"/>
    <s v="African (South Africa)"/>
  </r>
  <r>
    <s v="5685974"/>
    <x v="826"/>
    <x v="0"/>
    <x v="1"/>
    <s v="South Africa"/>
    <s v="FNB"/>
    <s v="FNB Chief Marketing Office (Faye Mfikwe)"/>
    <s v="85500008551 FNB Retail Exco"/>
    <s v="Full Time Employee"/>
    <s v="Marketing and Communication"/>
    <s v="Retail Marketing Head"/>
    <s v="2 year(s), 4 month(s), 16 day(s)"/>
    <s v="40 - 49"/>
    <s v="Female"/>
    <s v="Indian (South Africa)"/>
  </r>
  <r>
    <s v="7405006"/>
    <x v="827"/>
    <x v="0"/>
    <x v="0"/>
    <s v="South Africa"/>
    <s v="FNB"/>
    <s v="FNB Human Capital Support (Zoraydah Shedrick)"/>
    <s v="47100001915 FNB HR Support"/>
    <s v="Full Time Employee"/>
    <s v="Sales and Client Services"/>
    <s v="Employee Value Proposition Head"/>
    <s v="15 year(s), 0 month(s), 2 day(s)"/>
    <s v="30 - 39"/>
    <s v="Female"/>
    <s v="White (South Africa)"/>
  </r>
  <r>
    <s v="7500262"/>
    <x v="828"/>
    <x v="0"/>
    <x v="0"/>
    <s v="South Africa"/>
    <s v="FNB"/>
    <s v="FNB Points of Presence (Bernice O Reilly)"/>
    <s v="7710669900 FNB POP Branch Finance"/>
    <s v="Full Time Employee"/>
    <s v="Finance"/>
    <s v="Regional Financial Manager"/>
    <s v="17 year(s), 2 month(s), 2 day(s)"/>
    <s v="40 - 49"/>
    <s v="Female"/>
    <s v="African (South Africa)"/>
  </r>
  <r>
    <s v="7500696"/>
    <x v="829"/>
    <x v="0"/>
    <x v="0"/>
    <s v="South Africa"/>
    <s v="FNB"/>
    <s v="FNB HSL (Terence Mahadeo)"/>
    <s v="21200000808 HSL Sales Leads"/>
    <s v="Full Time Employee"/>
    <s v="Sales and Client Services"/>
    <s v="Business Development Manager"/>
    <s v="18 year(s), 1 month(s), 2 day(s)"/>
    <s v="40 - 49"/>
    <s v="Female"/>
    <s v="African (South Africa)"/>
  </r>
  <r>
    <s v="7526059"/>
    <x v="830"/>
    <x v="0"/>
    <x v="0"/>
    <s v="South Africa"/>
    <s v="FNB"/>
    <s v="FNB Private Banking and Advisory (Renel Francis)"/>
    <s v="34100007679 PB&amp;A Durban Coastal Wealth"/>
    <s v="OBR With Fixed Pay"/>
    <s v="Sales and Client Services"/>
    <s v="Banking Advisor Wealth"/>
    <s v="18 year(s), 0 month(s), 2 day(s)"/>
    <s v="40 - 49"/>
    <s v="Female"/>
    <s v="African (South Africa)"/>
  </r>
  <r>
    <s v="7541015"/>
    <x v="831"/>
    <x v="0"/>
    <x v="0"/>
    <s v="South Africa"/>
    <s v="FNB"/>
    <s v="FNB HSL (Shameek Harcharan)"/>
    <s v="21200004048 HSL Strategic Pricing"/>
    <s v="Full Time Employee"/>
    <s v="Technology"/>
    <s v="Test Analyst"/>
    <s v="18 year(s), 2 month(s), 2 day(s)"/>
    <s v="40 - 49"/>
    <s v="Male"/>
    <s v="African (South Africa)"/>
  </r>
  <r>
    <s v="7547463"/>
    <x v="832"/>
    <x v="0"/>
    <x v="0"/>
    <s v="South Africa"/>
    <s v="FNB"/>
    <s v="FNB Points of Presence (Reineth Mpondwane)"/>
    <s v="7710248400 FNB POP Branch Delivery Centurion Mall"/>
    <s v="Full Time Employee"/>
    <s v="Sales and Client Services"/>
    <s v="Branch Delivery Sales and Service Team Leader"/>
    <s v="17 year(s), 8 month(s), 8 day(s)"/>
    <s v="40 - 49"/>
    <s v="Male"/>
    <s v="African (South Africa)"/>
  </r>
  <r>
    <s v="7552343"/>
    <x v="833"/>
    <x v="0"/>
    <x v="9"/>
    <s v="South Africa"/>
    <s v="FNB"/>
    <s v="FNB Commercial Cash Investments (Sifiso Nkosi)"/>
    <s v="65100004404 FNB Premium Cash Investments Development"/>
    <s v="Full Time Employee"/>
    <s v="Sales and Client Services"/>
    <s v="Growth Specialist"/>
    <s v="12 year(s), 11 month(s), 2 day(s)"/>
    <s v="30 - 39"/>
    <s v="Female"/>
    <s v="Coloured (South Africa)"/>
  </r>
  <r>
    <s v="7552793"/>
    <x v="834"/>
    <x v="0"/>
    <x v="0"/>
    <s v="South Africa"/>
    <s v="FNB"/>
    <s v="CDO Infrastructure and Security Services (Ntswaki Lecage)"/>
    <s v="20700005266 CDO Infrastructure and Security Services Command Centre"/>
    <s v="Full Time Employee"/>
    <s v="Technology"/>
    <s v="Enterprise Systems Manager"/>
    <s v="4 year(s), 8 month(s), 2 day(s)"/>
    <s v="30 - 39"/>
    <s v="Female"/>
    <s v="African (South Africa)"/>
  </r>
  <r>
    <s v="7577524"/>
    <x v="835"/>
    <x v="0"/>
    <x v="1"/>
    <s v="South Africa"/>
    <s v="FNB"/>
    <s v="FNB Private Banking and Advisory (Louise Lombard)"/>
    <s v="34100005224 PB&amp;A Bedfordview Affluent"/>
    <s v="Full Time Employee"/>
    <s v="Sales and Client Services"/>
    <s v="Channel Management Head"/>
    <s v="17 year(s), 5 month(s), 2 day(s)"/>
    <s v="30 - 39"/>
    <s v="Male"/>
    <s v="Indian (South Africa)"/>
  </r>
  <r>
    <s v="8020797"/>
    <x v="836"/>
    <x v="0"/>
    <x v="0"/>
    <s v="South Africa"/>
    <s v="FirstRand Corporate Centre"/>
    <s v="FRCC RRM FR Group Compliance (Rozanne Gany)"/>
    <s v="20200007959 FRCC RRM FR Group Compliance"/>
    <s v="Full Time Employee"/>
    <s v="Legal, Risk and Compliance"/>
    <s v="Compliance Manager"/>
    <s v="6 year(s), 5 month(s), 29 day(s)"/>
    <s v="50 - 59"/>
    <s v="Female"/>
    <s v="Indian (South Africa)"/>
  </r>
  <r>
    <s v="8870688"/>
    <x v="837"/>
    <x v="0"/>
    <x v="34"/>
    <s v="South Africa"/>
    <s v="FNB"/>
    <s v="FR Life Assurance (Simon Bonarius)"/>
    <s v="61500010754 FR Life Growth Portfolio"/>
    <s v="Full Time Employee"/>
    <s v="Data and Analytics"/>
    <s v="Data Scientist"/>
    <s v="2 year(s), 0 month(s), 12 day(s)"/>
    <s v="20 - 29"/>
    <s v="Female"/>
    <s v="African (South Africa)"/>
  </r>
  <r>
    <s v="8870709"/>
    <x v="838"/>
    <x v="0"/>
    <x v="34"/>
    <s v="South Africa"/>
    <s v="FNB"/>
    <s v="CDO Kernel iNterfaceX (Denisha Rambaran)"/>
    <s v="21800004117 CDO Kernel iNterfaceX Data Science Engineering"/>
    <s v="Full Time Employee"/>
    <s v="Data and Analytics"/>
    <s v="Data Engineer"/>
    <s v="2 year(s), 0 month(s), 12 day(s)"/>
    <s v="20 - 29"/>
    <s v="Male"/>
    <s v="African (South Africa)"/>
  </r>
  <r>
    <s v="8870735"/>
    <x v="839"/>
    <x v="0"/>
    <x v="34"/>
    <s v="South Africa"/>
    <s v="FNB"/>
    <s v="FNB Commercial Analytics Insights Data (Ole Moeng)"/>
    <s v="34300003334 FNB Commercial Analytics Insights and Research"/>
    <s v="Full Time Employee"/>
    <s v="Data and Analytics"/>
    <s v="Data Scientist"/>
    <s v="2 year(s), 0 month(s), 12 day(s)"/>
    <s v="20 - 29"/>
    <s v="Male"/>
    <s v="Indian (South Africa)"/>
  </r>
  <r>
    <s v="8870766"/>
    <x v="840"/>
    <x v="0"/>
    <x v="27"/>
    <s v="South Africa"/>
    <s v="WesBank"/>
    <s v="WB Motor Risk Management (Mukhodiwa Nwashe)"/>
    <s v="30101040000 WB Post Origination"/>
    <s v="Full Time Employee"/>
    <s v="Data and Analytics"/>
    <s v="Data Scientist"/>
    <s v="2 year(s), 0 month(s), 12 day(s)"/>
    <s v="20 - 29"/>
    <s v="Female"/>
    <s v="Indian (South Africa)"/>
  </r>
  <r>
    <s v="8870794"/>
    <x v="841"/>
    <x v="0"/>
    <x v="34"/>
    <s v="South Africa"/>
    <s v="FNB"/>
    <s v="DirectAxis (Siphelo Malinde)"/>
    <s v="99700009159 FNB DA Operations Executives"/>
    <s v="Full Time Employee"/>
    <s v="Technology"/>
    <s v="Functional Configuration Consultant"/>
    <s v="2 year(s), 0 month(s), 12 day(s)"/>
    <s v="20 - 29"/>
    <s v="Male"/>
    <s v="African (South Africa)"/>
  </r>
  <r>
    <s v="8870818"/>
    <x v="842"/>
    <x v="0"/>
    <x v="34"/>
    <s v="South Africa"/>
    <s v="WesBank"/>
    <s v="WB Motor Risk Management (Thato Mogapi)"/>
    <s v="30101040000 WB Post Origination"/>
    <s v="Full Time Employee"/>
    <s v="Data and Analytics"/>
    <s v="Data Scientist"/>
    <s v="2 year(s), 0 month(s), 12 day(s)"/>
    <s v="20 - 29"/>
    <s v="Male"/>
    <s v="African (South Africa)"/>
  </r>
  <r>
    <s v="8870813"/>
    <x v="843"/>
    <x v="0"/>
    <x v="34"/>
    <s v="South Africa"/>
    <s v="FNB"/>
    <s v="FNB Private Core Banking (Diahann Neves)"/>
    <s v="41200007812 FNB Private Core Banking Transact Account and Facility"/>
    <s v="Full Time Employee"/>
    <s v="Sales and Client Services"/>
    <s v="Customer Experience Specialist"/>
    <s v="2 year(s), 0 month(s), 12 day(s)"/>
    <s v="20 - 29"/>
    <s v="Female"/>
    <s v="African (South Africa)"/>
  </r>
  <r>
    <s v="8870816"/>
    <x v="844"/>
    <x v="0"/>
    <x v="25"/>
    <s v="South Africa"/>
    <s v="FNB"/>
    <s v="FNB Customer and Sales Interactions (Lizelle Van Der Walt)"/>
    <s v="99100009981 FNB Customer and Sales Interactions Enablement"/>
    <s v="Full Time Employee"/>
    <s v="Data and Analytics"/>
    <s v="Business Intelligence Analyst"/>
    <s v="2 year(s), 0 month(s), 12 day(s)"/>
    <s v="20 - 29"/>
    <s v="Female"/>
    <s v="African (South Africa)"/>
  </r>
  <r>
    <s v="8870827"/>
    <x v="845"/>
    <x v="0"/>
    <x v="34"/>
    <s v="South Africa"/>
    <s v="FNB"/>
    <s v="FNB Central Finance (Wesley Pretorius)"/>
    <s v="39400004965 FNB Finance Analytics"/>
    <s v="Full Time Employee"/>
    <s v="Data and Analytics"/>
    <s v="Data Scientist"/>
    <s v="2 year(s), 0 month(s), 12 day(s)"/>
    <s v="20 - 29"/>
    <s v="Female"/>
    <s v="African (South Africa)"/>
  </r>
  <r>
    <s v="8870860"/>
    <x v="846"/>
    <x v="0"/>
    <x v="34"/>
    <s v="South Africa"/>
    <s v="FNB"/>
    <s v="FNB Commercial Sales Gauteng (Zakhele Maseko)"/>
    <s v="34200006248 FNB Commercial Sales Gauteng Klipriver 60 to 150M"/>
    <s v="Full Time Employee"/>
    <s v="Sales and Client Services"/>
    <s v="Client Portfolio Analyst"/>
    <s v="2 year(s), 0 month(s), 12 day(s)"/>
    <s v="20 - 29"/>
    <s v="Male"/>
    <s v="African (South Africa)"/>
  </r>
  <r>
    <s v="5666961"/>
    <x v="847"/>
    <x v="0"/>
    <x v="18"/>
    <s v="South Africa"/>
    <s v="FNB"/>
    <s v="CDO Kernel iNterfaceX (Justin Rademan)"/>
    <s v="21800004034 CDO Kernel iNterfaceX Web Services"/>
    <s v="Full Time Employee"/>
    <s v="Technology"/>
    <s v="Web Designer"/>
    <s v="2 year(s), 0 month(s), 12 day(s)"/>
    <s v="20 - 29"/>
    <s v="Male"/>
    <s v="Indian (South Africa)"/>
  </r>
  <r>
    <s v="8870861"/>
    <x v="848"/>
    <x v="0"/>
    <x v="34"/>
    <s v="South Africa"/>
    <s v="FNB"/>
    <s v="FNB Commercial Sales Gauteng North (Alex Modise)"/>
    <s v="34200006343 FNB Commercial Sales Gauteng Midrand 60 to 150M"/>
    <s v="Full Time Employee"/>
    <s v="Sales and Client Services"/>
    <s v="Client Portfolio Analyst"/>
    <s v="2 year(s), 0 month(s), 12 day(s)"/>
    <s v="30 - 39"/>
    <s v="Male"/>
    <s v="Indian (South Africa)"/>
  </r>
  <r>
    <s v="8870913"/>
    <x v="849"/>
    <x v="0"/>
    <x v="34"/>
    <s v="Namibia"/>
    <s v="FNB"/>
    <s v="FNB Namibia Limited (Hileni Nehale)"/>
    <s v="302000006368 FNB Namibia Digital Transformation and Data Office"/>
    <s v="Full Time Employee"/>
    <s v="Data and Analytics"/>
    <s v="Business Intelligence Analyst"/>
    <s v="2 year(s), 1 month(s), 2 day(s)"/>
    <s v="30 - 39"/>
    <s v="Female"/>
    <s v="Racially disadvantaged (Namibia)"/>
  </r>
  <r>
    <s v="8870928"/>
    <x v="850"/>
    <x v="0"/>
    <x v="34"/>
    <s v="Namibia"/>
    <s v="FNB"/>
    <s v="FNB Namibia Limited (Vinothan Titus)"/>
    <s v="302000001403 FNB Namibia Credit Support"/>
    <s v="Full Time Employee"/>
    <s v="Technology"/>
    <s v="Systems Analyst"/>
    <s v="2 year(s), 1 month(s), 1 day(s)"/>
    <s v="30 - 39"/>
    <s v="Female"/>
    <s v="Racially disadvantaged (Namibia)"/>
  </r>
  <r>
    <s v="8871052"/>
    <x v="851"/>
    <x v="0"/>
    <x v="26"/>
    <s v="South Africa"/>
    <s v="RMB"/>
    <s v="RMBSA LRC Credit Risk Management (Thabani Zungu)"/>
    <s v="77800000CRD RMBSA Credit Risk South Africa Team"/>
    <s v="Full Time Employee"/>
    <s v="Credit"/>
    <s v="Credit Executive"/>
    <s v="2 year(s), 0 month(s), 2 day(s)"/>
    <s v="40 - 49"/>
    <s v="Male"/>
    <s v="Indian (South Africa)"/>
  </r>
  <r>
    <s v="8871829"/>
    <x v="852"/>
    <x v="0"/>
    <x v="34"/>
    <s v="South Africa"/>
    <s v="FNB"/>
    <s v="FNB HSL (Shawnee Williams)"/>
    <s v="21200006825 HSL Registrations and On Board Cluster 3"/>
    <s v="Full Time Employee"/>
    <s v="Data and Analytics"/>
    <s v="Data Scientist"/>
    <s v="1 year(s), 11 month(s), 2 day(s)"/>
    <s v="20 - 29"/>
    <s v="Male"/>
    <s v="African (South Africa)"/>
  </r>
  <r>
    <s v="8871842"/>
    <x v="853"/>
    <x v="0"/>
    <x v="34"/>
    <s v="South Africa"/>
    <s v="FNB"/>
    <s v="FNB Chief Risk Office Interactions and Risk Analytics (Tumisho Mabelane)"/>
    <s v="39400003184 FNB Chief Risk Office Interactions and Risk Analytics"/>
    <s v="Full Time Employee"/>
    <s v="Data and Analytics"/>
    <s v="Data Scientist"/>
    <s v="1 year(s), 11 month(s), 2 day(s)"/>
    <s v="20 - 29"/>
    <s v="Male"/>
    <s v="African (South Africa)"/>
  </r>
  <r>
    <s v="8872041"/>
    <x v="854"/>
    <x v="0"/>
    <x v="34"/>
    <s v="South Africa"/>
    <s v="FNB"/>
    <s v="CDO Kernel iNterfaceX (Pavan Konatham)"/>
    <s v="21800009263 CDO Kernel iNterfaceX Tech Online Banking QA"/>
    <s v="Full Time Employee"/>
    <s v="Technology"/>
    <s v="Test Analyst"/>
    <s v="1 year(s), 11 month(s), 2 day(s)"/>
    <s v="20 - 29"/>
    <s v="Male"/>
    <s v="African (South Africa)"/>
  </r>
  <r>
    <s v="8872336"/>
    <x v="855"/>
    <x v="0"/>
    <x v="1"/>
    <s v="Eswatini"/>
    <s v="FNB"/>
    <s v="FNB Eswatini FCC (Thokozani Dlamini)"/>
    <s v="5020466400 FNB Eswatini FCC"/>
    <s v="Full Time Employee"/>
    <s v="Technology"/>
    <s v="Chief Information Officer"/>
    <s v="1 year(s), 10 month(s), 21 day(s)"/>
    <s v="40 - 49"/>
    <s v="Male"/>
    <s v="N/A (Eswatini)"/>
  </r>
  <r>
    <s v="8872420"/>
    <x v="856"/>
    <x v="0"/>
    <x v="13"/>
    <s v="South Africa"/>
    <s v="FNB"/>
    <s v="FNB Fiduciary (Leandri Spies)"/>
    <s v="30300008744 FNB WI Fiduciary Estates CPT"/>
    <s v="Full Time Employee"/>
    <s v="Process, Operations and Administration"/>
    <s v="Estates Manager"/>
    <s v="1 year(s), 10 month(s), 2 day(s)"/>
    <s v="30 - 39"/>
    <s v="Female"/>
    <s v="Indian (South Africa)"/>
  </r>
  <r>
    <s v="8873444"/>
    <x v="857"/>
    <x v="0"/>
    <x v="7"/>
    <s v="South Africa"/>
    <s v="RMB"/>
    <s v="FR Hyphen Technology (Morne Moorcroft)"/>
    <s v="23300002344 FR Hyphen Information Technology"/>
    <s v="Full Time Employee"/>
    <s v="Technology"/>
    <s v="Scrum Master"/>
    <s v="1 year(s), 7 month(s), 2 day(s)"/>
    <s v="30 - 39"/>
    <s v="Female"/>
    <s v="Indian (South Africa)"/>
  </r>
  <r>
    <s v="8874853"/>
    <x v="858"/>
    <x v="0"/>
    <x v="34"/>
    <s v="South Africa"/>
    <s v="FNB"/>
    <s v="FNB ConnectMe (Desree Riba)"/>
    <s v="47100001963 CoE Graduate Programme"/>
    <s v="Full Time Employee"/>
    <s v="Process, Operations and Administration"/>
    <s v="Graduate Programme"/>
    <s v="1 year(s), 6 month(s), 26 day(s)"/>
    <s v="20 - 29"/>
    <s v="Male"/>
    <s v="African (South Africa)"/>
  </r>
  <r>
    <s v="3796248"/>
    <x v="859"/>
    <x v="0"/>
    <x v="9"/>
    <s v="South Africa"/>
    <s v="RMB"/>
    <s v="RMBSA TTS Technology (Mias Du Plessis)"/>
    <s v="77800000RAQ RMBSA TTS Technology RAS Quartz"/>
    <s v="Full Time Employee"/>
    <s v="Technology"/>
    <s v="IT Solutions Architect"/>
    <s v="1 year(s), 6 month(s), 2 day(s)"/>
    <s v="30 - 39"/>
    <s v="Female"/>
    <s v="African (South Africa)"/>
  </r>
  <r>
    <s v="8875371"/>
    <x v="860"/>
    <x v="0"/>
    <x v="25"/>
    <s v="South Africa"/>
    <s v="FNB"/>
    <s v="FNB Connect and Service Provider (Rupert Fick)"/>
    <s v="83100004062 FNB Connect Credit"/>
    <s v="Full Time Employee"/>
    <s v="Data and Analytics"/>
    <s v="Data Scientist"/>
    <s v="1 year(s), 6 month(s), 29 day(s)"/>
    <s v="20 - 29"/>
    <s v="Male"/>
    <s v="African (South Africa)"/>
  </r>
  <r>
    <s v="8875725"/>
    <x v="861"/>
    <x v="0"/>
    <x v="4"/>
    <s v="South Africa"/>
    <s v="FNB"/>
    <s v="FNB eBucks (Shayne Govender)"/>
    <s v="25600008917 FNB eBucks Financial Modelling"/>
    <s v="Full Time Employee"/>
    <s v="Data and Analytics"/>
    <s v="Data Scientist"/>
    <s v="1 year(s), 0 month(s), 14 day(s)"/>
    <s v="20 - 29"/>
    <s v="Male"/>
    <s v="Indian (South Africa)"/>
  </r>
  <r>
    <s v="5667151"/>
    <x v="862"/>
    <x v="0"/>
    <x v="11"/>
    <s v="South Africa"/>
    <s v="FNB"/>
    <s v="FNB eBucks (Danielle Van Wyk)"/>
    <s v="25600008917 FNB eBucks Financial Modelling"/>
    <s v="Full Time Employee"/>
    <s v="Data and Analytics"/>
    <s v="Data Scientist"/>
    <s v="1 year(s), 0 month(s), 14 day(s)"/>
    <s v="20 - 29"/>
    <s v="Female"/>
    <s v="White (South Africa)"/>
  </r>
  <r>
    <s v="8876053"/>
    <x v="863"/>
    <x v="0"/>
    <x v="3"/>
    <s v="South Africa"/>
    <s v="FNB"/>
    <s v="FNB Points of Presence (Frank Dhlamini)"/>
    <s v="69000006171 FNB Retail Enterprise Project Management Office"/>
    <s v="Full Time Employee"/>
    <s v="Process, Operations and Administration"/>
    <s v="Project Manager"/>
    <s v="1 year(s), 4 month(s), 2 day(s)"/>
    <s v="30 - 39"/>
    <s v="Female"/>
    <s v="African (South Africa)"/>
  </r>
  <r>
    <s v="8876185"/>
    <x v="864"/>
    <x v="0"/>
    <x v="11"/>
    <s v="South Africa"/>
    <s v="FNB"/>
    <s v="FNB Credit Card (Mark Liao)"/>
    <s v="20300008486 FNB Credit Card Credit"/>
    <s v="Full Time Employee"/>
    <s v="Data and Analytics"/>
    <s v="Data Scientist"/>
    <s v="1 year(s), 0 month(s), 14 day(s)"/>
    <s v="20 - 29"/>
    <s v="Male"/>
    <s v="White (South Africa)"/>
  </r>
  <r>
    <s v="8876184"/>
    <x v="865"/>
    <x v="0"/>
    <x v="22"/>
    <s v="South Africa"/>
    <s v="FNB"/>
    <s v="CDO Kernel iNterfaceX (Tendani Munyai)"/>
    <s v="21800003954 CDO Kernel iNterfaceX Assisted and Sales Dev sales"/>
    <s v="Full Time Employee"/>
    <s v="Process, Operations and Administration"/>
    <s v="Graduate Programme"/>
    <s v="1 year(s), 0 month(s), 14 day(s)"/>
    <s v="20 - 29"/>
    <s v="Female"/>
    <s v="African (South Africa)"/>
  </r>
  <r>
    <s v="8876417"/>
    <x v="866"/>
    <x v="0"/>
    <x v="34"/>
    <s v="South Africa"/>
    <s v="FNB"/>
    <s v="FNB Dynamic Decisioning (Rene Meintjes)"/>
    <s v="23900003941 FNB Dynamic Decisioning Cortex"/>
    <s v="Full Time Employee"/>
    <s v="Technology"/>
    <s v="Developer"/>
    <s v="1 year(s), 0 month(s), 14 day(s)"/>
    <s v="20 - 29"/>
    <s v="Male"/>
    <s v="Indian (South Africa)"/>
  </r>
  <r>
    <s v="8876444"/>
    <x v="867"/>
    <x v="0"/>
    <x v="9"/>
    <s v="South Africa"/>
    <s v="FNB"/>
    <s v="FNB Private Credit Card (Zandile Madondo)"/>
    <s v="20300008486 FNB Credit Card Credit"/>
    <s v="Full Time Employee"/>
    <s v="Data and Analytics"/>
    <s v="Data Scientist"/>
    <s v="1 year(s), 0 month(s), 14 day(s)"/>
    <s v="20 - 29"/>
    <s v="Female"/>
    <s v="Indian (South Africa)"/>
  </r>
  <r>
    <s v="8876703"/>
    <x v="868"/>
    <x v="0"/>
    <x v="34"/>
    <s v="South Africa"/>
    <s v="FNB"/>
    <s v="FNB Credit Card (Mahlako Mabitsi)"/>
    <s v="20300002843 FNB Credit Card Premium Growth"/>
    <s v="Full Time Employee"/>
    <s v="Process, Operations and Administration"/>
    <s v="Graduate Programme"/>
    <s v="1 year(s), 0 month(s), 14 day(s)"/>
    <s v="20 - 29"/>
    <s v="Female"/>
    <s v="African (South Africa)"/>
  </r>
  <r>
    <s v="8876734"/>
    <x v="869"/>
    <x v="0"/>
    <x v="27"/>
    <s v="South Africa"/>
    <s v="FNB"/>
    <s v="FNB Commercial Cash (Andries Vermaak)"/>
    <s v="25200006132 FNB Commercial IT Application Development Cash"/>
    <s v="Full Time Employee"/>
    <s v="Data and Analytics"/>
    <s v="Data Scientist"/>
    <s v="1 year(s), 0 month(s), 14 day(s)"/>
    <s v="20 - 29"/>
    <s v="Male"/>
    <s v="African (South Africa)"/>
  </r>
  <r>
    <s v="8876748"/>
    <x v="870"/>
    <x v="0"/>
    <x v="34"/>
    <s v="South Africa"/>
    <s v="FNB"/>
    <s v="FNB Connect and Service Provider (Stephan Snyman)"/>
    <s v="83100006591 FNB Connnect Technology Channel and Integration"/>
    <s v="Full Time Employee"/>
    <s v="Technology"/>
    <s v="Java Developer"/>
    <s v="1 year(s), 0 month(s), 14 day(s)"/>
    <s v="20 - 29"/>
    <s v="Male"/>
    <s v="African (South Africa)"/>
  </r>
  <r>
    <s v="8876746"/>
    <x v="871"/>
    <x v="0"/>
    <x v="34"/>
    <s v="South Africa"/>
    <s v="FNB"/>
    <s v="CDO Kernel iNterfaceX (Aruna Seerpath)"/>
    <s v="21800005099 CDO Kernel iNterfaceX App Business Analysis"/>
    <s v="Full Time Employee"/>
    <s v="Process, Operations and Administration"/>
    <s v="Business Analyst"/>
    <s v="1 year(s), 0 month(s), 14 day(s)"/>
    <s v="20 - 29"/>
    <s v="Male"/>
    <s v="Indian (South Africa)"/>
  </r>
  <r>
    <s v="8876776"/>
    <x v="872"/>
    <x v="0"/>
    <x v="28"/>
    <s v="South Africa"/>
    <s v="FNB"/>
    <s v="FNB Connect and Service Provider (Marlon Joel)"/>
    <s v="83100002439 FNB Connect BI"/>
    <s v="Full Time Employee"/>
    <s v="Data and Analytics"/>
    <s v="Data Scientist"/>
    <s v="1 year(s), 0 month(s), 14 day(s)"/>
    <s v="20 - 29"/>
    <s v="Male"/>
    <s v="White (South Africa)"/>
  </r>
  <r>
    <s v="8876892"/>
    <x v="873"/>
    <x v="0"/>
    <x v="34"/>
    <s v="South Africa"/>
    <s v="FNB"/>
    <s v="FNB Central Finance (Siyasanga Makiwane)"/>
    <s v="39400004965 FNB Finance Analytics"/>
    <s v="Full Time Employee"/>
    <s v="Data and Analytics"/>
    <s v="Data Scientist"/>
    <s v="1 year(s), 0 month(s), 14 day(s)"/>
    <s v="20 - 29"/>
    <s v="Male"/>
    <s v="African (South Africa)"/>
  </r>
  <r>
    <s v="8876925"/>
    <x v="874"/>
    <x v="0"/>
    <x v="34"/>
    <s v="South Africa"/>
    <s v="FNB"/>
    <s v="CDO Kernel iNterfaceX (Etienne Le Roux)"/>
    <s v="21800004054 CDO Kernel iNterfaceX Cyber Security"/>
    <s v="Full Time Employee"/>
    <s v="Technology"/>
    <s v="IT Security Analyst"/>
    <s v="1 year(s), 0 month(s), 14 day(s)"/>
    <s v="20 - 29"/>
    <s v="Female"/>
    <s v="African (South Africa)"/>
  </r>
  <r>
    <s v="8876931"/>
    <x v="875"/>
    <x v="0"/>
    <x v="34"/>
    <s v="South Africa"/>
    <s v="FNB"/>
    <s v="FNB HC Business Intelligence (Derick Mokonyane)"/>
    <s v="47100001985 FNB HR Executive"/>
    <s v="Full Time Employee"/>
    <s v="Data and Analytics"/>
    <s v="Business Intelligence Analyst"/>
    <s v="1 year(s), 0 month(s), 14 day(s)"/>
    <s v="20 - 29"/>
    <s v="Female"/>
    <s v="African (South Africa)"/>
  </r>
  <r>
    <s v="5469368"/>
    <x v="876"/>
    <x v="0"/>
    <x v="8"/>
    <s v="South Africa"/>
    <s v="FNB"/>
    <s v="FNB Connect and Service Provider (Clinton Cloete)"/>
    <s v="83100004062 FNB Connect Credit"/>
    <s v="Full Time Employee"/>
    <s v="Data and Analytics"/>
    <s v="Data Administrator"/>
    <s v="1 year(s), 0 month(s), 14 day(s)"/>
    <s v="20 - 29"/>
    <s v="Male"/>
    <s v="African (South Africa)"/>
  </r>
  <r>
    <s v="8876968"/>
    <x v="877"/>
    <x v="0"/>
    <x v="34"/>
    <s v="South Africa"/>
    <s v="FNB"/>
    <s v="FNB Customer and Sales Interactions (Darshana Chauhan)"/>
    <s v="99100009137 FNB Customer and Sales Enterprise Interactions"/>
    <s v="Full Time Employee"/>
    <s v="Data and Analytics"/>
    <s v="Data Engineer"/>
    <s v="1 year(s), 0 month(s), 14 day(s)"/>
    <s v="20 - 29"/>
    <s v="Male"/>
    <s v="African (South Africa)"/>
  </r>
  <r>
    <s v="8876985"/>
    <x v="878"/>
    <x v="0"/>
    <x v="34"/>
    <s v="South Africa"/>
    <s v="FNB"/>
    <s v="CDO Kernel iNterfaceX (Aruna Seerpath)"/>
    <s v="21800005099 CDO Kernel iNterfaceX App Business Analysis"/>
    <s v="Full Time Employee"/>
    <s v="Process, Operations and Administration"/>
    <s v="Business Analyst"/>
    <s v="1 year(s), 0 month(s), 14 day(s)"/>
    <s v="20 - 29"/>
    <s v="Male"/>
    <s v="Indian (South Africa)"/>
  </r>
  <r>
    <s v="8877028"/>
    <x v="879"/>
    <x v="0"/>
    <x v="15"/>
    <s v="South Africa"/>
    <s v="FNB"/>
    <s v="FNB Wealth and Investments (Karabo Ditsebe)"/>
    <s v="47100001963 CoE Graduate Programme"/>
    <s v="Full Time Employee"/>
    <s v="Process, Operations and Administration"/>
    <s v="Graduate Programme"/>
    <s v="1 year(s), 0 month(s), 14 day(s)"/>
    <s v="20 - 29"/>
    <s v="Male"/>
    <s v="African (South Africa)"/>
  </r>
  <r>
    <s v="8877102"/>
    <x v="880"/>
    <x v="0"/>
    <x v="20"/>
    <s v="South Africa"/>
    <s v="FNB"/>
    <s v="FNB Central Finance (Mpho Motau)"/>
    <s v="39400004304 FNB Finance Support Legal and Risk"/>
    <s v="Full Time Employee"/>
    <s v="Legal, Risk and Compliance"/>
    <s v="IT Risk Specialist"/>
    <s v="1 year(s), 0 month(s), 14 day(s)"/>
    <s v="20 - 29"/>
    <s v="Female"/>
    <s v="African (South Africa)"/>
  </r>
  <r>
    <s v="8877127"/>
    <x v="881"/>
    <x v="0"/>
    <x v="34"/>
    <s v="South Africa"/>
    <s v="FNB"/>
    <s v="FNB Loans (Kgomotso Sebitlo)"/>
    <s v="79100009082 FNB Consumer Loans Support Credit"/>
    <s v="Full Time Employee"/>
    <s v="Data and Analytics"/>
    <s v="Data Scientist"/>
    <s v="1 year(s), 0 month(s), 14 day(s)"/>
    <s v="20 - 29"/>
    <s v="Male"/>
    <s v="African (South Africa)"/>
  </r>
  <r>
    <s v="8877126"/>
    <x v="882"/>
    <x v="0"/>
    <x v="34"/>
    <s v="South Africa"/>
    <s v="FNB"/>
    <s v="FNB Retail COO (Priven Moodley)"/>
    <s v="69000002201 FNB Retail COO Business Analysis"/>
    <s v="Full Time Employee"/>
    <s v="Process, Operations and Administration"/>
    <s v="Business Analyst"/>
    <s v="1 year(s), 0 month(s), 14 day(s)"/>
    <s v="20 - 29"/>
    <s v="Female"/>
    <s v="African (South Africa)"/>
  </r>
  <r>
    <s v="8877296"/>
    <x v="883"/>
    <x v="0"/>
    <x v="34"/>
    <s v="South Africa"/>
    <s v="FNB"/>
    <s v="FNB Central Finance (Jacques Van Staden)"/>
    <s v="39400004027 FNB CFP Financial Controls"/>
    <s v="Full Time Employee"/>
    <s v="Data and Analytics"/>
    <s v="Data Engineer"/>
    <s v="1 year(s), 0 month(s), 14 day(s)"/>
    <s v="20 - 29"/>
    <s v="Male"/>
    <s v="African (South Africa)"/>
  </r>
  <r>
    <s v="8877419"/>
    <x v="884"/>
    <x v="0"/>
    <x v="34"/>
    <s v="South Africa"/>
    <s v="FNB"/>
    <s v="FNB Loans (Kyle Ferris)"/>
    <s v="79100007564 FNB Consumer Loans Unsecured Pillar"/>
    <s v="Full Time Employee"/>
    <s v="Process, Operations and Administration"/>
    <s v="Solutions Specialist"/>
    <s v="1 year(s), 0 month(s), 14 day(s)"/>
    <s v="20 - 29"/>
    <s v="Male"/>
    <s v="African (South Africa)"/>
  </r>
  <r>
    <s v="8877431"/>
    <x v="885"/>
    <x v="0"/>
    <x v="34"/>
    <s v="South Africa"/>
    <s v="FNB"/>
    <s v="FNB Commercial Credit Scoring (Alfred Friend)"/>
    <s v="34200003338 FNB Commercial Credit Scoring"/>
    <s v="Full Time Employee"/>
    <s v="Process, Operations and Administration"/>
    <s v="Graduate Programme"/>
    <s v="1 year(s), 0 month(s), 14 day(s)"/>
    <s v="20 - 29"/>
    <s v="Male"/>
    <s v="African (South Africa)"/>
  </r>
  <r>
    <s v="8877523"/>
    <x v="886"/>
    <x v="0"/>
    <x v="34"/>
    <s v="South Africa"/>
    <s v="FNB"/>
    <s v="FNB Dynamic Decisioning (Bernard Spies)"/>
    <s v="23900002832 FNB Dynamic Decisioning Contextual Analytics"/>
    <s v="Full Time Employee"/>
    <s v="Data and Analytics"/>
    <s v="Data Scientist"/>
    <s v="1 year(s), 0 month(s), 14 day(s)"/>
    <s v="20 - 29"/>
    <s v="Female"/>
    <s v="African (South Africa)"/>
  </r>
  <r>
    <s v="8877584"/>
    <x v="887"/>
    <x v="0"/>
    <x v="34"/>
    <s v="South Africa"/>
    <s v="FNB"/>
    <s v="CDO Kernel iNterfaceX (Serena Naicker)"/>
    <s v="21800003622 CDO Kernel iNterfaceX Messaging"/>
    <s v="Full Time Employee"/>
    <s v="Process, Operations and Administration"/>
    <s v="Business Analyst"/>
    <s v="1 year(s), 0 month(s), 14 day(s)"/>
    <s v="20 - 29"/>
    <s v="Female"/>
    <s v="African (South Africa)"/>
  </r>
  <r>
    <s v="8877646"/>
    <x v="888"/>
    <x v="0"/>
    <x v="15"/>
    <s v="South Africa"/>
    <s v="FNB"/>
    <s v="CDO Infrastructure and Security Services (Tate Mphahlele)"/>
    <s v="20700005088 CDO Infrastructure and Security Services Business Intelligence"/>
    <s v="Full Time Employee"/>
    <s v="Data and Analytics"/>
    <s v="Business Intelligence Developer"/>
    <s v="1 year(s), 0 month(s), 14 day(s)"/>
    <s v="20 - 29"/>
    <s v="Male"/>
    <s v="African (South Africa)"/>
  </r>
  <r>
    <s v="8877632"/>
    <x v="889"/>
    <x v="0"/>
    <x v="11"/>
    <s v="South Africa"/>
    <s v="FNB"/>
    <s v="CDO Kernel iNterfaceX (Donna-Jeanne Rudman)"/>
    <s v="21800005099 CDO Kernel iNterfaceX App Business Analysis"/>
    <s v="Full Time Employee"/>
    <s v="Process, Operations and Administration"/>
    <s v="Business Analyst"/>
    <s v="1 year(s), 0 month(s), 14 day(s)"/>
    <s v="20 - 29"/>
    <s v="Female"/>
    <s v="African (South Africa)"/>
  </r>
  <r>
    <s v="8877705"/>
    <x v="890"/>
    <x v="0"/>
    <x v="34"/>
    <s v="South Africa"/>
    <s v="FNB"/>
    <s v="FNB Connect and Service Provider (Juanita Gordon)"/>
    <s v="83100003631 FNB Connect SP Product"/>
    <s v="Full Time Employee"/>
    <s v="Product"/>
    <s v="Product Analyst"/>
    <s v="1 year(s), 0 month(s), 14 day(s)"/>
    <s v="20 - 29"/>
    <s v="Male"/>
    <s v="African (South Africa)"/>
  </r>
  <r>
    <s v="8877693"/>
    <x v="891"/>
    <x v="0"/>
    <x v="25"/>
    <s v="South Africa"/>
    <s v="FNB"/>
    <s v="FNB ConnectMe (Desree Riba)"/>
    <s v="47100001963 CoE Graduate Programme"/>
    <s v="Full Time Employee"/>
    <s v="Process, Operations and Administration"/>
    <s v="Graduate Programme"/>
    <s v="1 year(s), 0 month(s), 14 day(s)"/>
    <s v="20 - 29"/>
    <s v="Male"/>
    <s v="African (South Africa)"/>
  </r>
  <r>
    <s v="8877793"/>
    <x v="892"/>
    <x v="0"/>
    <x v="34"/>
    <s v="South Africa"/>
    <s v="FNB"/>
    <s v="FNB Commercial EFT (Gerjo Schreuder)"/>
    <s v="68400003918 FNB Commercial EFT Product House Product"/>
    <s v="Full Time Employee"/>
    <s v="Product"/>
    <s v="Product Specialist"/>
    <s v="1 year(s), 0 month(s), 14 day(s)"/>
    <s v="20 - 29"/>
    <s v="Male"/>
    <s v="Indian (South Africa)"/>
  </r>
  <r>
    <s v="8877829"/>
    <x v="893"/>
    <x v="0"/>
    <x v="31"/>
    <s v="South Africa"/>
    <s v="FNB"/>
    <s v="FR Life Assurance (Kholiswa Mvumvu)"/>
    <s v="61500010304 FR Insure and Invest Distribution"/>
    <s v="Full Time Employee"/>
    <s v="Data and Analytics"/>
    <s v="Data Scientist"/>
    <s v="1 year(s), 0 month(s), 14 day(s)"/>
    <s v="20 - 29"/>
    <s v="Female"/>
    <s v="African (South Africa)"/>
  </r>
  <r>
    <s v="8877848"/>
    <x v="894"/>
    <x v="0"/>
    <x v="34"/>
    <s v="South Africa"/>
    <s v="FNB"/>
    <s v="CDO Infrastructure and Security Services (Tate Mphahlele)"/>
    <s v="20700005088 CDO Infrastructure and Security Services Business Intelligence"/>
    <s v="Full Time Employee"/>
    <s v="Data and Analytics"/>
    <s v="Business Intelligence Developer"/>
    <s v="1 year(s), 0 month(s), 14 day(s)"/>
    <s v="20 - 29"/>
    <s v="Male"/>
    <s v="White (South Africa)"/>
  </r>
  <r>
    <s v="8878931"/>
    <x v="895"/>
    <x v="0"/>
    <x v="2"/>
    <s v="Zambia"/>
    <s v="FNB"/>
    <s v="FNB Zambia Human Capital (Albert Changwe)"/>
    <s v="55300003076 FNB Zambia Human Capital"/>
    <s v="Full Time Employee"/>
    <s v="Data and Analytics"/>
    <s v="Data Analyst"/>
    <s v="0 year(s), 11 month(s), 23 day(s)"/>
    <s v="20 - 29"/>
    <s v="Female"/>
    <s v="N/A (Zambia)"/>
  </r>
  <r>
    <s v="8879012"/>
    <x v="896"/>
    <x v="0"/>
    <x v="34"/>
    <s v="South Africa"/>
    <s v="FNB"/>
    <s v="CDO Kernel iNterfaceX (Matome Maake)"/>
    <s v="21800004117 CDO Kernel iNterfaceX Data Science Engineering"/>
    <s v="Full Time Employee"/>
    <s v="Technology"/>
    <s v="Developer"/>
    <s v="0 year(s), 11 month(s), 2 day(s)"/>
    <s v="20 - 29"/>
    <s v="Male"/>
    <s v="White (South Africa)"/>
  </r>
  <r>
    <s v="8879429"/>
    <x v="897"/>
    <x v="0"/>
    <x v="19"/>
    <s v="South Africa"/>
    <s v="FNB"/>
    <s v="CDO Kernel iNterfaceX (Jani Tappan)"/>
    <s v="21800004117 CDO Kernel iNterfaceX Data Science Engineering"/>
    <s v="Full Time Employee"/>
    <s v="Data and Analytics"/>
    <s v="Data Scientist"/>
    <s v="0 year(s), 10 month(s), 2 day(s)"/>
    <s v="20 - 29"/>
    <s v="Male"/>
    <s v="Indian (South Africa)"/>
  </r>
  <r>
    <s v="3119351"/>
    <x v="898"/>
    <x v="0"/>
    <x v="12"/>
    <s v="South Africa"/>
    <s v="RMB"/>
    <s v="FR Hyphen (Derick Truscott)"/>
    <s v="23300008464 FR Hyphen Product and Operations"/>
    <s v="Full Time Employee"/>
    <s v="Product"/>
    <s v="Product Enablement Head"/>
    <s v="0 year(s), 9 month(s), 27 day(s)"/>
    <s v="40 - 49"/>
    <s v="Female"/>
    <s v="White (South Africa)"/>
  </r>
  <r>
    <s v="8881063"/>
    <x v="899"/>
    <x v="0"/>
    <x v="18"/>
    <s v="South Africa"/>
    <s v="FNB"/>
    <s v="CDO Kernel iNterfaceX (Sabelo Simelane)"/>
    <s v="21800000884 CDO Kernel iNterfaceX Tech Online Banking Dev Billing"/>
    <s v="Full Time Employee"/>
    <s v="Technology"/>
    <s v="Developer"/>
    <s v="0 year(s), 7 month(s), 2 day(s)"/>
    <s v="20 - 29"/>
    <s v="Female"/>
    <s v="African (South Africa)"/>
  </r>
  <r>
    <s v="2281961"/>
    <x v="900"/>
    <x v="0"/>
    <x v="6"/>
    <s v="South Africa"/>
    <s v="FNB"/>
    <s v="Segment Chief Information Officer (Allen Pillay)"/>
    <s v="59600005369 FNB Personal and Private IT Exco"/>
    <s v="Full Time Employee"/>
    <s v="Technology"/>
    <s v="Chief Information Officer"/>
    <s v="0 year(s), 8 month(s), 2 day(s)"/>
    <s v="50 - 59"/>
    <s v="Female"/>
    <s v="Coloured (South Africa)"/>
  </r>
  <r>
    <s v="1935275"/>
    <x v="901"/>
    <x v="0"/>
    <x v="6"/>
    <s v="South Africa"/>
    <s v="FNB"/>
    <s v="FNB R&amp;C Chief Information Office (La-Cell Mouton)"/>
    <s v="79000005142 FNB Enablement OCIO Executive"/>
    <m/>
    <s v="Technology"/>
    <s v="Information Technology Head"/>
    <s v="0 year(s), 11 month(s), 9 day(s)"/>
    <s v="60 - 64"/>
    <s v="Male"/>
    <s v="White (South Afric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135B86B-7A44-4A3E-8AFA-314A68ABC31C}" name="PivotTable2" cacheId="539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L2:M54" firstHeaderRow="1" firstDataRow="1" firstDataCol="1"/>
  <pivotFields count="15">
    <pivotField showAll="0"/>
    <pivotField axis="axisRow" dataField="1" showAll="0">
      <items count="903">
        <item h="1" x="412"/>
        <item x="886"/>
        <item h="1" x="87"/>
        <item h="1" x="370"/>
        <item h="1" x="435"/>
        <item h="1" x="465"/>
        <item h="1" x="715"/>
        <item h="1" x="328"/>
        <item h="1" x="76"/>
        <item h="1" x="675"/>
        <item h="1" x="29"/>
        <item h="1" x="188"/>
        <item h="1" x="739"/>
        <item h="1" x="536"/>
        <item h="1" x="136"/>
        <item h="1" x="721"/>
        <item h="1" x="35"/>
        <item h="1" x="562"/>
        <item h="1" x="784"/>
        <item h="1" x="822"/>
        <item h="1" x="593"/>
        <item x="879"/>
        <item h="1" x="670"/>
        <item h="1" x="385"/>
        <item h="1" x="695"/>
        <item h="1" x="280"/>
        <item h="1" x="679"/>
        <item h="1" x="343"/>
        <item h="1" x="472"/>
        <item h="1" x="376"/>
        <item h="1" x="692"/>
        <item h="1" x="231"/>
        <item h="1" x="157"/>
        <item h="1" x="423"/>
        <item h="1" x="819"/>
        <item h="1" x="737"/>
        <item h="1" x="714"/>
        <item h="1" x="633"/>
        <item h="1" x="604"/>
        <item h="1" x="567"/>
        <item h="1" x="218"/>
        <item h="1" x="351"/>
        <item h="1" x="66"/>
        <item h="1" x="444"/>
        <item h="1" x="384"/>
        <item h="1" x="149"/>
        <item h="1" x="312"/>
        <item h="1" x="436"/>
        <item h="1" x="18"/>
        <item h="1" x="678"/>
        <item h="1" x="823"/>
        <item h="1" x="609"/>
        <item h="1" x="454"/>
        <item h="1" x="637"/>
        <item h="1" x="557"/>
        <item h="1" x="19"/>
        <item h="1" x="640"/>
        <item h="1" x="459"/>
        <item h="1" x="758"/>
        <item h="1" x="178"/>
        <item h="1" x="502"/>
        <item h="1" x="170"/>
        <item h="1" x="303"/>
        <item h="1" x="400"/>
        <item h="1" x="147"/>
        <item h="1" x="1"/>
        <item h="1" x="191"/>
        <item h="1" x="8"/>
        <item h="1" x="505"/>
        <item h="1" x="461"/>
        <item h="1" x="91"/>
        <item h="1" x="541"/>
        <item h="1" x="645"/>
        <item h="1" x="708"/>
        <item h="1" x="527"/>
        <item h="1" x="747"/>
        <item h="1" x="474"/>
        <item h="1" x="428"/>
        <item h="1" x="3"/>
        <item h="1" x="67"/>
        <item x="852"/>
        <item h="1" x="294"/>
        <item h="1" x="511"/>
        <item h="1" x="556"/>
        <item h="1" x="411"/>
        <item h="1" x="282"/>
        <item h="1" x="127"/>
        <item h="1" x="642"/>
        <item h="1" x="201"/>
        <item h="1" x="138"/>
        <item h="1" x="4"/>
        <item h="1" x="56"/>
        <item h="1" x="479"/>
        <item h="1" x="122"/>
        <item h="1" x="211"/>
        <item h="1" x="301"/>
        <item h="1" x="341"/>
        <item h="1" x="812"/>
        <item h="1" x="233"/>
        <item h="1" x="168"/>
        <item h="1" x="5"/>
        <item h="1" x="22"/>
        <item h="1" x="418"/>
        <item h="1" x="260"/>
        <item h="1" x="512"/>
        <item h="1" x="448"/>
        <item h="1" x="129"/>
        <item h="1" x="698"/>
        <item h="1" x="399"/>
        <item h="1" x="13"/>
        <item h="1" x="634"/>
        <item h="1" x="123"/>
        <item h="1" x="342"/>
        <item h="1" x="797"/>
        <item h="1" x="413"/>
        <item h="1" x="372"/>
        <item h="1" x="11"/>
        <item h="1" x="291"/>
        <item h="1" x="491"/>
        <item h="1" x="485"/>
        <item h="1" x="203"/>
        <item h="1" x="414"/>
        <item x="864"/>
        <item x="869"/>
        <item h="1" x="779"/>
        <item h="1" x="469"/>
        <item h="1" x="106"/>
        <item h="1" x="786"/>
        <item h="1" x="276"/>
        <item h="1" x="359"/>
        <item h="1" x="791"/>
        <item h="1" x="898"/>
        <item h="1" x="311"/>
        <item h="1" x="639"/>
        <item h="1" x="447"/>
        <item h="1" x="682"/>
        <item h="1" x="115"/>
        <item h="1" x="270"/>
        <item h="1" x="794"/>
        <item h="1" x="150"/>
        <item h="1" x="196"/>
        <item h="1" x="424"/>
        <item h="1" x="125"/>
        <item h="1" x="677"/>
        <item h="1" x="273"/>
        <item h="1" x="718"/>
        <item h="1" x="251"/>
        <item h="1" x="799"/>
        <item h="1" x="857"/>
        <item h="1" x="636"/>
        <item h="1" x="192"/>
        <item h="1" x="855"/>
        <item h="1" x="173"/>
        <item h="1" x="363"/>
        <item h="1" x="859"/>
        <item h="1" x="48"/>
        <item h="1" x="538"/>
        <item h="1" x="646"/>
        <item h="1" x="222"/>
        <item h="1" x="350"/>
        <item h="1" x="74"/>
        <item h="1" x="73"/>
        <item h="1" x="166"/>
        <item h="1" x="152"/>
        <item h="1" x="194"/>
        <item h="1" x="783"/>
        <item h="1" x="490"/>
        <item h="1" x="441"/>
        <item h="1" x="299"/>
        <item h="1" x="719"/>
        <item h="1" x="498"/>
        <item h="1" x="304"/>
        <item h="1" x="654"/>
        <item h="1" x="107"/>
        <item h="1" x="496"/>
        <item h="1" x="722"/>
        <item h="1" x="467"/>
        <item h="1" x="533"/>
        <item h="1" x="519"/>
        <item h="1" x="88"/>
        <item h="1" x="333"/>
        <item h="1" x="900"/>
        <item h="1" x="699"/>
        <item h="1" x="142"/>
        <item h="1" x="315"/>
        <item h="1" x="530"/>
        <item h="1" x="815"/>
        <item h="1" x="727"/>
        <item h="1" x="327"/>
        <item h="1" x="667"/>
        <item h="1" x="189"/>
        <item h="1" x="475"/>
        <item h="1" x="539"/>
        <item h="1" x="768"/>
        <item h="1" x="172"/>
        <item h="1" x="52"/>
        <item h="1" x="501"/>
        <item h="1" x="389"/>
        <item h="1" x="198"/>
        <item h="1" x="143"/>
        <item h="1" x="716"/>
        <item h="1" x="705"/>
        <item h="1" x="227"/>
        <item h="1" x="443"/>
        <item h="1" x="160"/>
        <item h="1" x="242"/>
        <item x="862"/>
        <item h="1" x="0"/>
        <item h="1" x="688"/>
        <item h="1" x="262"/>
        <item h="1" x="288"/>
        <item h="1" x="216"/>
        <item h="1" x="463"/>
        <item h="1" x="269"/>
        <item h="1" x="9"/>
        <item h="1" x="104"/>
        <item h="1" x="462"/>
        <item h="1" x="140"/>
        <item h="1" x="114"/>
        <item x="891"/>
        <item h="1" x="378"/>
        <item h="1" x="255"/>
        <item h="1" x="482"/>
        <item h="1" x="283"/>
        <item h="1" x="437"/>
        <item h="1" x="787"/>
        <item h="1" x="811"/>
        <item h="1" x="803"/>
        <item h="1" x="740"/>
        <item h="1" x="720"/>
        <item x="850"/>
        <item h="1" x="146"/>
        <item h="1" x="337"/>
        <item h="1" x="420"/>
        <item h="1" x="207"/>
        <item h="1" x="792"/>
        <item h="1" x="761"/>
        <item h="1" x="186"/>
        <item h="1" x="263"/>
        <item h="1" x="504"/>
        <item x="842"/>
        <item h="1" x="357"/>
        <item h="1" x="759"/>
        <item h="1" x="772"/>
        <item h="1" x="584"/>
        <item h="1" x="244"/>
        <item h="1" x="404"/>
        <item h="1" x="433"/>
        <item h="1" x="478"/>
        <item h="1" x="326"/>
        <item h="1" x="422"/>
        <item h="1" x="246"/>
        <item h="1" x="254"/>
        <item h="1" x="94"/>
        <item h="1" x="728"/>
        <item h="1" x="68"/>
        <item h="1" x="382"/>
        <item h="1" x="638"/>
        <item h="1" x="415"/>
        <item h="1" x="810"/>
        <item h="1" x="575"/>
        <item h="1" x="686"/>
        <item h="1" x="308"/>
        <item h="1" x="20"/>
        <item h="1" x="97"/>
        <item h="1" x="154"/>
        <item h="1" x="47"/>
        <item h="1" x="764"/>
        <item h="1" x="793"/>
        <item h="1" x="116"/>
        <item h="1" x="86"/>
        <item h="1" x="195"/>
        <item h="1" x="543"/>
        <item h="1" x="789"/>
        <item x="849"/>
        <item h="1" x="316"/>
        <item h="1" x="651"/>
        <item x="880"/>
        <item h="1" x="77"/>
        <item h="1" x="27"/>
        <item h="1" x="546"/>
        <item h="1" x="763"/>
        <item h="1" x="734"/>
        <item h="1" x="367"/>
        <item h="1" x="225"/>
        <item h="1" x="75"/>
        <item h="1" x="137"/>
        <item h="1" x="558"/>
        <item h="1" x="594"/>
        <item h="1" x="495"/>
        <item x="866"/>
        <item h="1" x="625"/>
        <item h="1" x="542"/>
        <item h="1" x="165"/>
        <item h="1" x="835"/>
        <item h="1" x="34"/>
        <item h="1" x="684"/>
        <item h="1" x="775"/>
        <item h="1" x="356"/>
        <item h="1" x="760"/>
        <item h="1" x="570"/>
        <item h="1" x="647"/>
        <item h="1" x="338"/>
        <item h="1" x="307"/>
        <item h="1" x="406"/>
        <item h="1" x="816"/>
        <item h="1" x="674"/>
        <item h="1" x="573"/>
        <item h="1" x="285"/>
        <item h="1" x="24"/>
        <item h="1" x="416"/>
        <item h="1" x="352"/>
        <item h="1" x="525"/>
        <item h="1" x="753"/>
        <item h="1" x="487"/>
        <item h="1" x="615"/>
        <item h="1" x="434"/>
        <item h="1" x="101"/>
        <item h="1" x="417"/>
        <item h="1" x="579"/>
        <item h="1" x="298"/>
        <item h="1" x="212"/>
        <item h="1" x="553"/>
        <item h="1" x="606"/>
        <item h="1" x="323"/>
        <item h="1" x="595"/>
        <item h="1" x="275"/>
        <item h="1" x="394"/>
        <item h="1" x="431"/>
        <item h="1" x="340"/>
        <item h="1" x="851"/>
        <item h="1" x="598"/>
        <item h="1" x="662"/>
        <item h="1" x="181"/>
        <item h="1" x="805"/>
        <item h="1" x="419"/>
        <item h="1" x="374"/>
        <item h="1" x="402"/>
        <item h="1" x="613"/>
        <item h="1" x="690"/>
        <item h="1" x="583"/>
        <item h="1" x="182"/>
        <item h="1" x="673"/>
        <item h="1" x="118"/>
        <item x="885"/>
        <item h="1" x="230"/>
        <item h="1" x="296"/>
        <item h="1" x="560"/>
        <item h="1" x="272"/>
        <item h="1" x="863"/>
        <item h="1" x="321"/>
        <item h="1" x="331"/>
        <item h="1" x="899"/>
        <item h="1" x="32"/>
        <item h="1" x="605"/>
        <item h="1" x="510"/>
        <item h="1" x="199"/>
        <item h="1" x="121"/>
        <item h="1" x="383"/>
        <item h="1" x="515"/>
        <item h="1" x="689"/>
        <item h="1" x="15"/>
        <item h="1" x="439"/>
        <item h="1" x="37"/>
        <item h="1" x="591"/>
        <item h="1" x="78"/>
        <item h="1" x="180"/>
        <item x="846"/>
        <item h="1" x="252"/>
        <item h="1" x="70"/>
        <item h="1" x="103"/>
        <item h="1" x="119"/>
        <item h="1" x="717"/>
        <item h="1" x="355"/>
        <item h="1" x="184"/>
        <item h="1" x="324"/>
        <item h="1" x="518"/>
        <item h="1" x="780"/>
        <item h="1" x="290"/>
        <item h="1" x="617"/>
        <item h="1" x="624"/>
        <item x="837"/>
        <item h="1" x="219"/>
        <item h="1" x="529"/>
        <item h="1" x="33"/>
        <item h="1" x="754"/>
        <item h="1" x="513"/>
        <item h="1" x="156"/>
        <item h="1" x="261"/>
        <item h="1" x="450"/>
        <item h="1" x="83"/>
        <item h="1" x="712"/>
        <item x="873"/>
        <item h="1" x="58"/>
        <item h="1" x="131"/>
        <item h="1" x="26"/>
        <item h="1" x="388"/>
        <item h="1" x="623"/>
        <item h="1" x="483"/>
        <item x="884"/>
        <item x="878"/>
        <item h="1" x="481"/>
        <item h="1" x="99"/>
        <item h="1" x="344"/>
        <item h="1" x="635"/>
        <item h="1" x="284"/>
        <item h="1" x="79"/>
        <item h="1" x="516"/>
        <item h="1" x="769"/>
        <item h="1" x="895"/>
        <item h="1" x="643"/>
        <item h="1" x="238"/>
        <item h="1" x="41"/>
        <item h="1" x="358"/>
        <item h="1" x="571"/>
        <item h="1" x="537"/>
        <item h="1" x="523"/>
        <item h="1" x="563"/>
        <item h="1" x="85"/>
        <item h="1" x="139"/>
        <item h="1" x="430"/>
        <item h="1" x="245"/>
        <item h="1" x="277"/>
        <item h="1" x="508"/>
        <item h="1" x="268"/>
        <item h="1" x="349"/>
        <item h="1" x="590"/>
        <item h="1" x="725"/>
        <item h="1" x="175"/>
        <item h="1" x="237"/>
        <item h="1" x="360"/>
        <item h="1" x="650"/>
        <item h="1" x="524"/>
        <item h="1" x="664"/>
        <item h="1" x="658"/>
        <item h="1" x="544"/>
        <item h="1" x="347"/>
        <item h="1" x="25"/>
        <item h="1" x="831"/>
        <item h="1" x="421"/>
        <item h="1" x="460"/>
        <item h="1" x="369"/>
        <item h="1" x="723"/>
        <item h="1" x="532"/>
        <item h="1" x="132"/>
        <item h="1" x="220"/>
        <item h="1" x="702"/>
        <item h="1" x="148"/>
        <item h="1" x="126"/>
        <item h="1" x="685"/>
        <item h="1" x="824"/>
        <item h="1" x="72"/>
        <item h="1" x="153"/>
        <item h="1" x="730"/>
        <item h="1" x="287"/>
        <item h="1" x="120"/>
        <item h="1" x="470"/>
        <item h="1" x="809"/>
        <item h="1" x="193"/>
        <item h="1" x="672"/>
        <item h="1" x="89"/>
        <item h="1" x="468"/>
        <item h="1" x="451"/>
        <item h="1" x="28"/>
        <item h="1" x="818"/>
        <item x="867"/>
        <item h="1" x="476"/>
        <item h="1" x="597"/>
        <item h="1" x="23"/>
        <item h="1" x="167"/>
        <item h="1" x="248"/>
        <item h="1" x="493"/>
        <item h="1" x="641"/>
        <item h="1" x="305"/>
        <item h="1" x="306"/>
        <item h="1" x="782"/>
        <item h="1" x="133"/>
        <item h="1" x="752"/>
        <item x="890"/>
        <item h="1" x="785"/>
        <item h="1" x="464"/>
        <item h="1" x="580"/>
        <item x="845"/>
        <item h="1" x="813"/>
        <item h="1" x="54"/>
        <item h="1" x="566"/>
        <item h="1" x="738"/>
        <item h="1" x="473"/>
        <item h="1" x="778"/>
        <item h="1" x="12"/>
        <item h="1" x="668"/>
        <item h="1" x="770"/>
        <item h="1" x="452"/>
        <item h="1" x="796"/>
        <item h="1" x="325"/>
        <item h="1" x="522"/>
        <item x="853"/>
        <item h="1" x="847"/>
        <item h="1" x="489"/>
        <item h="1" x="802"/>
        <item h="1" x="534"/>
        <item h="1" x="744"/>
        <item h="1" x="21"/>
        <item h="1" x="589"/>
        <item h="1" x="235"/>
        <item h="1" x="774"/>
        <item h="1" x="669"/>
        <item h="1" x="202"/>
        <item h="1" x="392"/>
        <item h="1" x="628"/>
        <item h="1" x="648"/>
        <item h="1" x="247"/>
        <item h="1" x="381"/>
        <item h="1" x="795"/>
        <item h="1" x="295"/>
        <item h="1" x="65"/>
        <item h="1" x="124"/>
        <item x="881"/>
        <item h="1" x="817"/>
        <item h="1" x="526"/>
        <item h="1" x="113"/>
        <item h="1" x="206"/>
        <item h="1" x="145"/>
        <item h="1" x="602"/>
        <item h="1" x="750"/>
        <item h="1" x="620"/>
        <item x="860"/>
        <item h="1" x="96"/>
        <item h="1" x="16"/>
        <item h="1" x="577"/>
        <item h="1" x="117"/>
        <item h="1" x="130"/>
        <item h="1" x="729"/>
        <item h="1" x="162"/>
        <item h="1" x="663"/>
        <item h="1" x="151"/>
        <item h="1" x="497"/>
        <item h="1" x="163"/>
        <item x="871"/>
        <item x="861"/>
        <item h="1" x="827"/>
        <item h="1" x="197"/>
        <item h="1" x="494"/>
        <item h="1" x="93"/>
        <item x="876"/>
        <item h="1" x="353"/>
        <item x="865"/>
        <item h="1" x="644"/>
        <item h="1" x="445"/>
        <item h="1" x="561"/>
        <item h="1" x="649"/>
        <item x="868"/>
        <item h="1" x="697"/>
        <item h="1" x="710"/>
        <item h="1" x="520"/>
        <item h="1" x="110"/>
        <item h="1" x="446"/>
        <item h="1" x="232"/>
        <item h="1" x="569"/>
        <item h="1" x="313"/>
        <item h="1" x="318"/>
        <item h="1" x="756"/>
        <item h="1" x="257"/>
        <item x="882"/>
        <item h="1" x="585"/>
        <item x="889"/>
        <item x="854"/>
        <item x="874"/>
        <item h="1" x="71"/>
        <item h="1" x="700"/>
        <item h="1" x="608"/>
        <item h="1" x="346"/>
        <item h="1" x="2"/>
        <item h="1" x="521"/>
        <item h="1" x="611"/>
        <item h="1" x="31"/>
        <item h="1" x="427"/>
        <item h="1" x="438"/>
        <item h="1" x="319"/>
        <item h="1" x="92"/>
        <item h="1" x="164"/>
        <item h="1" x="653"/>
        <item h="1" x="581"/>
        <item h="1" x="603"/>
        <item h="1" x="659"/>
        <item h="1" x="380"/>
        <item h="1" x="777"/>
        <item h="1" x="204"/>
        <item h="1" x="652"/>
        <item h="1" x="480"/>
        <item h="1" x="14"/>
        <item h="1" x="545"/>
        <item h="1" x="830"/>
        <item h="1" x="105"/>
        <item h="1" x="234"/>
        <item h="1" x="45"/>
        <item h="1" x="40"/>
        <item h="1" x="60"/>
        <item h="1" x="588"/>
        <item h="1" x="221"/>
        <item h="1" x="217"/>
        <item h="1" x="169"/>
        <item h="1" x="622"/>
        <item h="1" x="429"/>
        <item h="1" x="627"/>
        <item h="1" x="657"/>
        <item h="1" x="826"/>
        <item h="1" x="555"/>
        <item h="1" x="61"/>
        <item h="1" x="665"/>
        <item h="1" x="387"/>
        <item h="1" x="332"/>
        <item h="1" x="514"/>
        <item h="1" x="704"/>
        <item h="1" x="458"/>
        <item h="1" x="687"/>
        <item h="1" x="379"/>
        <item h="1" x="100"/>
        <item h="1" x="108"/>
        <item h="1" x="302"/>
        <item h="1" x="69"/>
        <item h="1" x="82"/>
        <item x="887"/>
        <item h="1" x="397"/>
        <item h="1" x="42"/>
        <item h="1" x="548"/>
        <item h="1" x="112"/>
        <item h="1" x="456"/>
        <item h="1" x="7"/>
        <item h="1" x="709"/>
        <item h="1" x="396"/>
        <item h="1" x="241"/>
        <item h="1" x="390"/>
        <item h="1" x="377"/>
        <item h="1" x="395"/>
        <item h="1" x="171"/>
        <item h="1" x="726"/>
        <item h="1" x="735"/>
        <item h="1" x="897"/>
        <item h="1" x="781"/>
        <item h="1" x="607"/>
        <item h="1" x="185"/>
        <item x="872"/>
        <item h="1" x="90"/>
        <item h="1" x="30"/>
        <item h="1" x="226"/>
        <item x="838"/>
        <item h="1" x="266"/>
        <item h="1" x="364"/>
        <item h="1" x="713"/>
        <item h="1" x="264"/>
        <item x="858"/>
        <item h="1" x="751"/>
        <item h="1" x="336"/>
        <item h="1" x="771"/>
        <item h="1" x="38"/>
        <item x="848"/>
        <item h="1" x="386"/>
        <item h="1" x="749"/>
        <item h="1" x="531"/>
        <item h="1" x="278"/>
        <item h="1" x="767"/>
        <item x="870"/>
        <item h="1" x="486"/>
        <item h="1" x="661"/>
        <item h="1" x="840"/>
        <item h="1" x="765"/>
        <item h="1" x="540"/>
        <item h="1" x="820"/>
        <item h="1" x="742"/>
        <item h="1" x="457"/>
        <item h="1" x="586"/>
        <item h="1" x="409"/>
        <item h="1" x="256"/>
        <item h="1" x="471"/>
        <item h="1" x="258"/>
        <item x="844"/>
        <item h="1" x="215"/>
        <item h="1" x="84"/>
        <item h="1" x="80"/>
        <item h="1" x="681"/>
        <item h="1" x="572"/>
        <item h="1" x="696"/>
        <item h="1" x="300"/>
        <item h="1" x="362"/>
        <item h="1" x="393"/>
        <item h="1" x="190"/>
        <item h="1" x="322"/>
        <item h="1" x="535"/>
        <item h="1" x="213"/>
        <item h="1" x="833"/>
        <item h="1" x="51"/>
        <item h="1" x="408"/>
        <item h="1" x="746"/>
        <item h="1" x="757"/>
        <item h="1" x="228"/>
        <item h="1" x="676"/>
        <item h="1" x="706"/>
        <item x="843"/>
        <item h="1" x="748"/>
        <item h="1" x="214"/>
        <item h="1" x="766"/>
        <item h="1" x="629"/>
        <item h="1" x="694"/>
        <item h="1" x="177"/>
        <item h="1" x="405"/>
        <item x="875"/>
        <item h="1" x="373"/>
        <item h="1" x="293"/>
        <item h="1" x="821"/>
        <item x="893"/>
        <item h="1" x="310"/>
        <item h="1" x="517"/>
        <item h="1" x="621"/>
        <item h="1" x="314"/>
        <item h="1" x="102"/>
        <item h="1" x="243"/>
        <item h="1" x="808"/>
        <item h="1" x="552"/>
        <item h="1" x="630"/>
        <item h="1" x="500"/>
        <item h="1" x="832"/>
        <item h="1" x="265"/>
        <item h="1" x="205"/>
        <item h="1" x="800"/>
        <item h="1" x="17"/>
        <item h="1" x="776"/>
        <item h="1" x="453"/>
        <item h="1" x="691"/>
        <item h="1" x="134"/>
        <item h="1" x="398"/>
        <item h="1" x="528"/>
        <item h="1" x="158"/>
        <item h="1" x="755"/>
        <item h="1" x="239"/>
        <item h="1" x="183"/>
        <item h="1" x="176"/>
        <item h="1" x="348"/>
        <item h="1" x="798"/>
        <item x="892"/>
        <item h="1" x="666"/>
        <item h="1" x="801"/>
        <item h="1" x="403"/>
        <item h="1" x="440"/>
        <item h="1" x="743"/>
        <item h="1" x="601"/>
        <item h="1" x="98"/>
        <item h="1" x="825"/>
        <item h="1" x="814"/>
        <item h="1" x="703"/>
        <item x="841"/>
        <item h="1" x="600"/>
        <item h="1" x="36"/>
        <item h="1" x="449"/>
        <item h="1" x="208"/>
        <item h="1" x="371"/>
        <item h="1" x="683"/>
        <item h="1" x="736"/>
        <item h="1" x="271"/>
        <item h="1" x="249"/>
        <item h="1" x="432"/>
        <item h="1" x="253"/>
        <item h="1" x="745"/>
        <item h="1" x="499"/>
        <item h="1" x="596"/>
        <item h="1" x="610"/>
        <item x="883"/>
        <item h="1" x="50"/>
        <item h="1" x="289"/>
        <item h="1" x="592"/>
        <item h="1" x="236"/>
        <item h="1" x="259"/>
        <item h="1" x="554"/>
        <item h="1" x="507"/>
        <item h="1" x="297"/>
        <item h="1" x="806"/>
        <item h="1" x="509"/>
        <item h="1" x="442"/>
        <item h="1" x="391"/>
        <item h="1" x="62"/>
        <item h="1" x="250"/>
        <item h="1" x="618"/>
        <item h="1" x="484"/>
        <item h="1" x="834"/>
        <item h="1" x="339"/>
        <item h="1" x="550"/>
        <item h="1" x="836"/>
        <item h="1" x="741"/>
        <item h="1" x="829"/>
        <item h="1" x="732"/>
        <item h="1" x="407"/>
        <item h="1" x="59"/>
        <item h="1" x="267"/>
        <item h="1" x="361"/>
        <item h="1" x="401"/>
        <item h="1" x="587"/>
        <item h="1" x="354"/>
        <item h="1" x="109"/>
        <item x="877"/>
        <item x="888"/>
        <item h="1" x="477"/>
        <item h="1" x="576"/>
        <item h="1" x="506"/>
        <item h="1" x="707"/>
        <item x="894"/>
        <item h="1" x="547"/>
        <item h="1" x="632"/>
        <item h="1" x="856"/>
        <item h="1" x="631"/>
        <item h="1" x="660"/>
        <item h="1" x="565"/>
        <item h="1" x="616"/>
        <item h="1" x="551"/>
        <item h="1" x="503"/>
        <item h="1" x="773"/>
        <item h="1" x="574"/>
        <item h="1" x="680"/>
        <item h="1" x="10"/>
        <item h="1" x="279"/>
        <item h="1" x="693"/>
        <item h="1" x="53"/>
        <item h="1" x="788"/>
        <item h="1" x="790"/>
        <item h="1" x="568"/>
        <item h="1" x="455"/>
        <item h="1" x="733"/>
        <item h="1" x="655"/>
        <item h="1" x="141"/>
        <item h="1" x="55"/>
        <item h="1" x="200"/>
        <item h="1" x="549"/>
        <item h="1" x="155"/>
        <item h="1" x="425"/>
        <item h="1" x="44"/>
        <item h="1" x="111"/>
        <item h="1" x="210"/>
        <item x="839"/>
        <item h="1" x="614"/>
        <item h="1" x="345"/>
        <item h="1" x="187"/>
        <item h="1" x="240"/>
        <item h="1" x="128"/>
        <item h="1" x="49"/>
        <item h="1" x="334"/>
        <item h="1" x="626"/>
        <item h="1" x="209"/>
        <item h="1" x="335"/>
        <item h="1" x="64"/>
        <item h="1" x="95"/>
        <item h="1" x="612"/>
        <item h="1" x="174"/>
        <item h="1" x="701"/>
        <item h="1" x="762"/>
        <item h="1" x="43"/>
        <item h="1" x="366"/>
        <item h="1" x="711"/>
        <item h="1" x="426"/>
        <item h="1" x="63"/>
        <item h="1" x="410"/>
        <item h="1" x="375"/>
        <item h="1" x="57"/>
        <item h="1" x="365"/>
        <item h="1" x="330"/>
        <item h="1" x="368"/>
        <item h="1" x="828"/>
        <item h="1" x="6"/>
        <item h="1" x="578"/>
        <item h="1" x="223"/>
        <item h="1" x="564"/>
        <item h="1" x="224"/>
        <item h="1" x="229"/>
        <item h="1" x="559"/>
        <item h="1" x="179"/>
        <item h="1" x="582"/>
        <item h="1" x="159"/>
        <item h="1" x="281"/>
        <item h="1" x="135"/>
        <item h="1" x="329"/>
        <item h="1" x="309"/>
        <item h="1" x="599"/>
        <item h="1" x="161"/>
        <item h="1" x="81"/>
        <item h="1" x="39"/>
        <item h="1" x="292"/>
        <item x="896"/>
        <item h="1" x="144"/>
        <item h="1" x="488"/>
        <item h="1" x="320"/>
        <item h="1" x="807"/>
        <item h="1" x="656"/>
        <item h="1" x="804"/>
        <item h="1" x="619"/>
        <item h="1" x="317"/>
        <item h="1" x="466"/>
        <item h="1" x="731"/>
        <item h="1" x="286"/>
        <item h="1" x="492"/>
        <item h="1" x="671"/>
        <item h="1" x="724"/>
        <item h="1" x="46"/>
        <item h="1" x="274"/>
        <item h="1" x="901"/>
        <item t="default"/>
      </items>
    </pivotField>
    <pivotField showAll="0"/>
    <pivotField showAll="0">
      <items count="36">
        <item x="0"/>
        <item x="1"/>
        <item x="14"/>
        <item x="22"/>
        <item x="2"/>
        <item x="26"/>
        <item x="21"/>
        <item x="7"/>
        <item x="30"/>
        <item x="9"/>
        <item x="3"/>
        <item x="5"/>
        <item x="29"/>
        <item x="8"/>
        <item x="23"/>
        <item x="28"/>
        <item x="27"/>
        <item x="16"/>
        <item x="17"/>
        <item x="25"/>
        <item x="18"/>
        <item x="6"/>
        <item x="12"/>
        <item x="19"/>
        <item x="24"/>
        <item x="31"/>
        <item x="32"/>
        <item x="15"/>
        <item x="33"/>
        <item x="13"/>
        <item x="34"/>
        <item x="11"/>
        <item x="20"/>
        <item x="10"/>
        <item x="4"/>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52">
    <i>
      <x v="1"/>
    </i>
    <i>
      <x v="21"/>
    </i>
    <i>
      <x v="80"/>
    </i>
    <i>
      <x v="122"/>
    </i>
    <i>
      <x v="123"/>
    </i>
    <i>
      <x v="206"/>
    </i>
    <i>
      <x v="219"/>
    </i>
    <i>
      <x v="230"/>
    </i>
    <i>
      <x v="240"/>
    </i>
    <i>
      <x v="274"/>
    </i>
    <i>
      <x v="277"/>
    </i>
    <i>
      <x v="290"/>
    </i>
    <i>
      <x v="344"/>
    </i>
    <i>
      <x v="367"/>
    </i>
    <i>
      <x v="381"/>
    </i>
    <i>
      <x v="392"/>
    </i>
    <i>
      <x v="399"/>
    </i>
    <i>
      <x v="400"/>
    </i>
    <i>
      <x v="465"/>
    </i>
    <i>
      <x v="478"/>
    </i>
    <i>
      <x v="482"/>
    </i>
    <i>
      <x v="496"/>
    </i>
    <i>
      <x v="517"/>
    </i>
    <i>
      <x v="526"/>
    </i>
    <i>
      <x v="538"/>
    </i>
    <i>
      <x v="539"/>
    </i>
    <i>
      <x v="544"/>
    </i>
    <i>
      <x v="546"/>
    </i>
    <i>
      <x v="551"/>
    </i>
    <i>
      <x v="563"/>
    </i>
    <i>
      <x v="565"/>
    </i>
    <i>
      <x v="566"/>
    </i>
    <i>
      <x v="567"/>
    </i>
    <i>
      <x v="622"/>
    </i>
    <i>
      <x v="642"/>
    </i>
    <i>
      <x v="646"/>
    </i>
    <i>
      <x v="651"/>
    </i>
    <i>
      <x v="656"/>
    </i>
    <i>
      <x v="662"/>
    </i>
    <i>
      <x v="676"/>
    </i>
    <i>
      <x v="698"/>
    </i>
    <i>
      <x v="706"/>
    </i>
    <i>
      <x v="710"/>
    </i>
    <i>
      <x v="739"/>
    </i>
    <i>
      <x v="750"/>
    </i>
    <i>
      <x v="766"/>
    </i>
    <i>
      <x v="798"/>
    </i>
    <i>
      <x v="799"/>
    </i>
    <i>
      <x v="804"/>
    </i>
    <i>
      <x v="836"/>
    </i>
    <i>
      <x v="884"/>
    </i>
    <i t="grand">
      <x/>
    </i>
  </rowItems>
  <colItems count="1">
    <i/>
  </colItems>
  <dataFields count="1">
    <dataField name="Count of Employe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F1A1FE2-167A-4360-95E6-BBBD368B3844}" name="PivotTable4" cacheId="539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E5:F33" firstHeaderRow="1" firstDataRow="1" firstDataCol="1"/>
  <pivotFields count="4">
    <pivotField axis="axisRow" showAll="0">
      <items count="66">
        <item x="1"/>
        <item x="0"/>
        <item h="1" x="3"/>
        <item h="1" x="2"/>
        <item x="4"/>
        <item h="1" x="5"/>
        <item h="1" x="6"/>
        <item h="1" x="7"/>
        <item x="8"/>
        <item h="1" x="9"/>
        <item h="1" x="10"/>
        <item h="1" x="11"/>
        <item h="1" x="12"/>
        <item x="13"/>
        <item x="14"/>
        <item x="15"/>
        <item h="1" x="16"/>
        <item h="1" x="17"/>
        <item h="1" x="18"/>
        <item h="1" x="19"/>
        <item x="20"/>
        <item h="1" x="21"/>
        <item h="1" x="22"/>
        <item x="23"/>
        <item x="24"/>
        <item h="1" x="25"/>
        <item x="26"/>
        <item h="1" x="27"/>
        <item x="28"/>
        <item x="29"/>
        <item h="1" x="30"/>
        <item h="1" x="31"/>
        <item x="32"/>
        <item x="33"/>
        <item h="1" x="34"/>
        <item h="1" x="35"/>
        <item h="1" x="36"/>
        <item h="1" x="37"/>
        <item h="1" x="38"/>
        <item x="39"/>
        <item h="1" x="40"/>
        <item h="1" x="41"/>
        <item x="42"/>
        <item h="1" x="43"/>
        <item h="1" x="44"/>
        <item h="1" x="45"/>
        <item x="46"/>
        <item h="1" x="47"/>
        <item h="1" x="48"/>
        <item x="49"/>
        <item x="50"/>
        <item h="1" x="51"/>
        <item x="52"/>
        <item h="1" x="53"/>
        <item x="54"/>
        <item h="1" x="55"/>
        <item h="1" x="56"/>
        <item h="1" x="57"/>
        <item x="58"/>
        <item h="1" x="59"/>
        <item x="60"/>
        <item x="61"/>
        <item h="1" x="62"/>
        <item x="63"/>
        <item x="64"/>
        <item t="default"/>
      </items>
    </pivotField>
    <pivotField dataField="1" showAll="0"/>
    <pivotField showAll="0"/>
    <pivotField showAll="0"/>
  </pivotFields>
  <rowFields count="1">
    <field x="0"/>
  </rowFields>
  <rowItems count="28">
    <i>
      <x/>
    </i>
    <i>
      <x v="1"/>
    </i>
    <i>
      <x v="4"/>
    </i>
    <i>
      <x v="8"/>
    </i>
    <i>
      <x v="13"/>
    </i>
    <i>
      <x v="14"/>
    </i>
    <i>
      <x v="15"/>
    </i>
    <i>
      <x v="20"/>
    </i>
    <i>
      <x v="23"/>
    </i>
    <i>
      <x v="24"/>
    </i>
    <i>
      <x v="26"/>
    </i>
    <i>
      <x v="28"/>
    </i>
    <i>
      <x v="29"/>
    </i>
    <i>
      <x v="32"/>
    </i>
    <i>
      <x v="33"/>
    </i>
    <i>
      <x v="39"/>
    </i>
    <i>
      <x v="42"/>
    </i>
    <i>
      <x v="46"/>
    </i>
    <i>
      <x v="49"/>
    </i>
    <i>
      <x v="50"/>
    </i>
    <i>
      <x v="52"/>
    </i>
    <i>
      <x v="54"/>
    </i>
    <i>
      <x v="58"/>
    </i>
    <i>
      <x v="60"/>
    </i>
    <i>
      <x v="61"/>
    </i>
    <i>
      <x v="63"/>
    </i>
    <i>
      <x v="64"/>
    </i>
    <i t="grand">
      <x/>
    </i>
  </rowItems>
  <colItems count="1">
    <i/>
  </colItems>
  <dataFields count="1">
    <dataField name="Count of Mentee" fld="1" subtotal="count" baseField="0" baseItem="0"/>
  </dataFields>
  <formats count="36">
    <format dxfId="34">
      <pivotArea collapsedLevelsAreSubtotals="1" fieldPosition="0">
        <references count="1">
          <reference field="0" count="2">
            <x v="0"/>
            <x v="1"/>
          </reference>
        </references>
      </pivotArea>
    </format>
    <format dxfId="35">
      <pivotArea dataOnly="0" labelOnly="1" fieldPosition="0">
        <references count="1">
          <reference field="0" count="2">
            <x v="0"/>
            <x v="1"/>
          </reference>
        </references>
      </pivotArea>
    </format>
    <format dxfId="36">
      <pivotArea collapsedLevelsAreSubtotals="1" fieldPosition="0">
        <references count="1">
          <reference field="0" count="1">
            <x v="4"/>
          </reference>
        </references>
      </pivotArea>
    </format>
    <format dxfId="37">
      <pivotArea dataOnly="0" labelOnly="1" fieldPosition="0">
        <references count="1">
          <reference field="0" count="1">
            <x v="4"/>
          </reference>
        </references>
      </pivotArea>
    </format>
    <format dxfId="38">
      <pivotArea collapsedLevelsAreSubtotals="1" fieldPosition="0">
        <references count="1">
          <reference field="0" count="1">
            <x v="8"/>
          </reference>
        </references>
      </pivotArea>
    </format>
    <format dxfId="39">
      <pivotArea dataOnly="0" labelOnly="1" fieldPosition="0">
        <references count="1">
          <reference field="0" count="1">
            <x v="8"/>
          </reference>
        </references>
      </pivotArea>
    </format>
    <format dxfId="40">
      <pivotArea collapsedLevelsAreSubtotals="1" fieldPosition="0">
        <references count="1">
          <reference field="0" count="3">
            <x v="13"/>
            <x v="14"/>
            <x v="15"/>
          </reference>
        </references>
      </pivotArea>
    </format>
    <format dxfId="41">
      <pivotArea dataOnly="0" labelOnly="1" fieldPosition="0">
        <references count="1">
          <reference field="0" count="3">
            <x v="13"/>
            <x v="14"/>
            <x v="15"/>
          </reference>
        </references>
      </pivotArea>
    </format>
    <format dxfId="42">
      <pivotArea collapsedLevelsAreSubtotals="1" fieldPosition="0">
        <references count="1">
          <reference field="0" count="1">
            <x v="20"/>
          </reference>
        </references>
      </pivotArea>
    </format>
    <format dxfId="43">
      <pivotArea dataOnly="0" labelOnly="1" fieldPosition="0">
        <references count="1">
          <reference field="0" count="1">
            <x v="20"/>
          </reference>
        </references>
      </pivotArea>
    </format>
    <format dxfId="44">
      <pivotArea collapsedLevelsAreSubtotals="1" fieldPosition="0">
        <references count="1">
          <reference field="0" count="2">
            <x v="23"/>
            <x v="24"/>
          </reference>
        </references>
      </pivotArea>
    </format>
    <format dxfId="45">
      <pivotArea dataOnly="0" labelOnly="1" fieldPosition="0">
        <references count="1">
          <reference field="0" count="2">
            <x v="23"/>
            <x v="24"/>
          </reference>
        </references>
      </pivotArea>
    </format>
    <format dxfId="46">
      <pivotArea collapsedLevelsAreSubtotals="1" fieldPosition="0">
        <references count="1">
          <reference field="0" count="1">
            <x v="26"/>
          </reference>
        </references>
      </pivotArea>
    </format>
    <format dxfId="47">
      <pivotArea dataOnly="0" labelOnly="1" fieldPosition="0">
        <references count="1">
          <reference field="0" count="1">
            <x v="26"/>
          </reference>
        </references>
      </pivotArea>
    </format>
    <format dxfId="48">
      <pivotArea collapsedLevelsAreSubtotals="1" fieldPosition="0">
        <references count="1">
          <reference field="0" count="2">
            <x v="28"/>
            <x v="29"/>
          </reference>
        </references>
      </pivotArea>
    </format>
    <format dxfId="49">
      <pivotArea dataOnly="0" labelOnly="1" fieldPosition="0">
        <references count="1">
          <reference field="0" count="2">
            <x v="28"/>
            <x v="29"/>
          </reference>
        </references>
      </pivotArea>
    </format>
    <format dxfId="50">
      <pivotArea collapsedLevelsAreSubtotals="1" fieldPosition="0">
        <references count="1">
          <reference field="0" count="2">
            <x v="32"/>
            <x v="33"/>
          </reference>
        </references>
      </pivotArea>
    </format>
    <format dxfId="51">
      <pivotArea dataOnly="0" labelOnly="1" fieldPosition="0">
        <references count="1">
          <reference field="0" count="2">
            <x v="32"/>
            <x v="33"/>
          </reference>
        </references>
      </pivotArea>
    </format>
    <format dxfId="52">
      <pivotArea collapsedLevelsAreSubtotals="1" fieldPosition="0">
        <references count="1">
          <reference field="0" count="1">
            <x v="39"/>
          </reference>
        </references>
      </pivotArea>
    </format>
    <format dxfId="53">
      <pivotArea dataOnly="0" labelOnly="1" fieldPosition="0">
        <references count="1">
          <reference field="0" count="1">
            <x v="39"/>
          </reference>
        </references>
      </pivotArea>
    </format>
    <format dxfId="54">
      <pivotArea collapsedLevelsAreSubtotals="1" fieldPosition="0">
        <references count="1">
          <reference field="0" count="1">
            <x v="42"/>
          </reference>
        </references>
      </pivotArea>
    </format>
    <format dxfId="55">
      <pivotArea dataOnly="0" labelOnly="1" fieldPosition="0">
        <references count="1">
          <reference field="0" count="1">
            <x v="42"/>
          </reference>
        </references>
      </pivotArea>
    </format>
    <format dxfId="56">
      <pivotArea collapsedLevelsAreSubtotals="1" fieldPosition="0">
        <references count="1">
          <reference field="0" count="1">
            <x v="46"/>
          </reference>
        </references>
      </pivotArea>
    </format>
    <format dxfId="57">
      <pivotArea dataOnly="0" labelOnly="1" fieldPosition="0">
        <references count="1">
          <reference field="0" count="1">
            <x v="46"/>
          </reference>
        </references>
      </pivotArea>
    </format>
    <format dxfId="58">
      <pivotArea collapsedLevelsAreSubtotals="1" fieldPosition="0">
        <references count="1">
          <reference field="0" count="2">
            <x v="49"/>
            <x v="50"/>
          </reference>
        </references>
      </pivotArea>
    </format>
    <format dxfId="59">
      <pivotArea dataOnly="0" labelOnly="1" fieldPosition="0">
        <references count="1">
          <reference field="0" count="2">
            <x v="49"/>
            <x v="50"/>
          </reference>
        </references>
      </pivotArea>
    </format>
    <format dxfId="60">
      <pivotArea collapsedLevelsAreSubtotals="1" fieldPosition="0">
        <references count="1">
          <reference field="0" count="1">
            <x v="52"/>
          </reference>
        </references>
      </pivotArea>
    </format>
    <format dxfId="61">
      <pivotArea dataOnly="0" labelOnly="1" fieldPosition="0">
        <references count="1">
          <reference field="0" count="1">
            <x v="52"/>
          </reference>
        </references>
      </pivotArea>
    </format>
    <format dxfId="62">
      <pivotArea collapsedLevelsAreSubtotals="1" fieldPosition="0">
        <references count="1">
          <reference field="0" count="1">
            <x v="54"/>
          </reference>
        </references>
      </pivotArea>
    </format>
    <format dxfId="63">
      <pivotArea dataOnly="0" labelOnly="1" fieldPosition="0">
        <references count="1">
          <reference field="0" count="1">
            <x v="54"/>
          </reference>
        </references>
      </pivotArea>
    </format>
    <format dxfId="64">
      <pivotArea collapsedLevelsAreSubtotals="1" fieldPosition="0">
        <references count="1">
          <reference field="0" count="1">
            <x v="58"/>
          </reference>
        </references>
      </pivotArea>
    </format>
    <format dxfId="65">
      <pivotArea dataOnly="0" labelOnly="1" fieldPosition="0">
        <references count="1">
          <reference field="0" count="1">
            <x v="58"/>
          </reference>
        </references>
      </pivotArea>
    </format>
    <format dxfId="66">
      <pivotArea collapsedLevelsAreSubtotals="1" fieldPosition="0">
        <references count="1">
          <reference field="0" count="2">
            <x v="60"/>
            <x v="61"/>
          </reference>
        </references>
      </pivotArea>
    </format>
    <format dxfId="67">
      <pivotArea dataOnly="0" labelOnly="1" fieldPosition="0">
        <references count="1">
          <reference field="0" count="2">
            <x v="60"/>
            <x v="61"/>
          </reference>
        </references>
      </pivotArea>
    </format>
    <format dxfId="68">
      <pivotArea collapsedLevelsAreSubtotals="1" fieldPosition="0">
        <references count="1">
          <reference field="0" count="2">
            <x v="63"/>
            <x v="64"/>
          </reference>
        </references>
      </pivotArea>
    </format>
    <format dxfId="69">
      <pivotArea dataOnly="0" labelOnly="1" fieldPosition="0">
        <references count="1">
          <reference field="0" count="2">
            <x v="63"/>
            <x v="64"/>
          </reference>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E333805-79F7-44CD-9338-D133A3203C6B}" name="PivotTable1" cacheId="539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5:B42" firstHeaderRow="1" firstDataRow="1" firstDataCol="1"/>
  <pivotFields count="32">
    <pivotField showAll="0"/>
    <pivotField axis="axisRow" showAll="0" sortType="ascending">
      <items count="394">
        <item h="1" x="86"/>
        <item h="1" x="15"/>
        <item h="1" x="199"/>
        <item h="1" x="274"/>
        <item h="1" x="287"/>
        <item h="1" x="200"/>
        <item h="1" x="12"/>
        <item h="1" x="145"/>
        <item h="1" x="168"/>
        <item h="1" x="73"/>
        <item h="1" x="92"/>
        <item h="1" x="100"/>
        <item x="390"/>
        <item h="1" x="102"/>
        <item h="1" x="60"/>
        <item h="1" x="122"/>
        <item h="1" x="217"/>
        <item h="1" x="138"/>
        <item h="1" x="235"/>
        <item h="1" x="37"/>
        <item h="1" x="321"/>
        <item h="1" x="340"/>
        <item h="1" x="184"/>
        <item h="1" x="148"/>
        <item h="1" x="327"/>
        <item h="1" x="35"/>
        <item h="1" x="62"/>
        <item h="1" x="336"/>
        <item h="1" x="165"/>
        <item h="1" x="260"/>
        <item h="1" x="213"/>
        <item h="1" x="30"/>
        <item h="1" x="84"/>
        <item h="1" x="337"/>
        <item h="1" x="44"/>
        <item h="1" x="275"/>
        <item h="1" x="63"/>
        <item h="1" x="367"/>
        <item h="1" x="48"/>
        <item h="1" x="1"/>
        <item h="1" x="71"/>
        <item h="1" x="141"/>
        <item h="1" x="153"/>
        <item h="1" x="91"/>
        <item h="1" x="144"/>
        <item x="352"/>
        <item h="1" x="248"/>
        <item h="1" x="208"/>
        <item h="1" x="323"/>
        <item h="1" x="31"/>
        <item h="1" x="159"/>
        <item h="1" x="273"/>
        <item h="1" x="90"/>
        <item h="1" x="326"/>
        <item h="1" x="146"/>
        <item h="1" x="67"/>
        <item h="1" x="34"/>
        <item h="1" x="137"/>
        <item h="1" x="292"/>
        <item h="1" x="234"/>
        <item h="1" x="241"/>
        <item h="1" x="25"/>
        <item h="1" x="75"/>
        <item x="353"/>
        <item x="382"/>
        <item h="1" x="24"/>
        <item h="1" x="222"/>
        <item h="1" x="156"/>
        <item h="1" x="348"/>
        <item h="1" x="42"/>
        <item h="1" x="202"/>
        <item h="1" x="18"/>
        <item h="1" x="240"/>
        <item h="1" x="110"/>
        <item h="1" x="17"/>
        <item h="1" x="239"/>
        <item h="1" x="266"/>
        <item h="1" x="211"/>
        <item h="1" x="301"/>
        <item h="1" x="296"/>
        <item h="1" x="87"/>
        <item h="1" x="332"/>
        <item h="1" x="39"/>
        <item h="1" x="246"/>
        <item h="1" x="59"/>
        <item h="1" x="270"/>
        <item h="1" x="70"/>
        <item h="1" x="128"/>
        <item h="1" x="13"/>
        <item h="1" x="255"/>
        <item h="1" x="179"/>
        <item h="1" x="14"/>
        <item h="1" x="125"/>
        <item h="1" x="344"/>
        <item h="1" x="130"/>
        <item h="1" x="232"/>
        <item h="1" x="303"/>
        <item h="1" x="347"/>
        <item h="1" x="40"/>
        <item h="1" x="33"/>
        <item h="1" x="136"/>
        <item h="1" x="19"/>
        <item h="1" x="207"/>
        <item h="1" x="198"/>
        <item h="1" x="107"/>
        <item x="359"/>
        <item h="1" x="188"/>
        <item h="1" x="162"/>
        <item h="1" x="318"/>
        <item h="1" x="265"/>
        <item h="1" x="20"/>
        <item x="354"/>
        <item h="1" x="223"/>
        <item h="1" x="315"/>
        <item h="1" x="189"/>
        <item h="1" x="16"/>
        <item x="365"/>
        <item h="1" x="27"/>
        <item h="1" x="28"/>
        <item h="1" x="174"/>
        <item h="1" x="282"/>
        <item h="1" x="21"/>
        <item x="357"/>
        <item h="1" x="154"/>
        <item h="1" x="230"/>
        <item h="1" x="119"/>
        <item h="1" x="349"/>
        <item h="1" x="261"/>
        <item h="1" x="204"/>
        <item h="1" x="227"/>
        <item h="1" x="214"/>
        <item h="1" x="215"/>
        <item h="1" x="120"/>
        <item h="1" x="194"/>
        <item h="1" x="187"/>
        <item h="1" x="3"/>
        <item h="1" x="185"/>
        <item h="1" x="106"/>
        <item h="1" x="252"/>
        <item h="1" x="254"/>
        <item h="1" x="289"/>
        <item h="1" x="22"/>
        <item h="1" x="164"/>
        <item h="1" x="169"/>
        <item h="1" x="142"/>
        <item h="1" x="291"/>
        <item h="1" x="8"/>
        <item h="1" x="319"/>
        <item x="358"/>
        <item h="1" x="300"/>
        <item h="1" x="4"/>
        <item h="1" x="342"/>
        <item h="1" x="58"/>
        <item h="1" x="57"/>
        <item h="1" x="320"/>
        <item h="1" x="277"/>
        <item h="1" x="182"/>
        <item h="1" x="134"/>
        <item h="1" x="121"/>
        <item h="1" x="74"/>
        <item h="1" x="331"/>
        <item h="1" x="183"/>
        <item h="1" x="236"/>
        <item h="1" x="80"/>
        <item h="1" x="173"/>
        <item h="1" x="297"/>
        <item x="364"/>
        <item h="1" x="132"/>
        <item h="1" x="218"/>
        <item h="1" x="256"/>
        <item h="1" x="322"/>
        <item h="1" x="150"/>
        <item h="1" x="5"/>
        <item h="1" x="299"/>
        <item x="356"/>
        <item h="1" x="109"/>
        <item h="1" x="257"/>
        <item h="1" x="307"/>
        <item h="1" x="36"/>
        <item h="1" x="52"/>
        <item x="376"/>
        <item h="1" x="82"/>
        <item x="351"/>
        <item h="1" x="98"/>
        <item h="1" x="29"/>
        <item h="1" x="99"/>
        <item x="368"/>
        <item h="1" x="250"/>
        <item h="1" x="9"/>
        <item h="1" x="370"/>
        <item h="1" x="313"/>
        <item h="1" x="328"/>
        <item h="1" x="43"/>
        <item h="1" x="32"/>
        <item h="1" x="177"/>
        <item h="1" x="65"/>
        <item h="1" x="316"/>
        <item h="1" x="105"/>
        <item h="1" x="329"/>
        <item h="1" x="233"/>
        <item h="1" x="324"/>
        <item h="1" x="94"/>
        <item h="1" x="310"/>
        <item h="1" x="343"/>
        <item h="1" x="346"/>
        <item h="1" x="117"/>
        <item h="1" x="113"/>
        <item h="1" x="280"/>
        <item h="1" x="7"/>
        <item h="1" x="258"/>
        <item h="1" x="46"/>
        <item h="1" x="249"/>
        <item h="1" x="225"/>
        <item h="1" x="76"/>
        <item h="1" x="314"/>
        <item x="363"/>
        <item h="1" x="264"/>
        <item h="1" x="152"/>
        <item h="1" x="210"/>
        <item h="1" x="139"/>
        <item h="1" x="108"/>
        <item x="381"/>
        <item h="1" x="389"/>
        <item h="1" x="311"/>
        <item h="1" x="112"/>
        <item h="1" x="205"/>
        <item h="1" x="276"/>
        <item h="1" x="298"/>
        <item h="1" x="259"/>
        <item h="1" x="309"/>
        <item h="1" x="181"/>
        <item h="1" x="242"/>
        <item x="377"/>
        <item h="1" x="103"/>
        <item x="371"/>
        <item h="1" x="170"/>
        <item h="1" x="56"/>
        <item h="1" x="294"/>
        <item h="1" x="209"/>
        <item h="1" x="288"/>
        <item h="1" x="243"/>
        <item x="374"/>
        <item h="1" x="93"/>
        <item h="1" x="97"/>
        <item x="387"/>
        <item h="1" x="278"/>
        <item x="355"/>
        <item h="1" x="304"/>
        <item h="1" x="88"/>
        <item h="1" x="61"/>
        <item h="1" x="212"/>
        <item h="1" x="191"/>
        <item h="1" x="47"/>
        <item x="362"/>
        <item x="392"/>
        <item x="366"/>
        <item h="1" x="244"/>
        <item h="1" x="171"/>
        <item h="1" x="157"/>
        <item h="1" x="6"/>
        <item h="1" x="279"/>
        <item h="1" x="78"/>
        <item h="1" x="131"/>
        <item h="1" x="245"/>
        <item h="1" x="271"/>
        <item h="1" x="0"/>
        <item h="1" x="64"/>
        <item h="1" x="50"/>
        <item h="1" x="201"/>
        <item h="1" x="116"/>
        <item h="1" x="334"/>
        <item h="1" x="114"/>
        <item h="1" x="216"/>
        <item h="1" x="161"/>
        <item x="378"/>
        <item h="1" x="123"/>
        <item h="1" x="140"/>
        <item h="1" x="81"/>
        <item h="1" x="23"/>
        <item h="1" x="26"/>
        <item h="1" x="220"/>
        <item h="1" x="305"/>
        <item h="1" x="339"/>
        <item x="386"/>
        <item h="1" x="163"/>
        <item x="385"/>
        <item h="1" x="124"/>
        <item x="361"/>
        <item h="1" x="41"/>
        <item h="1" x="341"/>
        <item h="1" x="206"/>
        <item x="391"/>
        <item h="1" x="330"/>
        <item h="1" x="72"/>
        <item h="1" x="369"/>
        <item h="1" x="195"/>
        <item h="1" x="178"/>
        <item h="1" x="126"/>
        <item h="1" x="54"/>
        <item h="1" x="49"/>
        <item h="1" x="79"/>
        <item h="1" x="247"/>
        <item h="1" x="11"/>
        <item h="1" x="253"/>
        <item h="1" x="221"/>
        <item h="1" x="193"/>
        <item h="1" x="197"/>
        <item h="1" x="166"/>
        <item h="1" x="143"/>
        <item h="1" x="96"/>
        <item x="373"/>
        <item h="1" x="192"/>
        <item h="1" x="293"/>
        <item x="388"/>
        <item h="1" x="118"/>
        <item h="1" x="238"/>
        <item h="1" x="308"/>
        <item h="1" x="135"/>
        <item h="1" x="158"/>
        <item h="1" x="268"/>
        <item h="1" x="149"/>
        <item h="1" x="85"/>
        <item h="1" x="284"/>
        <item x="379"/>
        <item h="1" x="172"/>
        <item h="1" x="269"/>
        <item h="1" x="129"/>
        <item h="1" x="325"/>
        <item x="383"/>
        <item h="1" x="312"/>
        <item h="1" x="175"/>
        <item h="1" x="228"/>
        <item h="1" x="237"/>
        <item h="1" x="263"/>
        <item h="1" x="69"/>
        <item h="1" x="55"/>
        <item x="372"/>
        <item h="1" x="133"/>
        <item h="1" x="283"/>
        <item h="1" x="196"/>
        <item h="1" x="306"/>
        <item h="1" x="186"/>
        <item h="1" x="219"/>
        <item h="1" x="10"/>
        <item h="1" x="147"/>
        <item h="1" x="115"/>
        <item h="1" x="151"/>
        <item h="1" x="262"/>
        <item h="1" x="317"/>
        <item h="1" x="83"/>
        <item h="1" x="302"/>
        <item x="380"/>
        <item h="1" x="89"/>
        <item h="1" x="286"/>
        <item h="1" x="345"/>
        <item h="1" x="384"/>
        <item h="1" x="203"/>
        <item h="1" x="77"/>
        <item h="1" x="66"/>
        <item h="1" x="176"/>
        <item h="1" x="231"/>
        <item h="1" x="111"/>
        <item h="1" x="338"/>
        <item h="1" x="2"/>
        <item h="1" x="350"/>
        <item h="1" x="290"/>
        <item x="360"/>
        <item h="1" x="127"/>
        <item h="1" x="281"/>
        <item h="1" x="95"/>
        <item h="1" x="229"/>
        <item h="1" x="160"/>
        <item h="1" x="190"/>
        <item h="1" x="226"/>
        <item h="1" x="180"/>
        <item h="1" x="272"/>
        <item h="1" x="53"/>
        <item h="1" x="224"/>
        <item h="1" x="51"/>
        <item h="1" x="155"/>
        <item h="1" x="375"/>
        <item h="1" x="104"/>
        <item h="1" x="38"/>
        <item h="1" x="101"/>
        <item h="1" x="295"/>
        <item h="1" x="68"/>
        <item h="1" x="167"/>
        <item h="1" x="45"/>
        <item h="1" x="251"/>
        <item h="1" x="285"/>
        <item h="1" x="333"/>
        <item h="1" x="267"/>
        <item h="1" x="33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635">
        <item x="403"/>
        <item x="265"/>
        <item x="511"/>
        <item x="449"/>
        <item x="408"/>
        <item x="281"/>
        <item x="455"/>
        <item x="152"/>
        <item x="80"/>
        <item x="238"/>
        <item x="619"/>
        <item x="473"/>
        <item x="16"/>
        <item x="363"/>
        <item x="420"/>
        <item x="335"/>
        <item x="562"/>
        <item x="34"/>
        <item x="292"/>
        <item x="87"/>
        <item x="304"/>
        <item x="587"/>
        <item x="95"/>
        <item x="371"/>
        <item x="220"/>
        <item x="221"/>
        <item x="404"/>
        <item x="30"/>
        <item x="298"/>
        <item x="563"/>
        <item x="37"/>
        <item x="0"/>
        <item x="480"/>
        <item x="330"/>
        <item x="47"/>
        <item x="174"/>
        <item x="185"/>
        <item x="122"/>
        <item x="148"/>
        <item x="476"/>
        <item x="1"/>
        <item x="138"/>
        <item x="615"/>
        <item x="89"/>
        <item x="236"/>
        <item x="596"/>
        <item x="211"/>
        <item x="7"/>
        <item x="162"/>
        <item x="133"/>
        <item x="110"/>
        <item x="565"/>
        <item x="508"/>
        <item x="305"/>
        <item x="435"/>
        <item x="469"/>
        <item x="530"/>
        <item x="391"/>
        <item x="494"/>
        <item x="445"/>
        <item x="96"/>
        <item x="380"/>
        <item x="203"/>
        <item x="46"/>
        <item x="178"/>
        <item x="434"/>
        <item x="184"/>
        <item x="256"/>
        <item x="346"/>
        <item x="40"/>
        <item x="23"/>
        <item x="520"/>
        <item x="416"/>
        <item x="471"/>
        <item x="286"/>
        <item x="92"/>
        <item x="310"/>
        <item x="142"/>
        <item x="407"/>
        <item x="428"/>
        <item x="177"/>
        <item x="385"/>
        <item x="570"/>
        <item x="417"/>
        <item x="532"/>
        <item x="246"/>
        <item x="71"/>
        <item x="340"/>
        <item x="283"/>
        <item x="60"/>
        <item x="353"/>
        <item x="317"/>
        <item x="342"/>
        <item x="195"/>
        <item x="83"/>
        <item x="533"/>
        <item x="295"/>
        <item x="331"/>
        <item x="172"/>
        <item x="77"/>
        <item x="557"/>
        <item x="514"/>
        <item x="199"/>
        <item x="318"/>
        <item x="169"/>
        <item x="253"/>
        <item x="328"/>
        <item x="550"/>
        <item x="200"/>
        <item x="448"/>
        <item x="509"/>
        <item x="378"/>
        <item x="588"/>
        <item x="377"/>
        <item x="383"/>
        <item x="44"/>
        <item x="250"/>
        <item x="462"/>
        <item x="326"/>
        <item x="536"/>
        <item x="375"/>
        <item x="84"/>
        <item x="361"/>
        <item x="159"/>
        <item x="459"/>
        <item x="51"/>
        <item x="297"/>
        <item x="29"/>
        <item x="280"/>
        <item x="126"/>
        <item x="14"/>
        <item x="183"/>
        <item x="99"/>
        <item x="483"/>
        <item x="460"/>
        <item x="400"/>
        <item x="119"/>
        <item x="75"/>
        <item x="406"/>
        <item x="539"/>
        <item x="559"/>
        <item x="258"/>
        <item x="150"/>
        <item x="464"/>
        <item x="624"/>
        <item x="440"/>
        <item x="139"/>
        <item x="552"/>
        <item x="109"/>
        <item x="76"/>
        <item x="42"/>
        <item x="39"/>
        <item x="240"/>
        <item x="191"/>
        <item x="395"/>
        <item x="8"/>
        <item x="207"/>
        <item x="535"/>
        <item x="173"/>
        <item x="214"/>
        <item x="424"/>
        <item x="549"/>
        <item x="411"/>
        <item x="321"/>
        <item x="285"/>
        <item x="45"/>
        <item x="421"/>
        <item x="537"/>
        <item x="252"/>
        <item x="468"/>
        <item x="315"/>
        <item x="208"/>
        <item x="463"/>
        <item x="3"/>
        <item x="196"/>
        <item x="479"/>
        <item x="613"/>
        <item x="125"/>
        <item x="503"/>
        <item x="12"/>
        <item x="606"/>
        <item x="245"/>
        <item x="284"/>
        <item x="216"/>
        <item x="422"/>
        <item x="329"/>
        <item x="149"/>
        <item x="582"/>
        <item x="599"/>
        <item x="261"/>
        <item x="489"/>
        <item x="270"/>
        <item x="352"/>
        <item x="5"/>
        <item x="472"/>
        <item x="446"/>
        <item x="531"/>
        <item x="241"/>
        <item x="94"/>
        <item x="442"/>
        <item x="254"/>
        <item x="368"/>
        <item x="33"/>
        <item x="263"/>
        <item x="414"/>
        <item x="101"/>
        <item x="55"/>
        <item x="293"/>
        <item x="320"/>
        <item x="374"/>
        <item x="228"/>
        <item x="610"/>
        <item x="291"/>
        <item x="204"/>
        <item x="273"/>
        <item x="529"/>
        <item x="209"/>
        <item x="230"/>
        <item x="144"/>
        <item x="160"/>
        <item x="623"/>
        <item x="277"/>
        <item x="218"/>
        <item x="35"/>
        <item x="157"/>
        <item x="355"/>
        <item x="502"/>
        <item x="190"/>
        <item x="107"/>
        <item x="266"/>
        <item x="111"/>
        <item x="247"/>
        <item x="418"/>
        <item x="439"/>
        <item x="425"/>
        <item x="591"/>
        <item x="301"/>
        <item x="516"/>
        <item x="186"/>
        <item x="182"/>
        <item x="343"/>
        <item x="482"/>
        <item x="187"/>
        <item x="594"/>
        <item x="19"/>
        <item x="402"/>
        <item x="358"/>
        <item x="120"/>
        <item x="127"/>
        <item x="630"/>
        <item x="147"/>
        <item x="543"/>
        <item x="322"/>
        <item x="296"/>
        <item x="518"/>
        <item x="136"/>
        <item x="521"/>
        <item x="487"/>
        <item x="500"/>
        <item x="50"/>
        <item x="541"/>
        <item x="153"/>
        <item x="262"/>
        <item x="576"/>
        <item x="390"/>
        <item x="85"/>
        <item x="78"/>
        <item x="24"/>
        <item x="9"/>
        <item x="339"/>
        <item x="324"/>
        <item x="65"/>
        <item x="28"/>
        <item x="179"/>
        <item x="219"/>
        <item x="43"/>
        <item x="161"/>
        <item x="515"/>
        <item x="629"/>
        <item x="41"/>
        <item x="602"/>
        <item x="338"/>
        <item x="129"/>
        <item x="461"/>
        <item x="269"/>
        <item x="17"/>
        <item x="302"/>
        <item x="423"/>
        <item x="212"/>
        <item x="431"/>
        <item x="359"/>
        <item x="413"/>
        <item x="365"/>
        <item x="118"/>
        <item x="11"/>
        <item x="128"/>
        <item x="97"/>
        <item x="72"/>
        <item x="486"/>
        <item x="10"/>
        <item x="551"/>
        <item x="354"/>
        <item x="497"/>
        <item x="519"/>
        <item x="311"/>
        <item x="481"/>
        <item x="57"/>
        <item x="564"/>
        <item x="510"/>
        <item x="143"/>
        <item x="373"/>
        <item x="367"/>
        <item x="158"/>
        <item x="540"/>
        <item x="180"/>
        <item x="100"/>
        <item x="401"/>
        <item x="336"/>
        <item x="526"/>
        <item x="18"/>
        <item x="132"/>
        <item x="617"/>
        <item x="542"/>
        <item x="307"/>
        <item x="52"/>
        <item x="237"/>
        <item x="622"/>
        <item x="58"/>
        <item x="608"/>
        <item x="198"/>
        <item x="197"/>
        <item x="249"/>
        <item x="333"/>
        <item x="507"/>
        <item x="290"/>
        <item x="589"/>
        <item x="194"/>
        <item x="124"/>
        <item x="259"/>
        <item x="438"/>
        <item x="103"/>
        <item x="164"/>
        <item x="74"/>
        <item x="163"/>
        <item x="224"/>
        <item x="466"/>
        <item x="294"/>
        <item x="257"/>
        <item x="282"/>
        <item x="447"/>
        <item x="63"/>
        <item x="546"/>
        <item x="202"/>
        <item x="556"/>
        <item x="226"/>
        <item x="498"/>
        <item x="370"/>
        <item x="67"/>
        <item x="430"/>
        <item x="566"/>
        <item x="278"/>
        <item x="626"/>
        <item x="154"/>
        <item x="213"/>
        <item x="350"/>
        <item x="170"/>
        <item x="49"/>
        <item x="341"/>
        <item x="362"/>
        <item x="176"/>
        <item x="244"/>
        <item x="496"/>
        <item x="394"/>
        <item x="432"/>
        <item x="271"/>
        <item x="54"/>
        <item x="316"/>
        <item x="225"/>
        <item x="574"/>
        <item x="105"/>
        <item x="567"/>
        <item x="467"/>
        <item x="592"/>
        <item x="175"/>
        <item x="69"/>
        <item x="553"/>
        <item x="477"/>
        <item x="79"/>
        <item x="612"/>
        <item x="347"/>
        <item x="478"/>
        <item x="590"/>
        <item x="488"/>
        <item x="522"/>
        <item x="611"/>
        <item x="586"/>
        <item x="607"/>
        <item x="601"/>
        <item x="108"/>
        <item x="538"/>
        <item x="621"/>
        <item x="288"/>
        <item x="409"/>
        <item x="579"/>
        <item x="210"/>
        <item x="609"/>
        <item x="372"/>
        <item x="392"/>
        <item x="357"/>
        <item x="493"/>
        <item x="260"/>
        <item x="412"/>
        <item x="387"/>
        <item x="231"/>
        <item x="233"/>
        <item x="308"/>
        <item x="6"/>
        <item x="255"/>
        <item x="475"/>
        <item x="4"/>
        <item x="451"/>
        <item x="279"/>
        <item x="593"/>
        <item x="561"/>
        <item x="396"/>
        <item x="287"/>
        <item x="117"/>
        <item x="360"/>
        <item x="614"/>
        <item x="572"/>
        <item x="527"/>
        <item x="627"/>
        <item x="81"/>
        <item x="376"/>
        <item x="334"/>
        <item x="605"/>
        <item x="300"/>
        <item x="356"/>
        <item x="13"/>
        <item x="48"/>
        <item x="274"/>
        <item x="419"/>
        <item x="560"/>
        <item x="299"/>
        <item x="410"/>
        <item x="452"/>
        <item x="603"/>
        <item x="166"/>
        <item x="397"/>
        <item x="25"/>
        <item x="115"/>
        <item x="171"/>
        <item x="504"/>
        <item x="93"/>
        <item x="379"/>
        <item x="232"/>
        <item x="155"/>
        <item x="64"/>
        <item x="251"/>
        <item x="165"/>
        <item x="554"/>
        <item x="457"/>
        <item x="456"/>
        <item x="465"/>
        <item x="433"/>
        <item x="525"/>
        <item x="491"/>
        <item x="188"/>
        <item x="573"/>
        <item x="580"/>
        <item x="223"/>
        <item x="88"/>
        <item x="227"/>
        <item x="243"/>
        <item x="625"/>
        <item x="513"/>
        <item x="73"/>
        <item x="306"/>
        <item x="437"/>
        <item x="82"/>
        <item x="61"/>
        <item x="102"/>
        <item x="112"/>
        <item x="399"/>
        <item x="364"/>
        <item x="524"/>
        <item x="32"/>
        <item x="492"/>
        <item x="450"/>
        <item x="192"/>
        <item x="217"/>
        <item x="568"/>
        <item x="189"/>
        <item x="534"/>
        <item x="303"/>
        <item x="382"/>
        <item x="429"/>
        <item x="381"/>
        <item x="575"/>
        <item x="56"/>
        <item x="548"/>
        <item x="70"/>
        <item x="441"/>
        <item x="134"/>
        <item x="20"/>
        <item x="135"/>
        <item x="66"/>
        <item x="369"/>
        <item x="444"/>
        <item x="454"/>
        <item x="597"/>
        <item x="585"/>
        <item x="264"/>
        <item x="151"/>
        <item x="616"/>
        <item x="405"/>
        <item x="313"/>
        <item x="436"/>
        <item x="474"/>
        <item x="272"/>
        <item x="90"/>
        <item x="113"/>
        <item x="332"/>
        <item x="631"/>
        <item x="443"/>
        <item x="181"/>
        <item x="620"/>
        <item x="628"/>
        <item x="632"/>
        <item x="68"/>
        <item x="22"/>
        <item x="205"/>
        <item x="389"/>
        <item x="415"/>
        <item x="458"/>
        <item x="523"/>
        <item x="506"/>
        <item x="484"/>
        <item x="490"/>
        <item x="168"/>
        <item x="427"/>
        <item x="393"/>
        <item x="21"/>
        <item x="15"/>
        <item x="505"/>
        <item x="544"/>
        <item x="569"/>
        <item x="140"/>
        <item x="600"/>
        <item x="426"/>
        <item x="275"/>
        <item x="146"/>
        <item x="167"/>
        <item x="558"/>
        <item x="604"/>
        <item x="386"/>
        <item x="229"/>
        <item x="453"/>
        <item x="314"/>
        <item x="581"/>
        <item x="27"/>
        <item x="555"/>
        <item x="517"/>
        <item x="104"/>
        <item x="351"/>
        <item x="595"/>
        <item x="137"/>
        <item x="38"/>
        <item x="86"/>
        <item x="2"/>
        <item x="571"/>
        <item x="388"/>
        <item x="131"/>
        <item x="156"/>
        <item x="349"/>
        <item x="242"/>
        <item x="633"/>
        <item x="98"/>
        <item x="366"/>
        <item x="528"/>
        <item x="234"/>
        <item x="325"/>
        <item x="31"/>
        <item x="512"/>
        <item x="116"/>
        <item x="348"/>
        <item x="319"/>
        <item x="323"/>
        <item x="312"/>
        <item x="222"/>
        <item x="106"/>
        <item x="344"/>
        <item x="345"/>
        <item x="91"/>
        <item x="578"/>
        <item x="235"/>
        <item x="62"/>
        <item x="384"/>
        <item x="495"/>
        <item x="53"/>
        <item x="201"/>
        <item x="141"/>
        <item x="130"/>
        <item x="215"/>
        <item x="206"/>
        <item x="36"/>
        <item x="618"/>
        <item x="598"/>
        <item x="577"/>
        <item x="485"/>
        <item x="398"/>
        <item x="114"/>
        <item x="499"/>
        <item x="123"/>
        <item x="145"/>
        <item x="470"/>
        <item x="276"/>
        <item x="337"/>
        <item x="583"/>
        <item x="59"/>
        <item x="26"/>
        <item x="121"/>
        <item x="327"/>
        <item x="547"/>
        <item x="289"/>
        <item x="268"/>
        <item x="545"/>
        <item x="267"/>
        <item x="193"/>
        <item x="239"/>
        <item x="248"/>
        <item x="584"/>
        <item x="309"/>
        <item x="50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s>
  <rowFields count="1">
    <field x="1"/>
  </rowFields>
  <rowItems count="37">
    <i>
      <x v="241"/>
    </i>
    <i>
      <x v="351"/>
    </i>
    <i>
      <x v="274"/>
    </i>
    <i>
      <x v="64"/>
    </i>
    <i>
      <x v="283"/>
    </i>
    <i>
      <x v="186"/>
    </i>
    <i>
      <x v="291"/>
    </i>
    <i>
      <x v="221"/>
    </i>
    <i>
      <x v="310"/>
    </i>
    <i>
      <x v="122"/>
    </i>
    <i>
      <x v="313"/>
    </i>
    <i>
      <x v="45"/>
    </i>
    <i>
      <x v="328"/>
    </i>
    <i>
      <x v="215"/>
    </i>
    <i>
      <x v="336"/>
    </i>
    <i>
      <x v="234"/>
    </i>
    <i>
      <x v="255"/>
    </i>
    <i>
      <x v="148"/>
    </i>
    <i>
      <x v="12"/>
    </i>
    <i>
      <x v="285"/>
    </i>
    <i>
      <x v="244"/>
    </i>
    <i>
      <x v="287"/>
    </i>
    <i>
      <x v="253"/>
    </i>
    <i>
      <x v="174"/>
    </i>
    <i>
      <x v="366"/>
    </i>
    <i>
      <x v="180"/>
    </i>
    <i>
      <x v="246"/>
    </i>
    <i>
      <x v="323"/>
    </i>
    <i>
      <x v="63"/>
    </i>
    <i>
      <x v="105"/>
    </i>
    <i>
      <x v="254"/>
    </i>
    <i>
      <x v="116"/>
    </i>
    <i>
      <x v="166"/>
    </i>
    <i>
      <x v="182"/>
    </i>
    <i>
      <x v="111"/>
    </i>
    <i>
      <x v="232"/>
    </i>
    <i t="grand">
      <x/>
    </i>
  </rowItems>
  <colItems count="1">
    <i/>
  </colItems>
  <dataFields count="1">
    <dataField name="Count of Mentee" fld="1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ntor" xr10:uid="{D8B25ECB-4F55-405F-97BE-93EE304B4D2F}" sourceName="Mentor">
  <pivotTables>
    <pivotTable tabId="2" name="PivotTable1"/>
  </pivotTables>
  <data>
    <tabular pivotCacheId="1997979523">
      <items count="393">
        <i x="86"/>
        <i x="15"/>
        <i x="199"/>
        <i x="274"/>
        <i x="287"/>
        <i x="200"/>
        <i x="12"/>
        <i x="145"/>
        <i x="168"/>
        <i x="73"/>
        <i x="92"/>
        <i x="100"/>
        <i x="390" s="1"/>
        <i x="102"/>
        <i x="60"/>
        <i x="122"/>
        <i x="217"/>
        <i x="138"/>
        <i x="235"/>
        <i x="37"/>
        <i x="321"/>
        <i x="340"/>
        <i x="184"/>
        <i x="148"/>
        <i x="327"/>
        <i x="35"/>
        <i x="62"/>
        <i x="336"/>
        <i x="165"/>
        <i x="260"/>
        <i x="213"/>
        <i x="30"/>
        <i x="84"/>
        <i x="337"/>
        <i x="44"/>
        <i x="275"/>
        <i x="63"/>
        <i x="367"/>
        <i x="48"/>
        <i x="1"/>
        <i x="71"/>
        <i x="141"/>
        <i x="153"/>
        <i x="91"/>
        <i x="144"/>
        <i x="352" s="1"/>
        <i x="248"/>
        <i x="208"/>
        <i x="323"/>
        <i x="31"/>
        <i x="159"/>
        <i x="273"/>
        <i x="90"/>
        <i x="326"/>
        <i x="146"/>
        <i x="67"/>
        <i x="34"/>
        <i x="137"/>
        <i x="292"/>
        <i x="234"/>
        <i x="241"/>
        <i x="25"/>
        <i x="75"/>
        <i x="353" s="1"/>
        <i x="382" s="1"/>
        <i x="24"/>
        <i x="222"/>
        <i x="156"/>
        <i x="348"/>
        <i x="42"/>
        <i x="202"/>
        <i x="18"/>
        <i x="240"/>
        <i x="110"/>
        <i x="17"/>
        <i x="239"/>
        <i x="266"/>
        <i x="211"/>
        <i x="301"/>
        <i x="296"/>
        <i x="87"/>
        <i x="332"/>
        <i x="39"/>
        <i x="246"/>
        <i x="59"/>
        <i x="270"/>
        <i x="70"/>
        <i x="128"/>
        <i x="13"/>
        <i x="255"/>
        <i x="179"/>
        <i x="14"/>
        <i x="125"/>
        <i x="344"/>
        <i x="130"/>
        <i x="232"/>
        <i x="303"/>
        <i x="347"/>
        <i x="40"/>
        <i x="33"/>
        <i x="136"/>
        <i x="19"/>
        <i x="207"/>
        <i x="198"/>
        <i x="107"/>
        <i x="359" s="1"/>
        <i x="188"/>
        <i x="162"/>
        <i x="318"/>
        <i x="265"/>
        <i x="20"/>
        <i x="354" s="1"/>
        <i x="223"/>
        <i x="315"/>
        <i x="189"/>
        <i x="16"/>
        <i x="365" s="1"/>
        <i x="27"/>
        <i x="28"/>
        <i x="174"/>
        <i x="282"/>
        <i x="21"/>
        <i x="357" s="1"/>
        <i x="154"/>
        <i x="230"/>
        <i x="119"/>
        <i x="349"/>
        <i x="261"/>
        <i x="204"/>
        <i x="227"/>
        <i x="214"/>
        <i x="215"/>
        <i x="120"/>
        <i x="194"/>
        <i x="187"/>
        <i x="3"/>
        <i x="185"/>
        <i x="106"/>
        <i x="252"/>
        <i x="254"/>
        <i x="289"/>
        <i x="22"/>
        <i x="164"/>
        <i x="169"/>
        <i x="142"/>
        <i x="291"/>
        <i x="8"/>
        <i x="319"/>
        <i x="358" s="1"/>
        <i x="300"/>
        <i x="4"/>
        <i x="342"/>
        <i x="58"/>
        <i x="57"/>
        <i x="320"/>
        <i x="277"/>
        <i x="182"/>
        <i x="134"/>
        <i x="121"/>
        <i x="74"/>
        <i x="331"/>
        <i x="183"/>
        <i x="236"/>
        <i x="80"/>
        <i x="173"/>
        <i x="297"/>
        <i x="364" s="1"/>
        <i x="132"/>
        <i x="218"/>
        <i x="256"/>
        <i x="322"/>
        <i x="150"/>
        <i x="5"/>
        <i x="299"/>
        <i x="356" s="1"/>
        <i x="109"/>
        <i x="257"/>
        <i x="307"/>
        <i x="36"/>
        <i x="52"/>
        <i x="376" s="1"/>
        <i x="82"/>
        <i x="351" s="1"/>
        <i x="98"/>
        <i x="29"/>
        <i x="99"/>
        <i x="368" s="1"/>
        <i x="250"/>
        <i x="9"/>
        <i x="370"/>
        <i x="313"/>
        <i x="328"/>
        <i x="43"/>
        <i x="32"/>
        <i x="177"/>
        <i x="65"/>
        <i x="316"/>
        <i x="105"/>
        <i x="329"/>
        <i x="233"/>
        <i x="324"/>
        <i x="94"/>
        <i x="310"/>
        <i x="343"/>
        <i x="346"/>
        <i x="117"/>
        <i x="113"/>
        <i x="280"/>
        <i x="7"/>
        <i x="258"/>
        <i x="46"/>
        <i x="249"/>
        <i x="225"/>
        <i x="76"/>
        <i x="314"/>
        <i x="363" s="1"/>
        <i x="264"/>
        <i x="152"/>
        <i x="210"/>
        <i x="139"/>
        <i x="108"/>
        <i x="381" s="1"/>
        <i x="389"/>
        <i x="311"/>
        <i x="112"/>
        <i x="205"/>
        <i x="276"/>
        <i x="298"/>
        <i x="259"/>
        <i x="309"/>
        <i x="181"/>
        <i x="242"/>
        <i x="377" s="1"/>
        <i x="103"/>
        <i x="371" s="1"/>
        <i x="170"/>
        <i x="56"/>
        <i x="294"/>
        <i x="209"/>
        <i x="288"/>
        <i x="243"/>
        <i x="374" s="1"/>
        <i x="93"/>
        <i x="97"/>
        <i x="387" s="1"/>
        <i x="278"/>
        <i x="355" s="1"/>
        <i x="304"/>
        <i x="88"/>
        <i x="61"/>
        <i x="212"/>
        <i x="191"/>
        <i x="47"/>
        <i x="362" s="1"/>
        <i x="392" s="1"/>
        <i x="366" s="1"/>
        <i x="244"/>
        <i x="171"/>
        <i x="157"/>
        <i x="6"/>
        <i x="279"/>
        <i x="78"/>
        <i x="131"/>
        <i x="245"/>
        <i x="271"/>
        <i x="0"/>
        <i x="64"/>
        <i x="50"/>
        <i x="201"/>
        <i x="116"/>
        <i x="334"/>
        <i x="114"/>
        <i x="216"/>
        <i x="161"/>
        <i x="378" s="1"/>
        <i x="123"/>
        <i x="140"/>
        <i x="81"/>
        <i x="23"/>
        <i x="26"/>
        <i x="220"/>
        <i x="305"/>
        <i x="339"/>
        <i x="386" s="1"/>
        <i x="163"/>
        <i x="385" s="1"/>
        <i x="124"/>
        <i x="361" s="1"/>
        <i x="41"/>
        <i x="341"/>
        <i x="206"/>
        <i x="391" s="1"/>
        <i x="330"/>
        <i x="72"/>
        <i x="369"/>
        <i x="195"/>
        <i x="178"/>
        <i x="126"/>
        <i x="54"/>
        <i x="49"/>
        <i x="79"/>
        <i x="247"/>
        <i x="11"/>
        <i x="253"/>
        <i x="221"/>
        <i x="193"/>
        <i x="197"/>
        <i x="166"/>
        <i x="143"/>
        <i x="96"/>
        <i x="373" s="1"/>
        <i x="192"/>
        <i x="293"/>
        <i x="388" s="1"/>
        <i x="118"/>
        <i x="238"/>
        <i x="308"/>
        <i x="135"/>
        <i x="158"/>
        <i x="268"/>
        <i x="149"/>
        <i x="85"/>
        <i x="284"/>
        <i x="379" s="1"/>
        <i x="172"/>
        <i x="269"/>
        <i x="129"/>
        <i x="325"/>
        <i x="383" s="1"/>
        <i x="312"/>
        <i x="175"/>
        <i x="228"/>
        <i x="237"/>
        <i x="263"/>
        <i x="69"/>
        <i x="55"/>
        <i x="372" s="1"/>
        <i x="133"/>
        <i x="283"/>
        <i x="196"/>
        <i x="306"/>
        <i x="186"/>
        <i x="219"/>
        <i x="10"/>
        <i x="147"/>
        <i x="115"/>
        <i x="151"/>
        <i x="262"/>
        <i x="317"/>
        <i x="83"/>
        <i x="302"/>
        <i x="380" s="1"/>
        <i x="89"/>
        <i x="286"/>
        <i x="345"/>
        <i x="384"/>
        <i x="203"/>
        <i x="77"/>
        <i x="66"/>
        <i x="176"/>
        <i x="231"/>
        <i x="111"/>
        <i x="338"/>
        <i x="2"/>
        <i x="350"/>
        <i x="290"/>
        <i x="360" s="1"/>
        <i x="127"/>
        <i x="281"/>
        <i x="95"/>
        <i x="229"/>
        <i x="160"/>
        <i x="190"/>
        <i x="226"/>
        <i x="180"/>
        <i x="272"/>
        <i x="53"/>
        <i x="224"/>
        <i x="51"/>
        <i x="155"/>
        <i x="375"/>
        <i x="104"/>
        <i x="38"/>
        <i x="101"/>
        <i x="295"/>
        <i x="68"/>
        <i x="167"/>
        <i x="45"/>
        <i x="251"/>
        <i x="285"/>
        <i x="333"/>
        <i x="267"/>
        <i x="335"/>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ntee" xr10:uid="{E56F1E01-4FCF-432F-B6BD-7248517FEA74}" sourceName="Mentee">
  <pivotTables>
    <pivotTable tabId="2" name="PivotTable1"/>
  </pivotTables>
  <data>
    <tabular pivotCacheId="1997979523">
      <items count="634">
        <i x="619" s="1"/>
        <i x="562" s="1"/>
        <i x="587" s="1"/>
        <i x="563" s="1"/>
        <i x="615" s="1"/>
        <i x="596" s="1"/>
        <i x="565" s="1"/>
        <i x="588" s="1"/>
        <i x="613" s="1"/>
        <i x="606" s="1"/>
        <i x="582" s="1"/>
        <i x="599" s="1"/>
        <i x="610" s="1"/>
        <i x="594" s="1"/>
        <i x="630" s="1"/>
        <i x="576" s="1"/>
        <i x="629" s="1"/>
        <i x="617" s="1"/>
        <i x="622" s="1"/>
        <i x="608" s="1"/>
        <i x="589" s="1"/>
        <i x="556" s="1"/>
        <i x="626" s="1"/>
        <i x="574" s="1"/>
        <i x="567" s="1"/>
        <i x="592" s="1"/>
        <i x="612" s="1"/>
        <i x="590" s="1"/>
        <i x="611" s="1"/>
        <i x="586" s="1"/>
        <i x="607" s="1"/>
        <i x="601" s="1"/>
        <i x="621" s="1"/>
        <i x="579" s="1"/>
        <i x="609" s="1"/>
        <i x="593" s="1"/>
        <i x="561" s="1"/>
        <i x="614" s="1"/>
        <i x="572" s="1"/>
        <i x="627" s="1"/>
        <i x="605" s="1"/>
        <i x="603" s="1"/>
        <i x="573" s="1"/>
        <i x="625" s="1"/>
        <i x="568" s="1"/>
        <i x="575" s="1"/>
        <i x="597" s="1"/>
        <i x="616" s="1"/>
        <i x="631" s="1"/>
        <i x="620" s="1"/>
        <i x="628" s="1"/>
        <i x="569" s="1"/>
        <i x="600" s="1"/>
        <i x="604" s="1"/>
        <i x="581" s="1"/>
        <i x="595" s="1"/>
        <i x="571" s="1"/>
        <i x="633" s="1"/>
        <i x="578" s="1"/>
        <i x="618" s="1"/>
        <i x="598" s="1"/>
        <i x="577" s="1"/>
        <i x="583" s="1"/>
        <i x="403" s="1" nd="1"/>
        <i x="265" s="1" nd="1"/>
        <i x="511" s="1" nd="1"/>
        <i x="449" s="1" nd="1"/>
        <i x="408" s="1" nd="1"/>
        <i x="281" s="1" nd="1"/>
        <i x="455" s="1" nd="1"/>
        <i x="152" s="1" nd="1"/>
        <i x="80" s="1" nd="1"/>
        <i x="238" s="1" nd="1"/>
        <i x="473" s="1" nd="1"/>
        <i x="16" s="1" nd="1"/>
        <i x="363" s="1" nd="1"/>
        <i x="420" s="1" nd="1"/>
        <i x="335" s="1" nd="1"/>
        <i x="34" s="1" nd="1"/>
        <i x="292" s="1" nd="1"/>
        <i x="87" s="1" nd="1"/>
        <i x="304" s="1" nd="1"/>
        <i x="95" s="1" nd="1"/>
        <i x="371" s="1" nd="1"/>
        <i x="220" s="1" nd="1"/>
        <i x="221" s="1" nd="1"/>
        <i x="404" s="1" nd="1"/>
        <i x="30" s="1" nd="1"/>
        <i x="298" s="1" nd="1"/>
        <i x="37" s="1" nd="1"/>
        <i x="0" s="1" nd="1"/>
        <i x="480" s="1" nd="1"/>
        <i x="330" s="1" nd="1"/>
        <i x="47" s="1" nd="1"/>
        <i x="174" s="1" nd="1"/>
        <i x="185" s="1" nd="1"/>
        <i x="122" s="1" nd="1"/>
        <i x="148" s="1" nd="1"/>
        <i x="476" s="1" nd="1"/>
        <i x="1" s="1" nd="1"/>
        <i x="138" s="1" nd="1"/>
        <i x="89" s="1" nd="1"/>
        <i x="236" s="1" nd="1"/>
        <i x="211" s="1" nd="1"/>
        <i x="7" s="1" nd="1"/>
        <i x="162" s="1" nd="1"/>
        <i x="133" s="1" nd="1"/>
        <i x="110" s="1" nd="1"/>
        <i x="508" s="1" nd="1"/>
        <i x="305" s="1" nd="1"/>
        <i x="435" s="1" nd="1"/>
        <i x="469" s="1" nd="1"/>
        <i x="530" s="1" nd="1"/>
        <i x="391" s="1" nd="1"/>
        <i x="494" s="1" nd="1"/>
        <i x="445" s="1" nd="1"/>
        <i x="96" s="1" nd="1"/>
        <i x="380" s="1" nd="1"/>
        <i x="203" s="1" nd="1"/>
        <i x="46" s="1" nd="1"/>
        <i x="178" s="1" nd="1"/>
        <i x="434" s="1" nd="1"/>
        <i x="184" s="1" nd="1"/>
        <i x="256" s="1" nd="1"/>
        <i x="346" s="1" nd="1"/>
        <i x="40" s="1" nd="1"/>
        <i x="23" s="1" nd="1"/>
        <i x="520" s="1" nd="1"/>
        <i x="416" s="1" nd="1"/>
        <i x="471" s="1" nd="1"/>
        <i x="286" s="1" nd="1"/>
        <i x="92" s="1" nd="1"/>
        <i x="310" s="1" nd="1"/>
        <i x="142" s="1" nd="1"/>
        <i x="407" s="1" nd="1"/>
        <i x="428" s="1" nd="1"/>
        <i x="177" s="1" nd="1"/>
        <i x="385" s="1" nd="1"/>
        <i x="570" s="1" nd="1"/>
        <i x="417" s="1" nd="1"/>
        <i x="532" s="1" nd="1"/>
        <i x="246" s="1" nd="1"/>
        <i x="71" s="1" nd="1"/>
        <i x="340" s="1" nd="1"/>
        <i x="283" s="1" nd="1"/>
        <i x="60" s="1" nd="1"/>
        <i x="353" s="1" nd="1"/>
        <i x="317" s="1" nd="1"/>
        <i x="342" s="1" nd="1"/>
        <i x="195" s="1" nd="1"/>
        <i x="83" s="1" nd="1"/>
        <i x="533" s="1" nd="1"/>
        <i x="295" s="1" nd="1"/>
        <i x="331" s="1" nd="1"/>
        <i x="172" s="1" nd="1"/>
        <i x="77" s="1" nd="1"/>
        <i x="557" s="1" nd="1"/>
        <i x="514" s="1" nd="1"/>
        <i x="199" s="1" nd="1"/>
        <i x="318" s="1" nd="1"/>
        <i x="169" s="1" nd="1"/>
        <i x="253" s="1" nd="1"/>
        <i x="328" s="1" nd="1"/>
        <i x="550" s="1" nd="1"/>
        <i x="200" s="1" nd="1"/>
        <i x="448" s="1" nd="1"/>
        <i x="509" s="1" nd="1"/>
        <i x="378" s="1" nd="1"/>
        <i x="377" s="1" nd="1"/>
        <i x="383" s="1" nd="1"/>
        <i x="44" s="1" nd="1"/>
        <i x="250" s="1" nd="1"/>
        <i x="462" s="1" nd="1"/>
        <i x="326" s="1" nd="1"/>
        <i x="536" s="1" nd="1"/>
        <i x="375" s="1" nd="1"/>
        <i x="84" s="1" nd="1"/>
        <i x="361" s="1" nd="1"/>
        <i x="159" s="1" nd="1"/>
        <i x="459" s="1" nd="1"/>
        <i x="51" s="1" nd="1"/>
        <i x="297" s="1" nd="1"/>
        <i x="29" s="1" nd="1"/>
        <i x="280" s="1" nd="1"/>
        <i x="126" s="1" nd="1"/>
        <i x="14" s="1" nd="1"/>
        <i x="183" s="1" nd="1"/>
        <i x="99" s="1" nd="1"/>
        <i x="483" s="1" nd="1"/>
        <i x="460" s="1" nd="1"/>
        <i x="400" s="1" nd="1"/>
        <i x="119" s="1" nd="1"/>
        <i x="75" s="1" nd="1"/>
        <i x="406" s="1" nd="1"/>
        <i x="539" s="1" nd="1"/>
        <i x="559" s="1" nd="1"/>
        <i x="258" s="1" nd="1"/>
        <i x="150" s="1" nd="1"/>
        <i x="464" s="1" nd="1"/>
        <i x="624" s="1" nd="1"/>
        <i x="440" s="1" nd="1"/>
        <i x="139" s="1" nd="1"/>
        <i x="552" s="1" nd="1"/>
        <i x="109" s="1" nd="1"/>
        <i x="76" s="1" nd="1"/>
        <i x="42" s="1" nd="1"/>
        <i x="39" s="1" nd="1"/>
        <i x="240" s="1" nd="1"/>
        <i x="191" s="1" nd="1"/>
        <i x="395" s="1" nd="1"/>
        <i x="8" s="1" nd="1"/>
        <i x="207" s="1" nd="1"/>
        <i x="535" s="1" nd="1"/>
        <i x="173" s="1" nd="1"/>
        <i x="214" s="1" nd="1"/>
        <i x="424" s="1" nd="1"/>
        <i x="549" s="1" nd="1"/>
        <i x="411" s="1" nd="1"/>
        <i x="321" s="1" nd="1"/>
        <i x="285" s="1" nd="1"/>
        <i x="45" s="1" nd="1"/>
        <i x="421" s="1" nd="1"/>
        <i x="537" s="1" nd="1"/>
        <i x="252" s="1" nd="1"/>
        <i x="468" s="1" nd="1"/>
        <i x="315" s="1" nd="1"/>
        <i x="208" s="1" nd="1"/>
        <i x="463" s="1" nd="1"/>
        <i x="3" s="1" nd="1"/>
        <i x="196" s="1" nd="1"/>
        <i x="479" s="1" nd="1"/>
        <i x="125" s="1" nd="1"/>
        <i x="503" s="1" nd="1"/>
        <i x="12" s="1" nd="1"/>
        <i x="245" s="1" nd="1"/>
        <i x="284" s="1" nd="1"/>
        <i x="216" s="1" nd="1"/>
        <i x="422" s="1" nd="1"/>
        <i x="329" s="1" nd="1"/>
        <i x="149" s="1" nd="1"/>
        <i x="261" s="1" nd="1"/>
        <i x="489" s="1" nd="1"/>
        <i x="270" s="1" nd="1"/>
        <i x="352" s="1" nd="1"/>
        <i x="5" s="1" nd="1"/>
        <i x="472" s="1" nd="1"/>
        <i x="446" s="1" nd="1"/>
        <i x="531" s="1" nd="1"/>
        <i x="241" s="1" nd="1"/>
        <i x="94" s="1" nd="1"/>
        <i x="442" s="1" nd="1"/>
        <i x="254" s="1" nd="1"/>
        <i x="368" s="1" nd="1"/>
        <i x="33" s="1" nd="1"/>
        <i x="263" s="1" nd="1"/>
        <i x="414" s="1" nd="1"/>
        <i x="101" s="1" nd="1"/>
        <i x="55" s="1" nd="1"/>
        <i x="293" s="1" nd="1"/>
        <i x="320" s="1" nd="1"/>
        <i x="374" s="1" nd="1"/>
        <i x="228" s="1" nd="1"/>
        <i x="291" s="1" nd="1"/>
        <i x="204" s="1" nd="1"/>
        <i x="273" s="1" nd="1"/>
        <i x="529" s="1" nd="1"/>
        <i x="209" s="1" nd="1"/>
        <i x="230" s="1" nd="1"/>
        <i x="144" s="1" nd="1"/>
        <i x="160" s="1" nd="1"/>
        <i x="623" s="1" nd="1"/>
        <i x="277" s="1" nd="1"/>
        <i x="218" s="1" nd="1"/>
        <i x="35" s="1" nd="1"/>
        <i x="157" s="1" nd="1"/>
        <i x="355" s="1" nd="1"/>
        <i x="502" s="1" nd="1"/>
        <i x="190" s="1" nd="1"/>
        <i x="107" s="1" nd="1"/>
        <i x="266" s="1" nd="1"/>
        <i x="111" s="1" nd="1"/>
        <i x="247" s="1" nd="1"/>
        <i x="418" s="1" nd="1"/>
        <i x="439" s="1" nd="1"/>
        <i x="425" s="1" nd="1"/>
        <i x="591" s="1" nd="1"/>
        <i x="301" s="1" nd="1"/>
        <i x="516" s="1" nd="1"/>
        <i x="186" s="1" nd="1"/>
        <i x="182" s="1" nd="1"/>
        <i x="343" s="1" nd="1"/>
        <i x="482" s="1" nd="1"/>
        <i x="187" s="1" nd="1"/>
        <i x="19" s="1" nd="1"/>
        <i x="402" s="1" nd="1"/>
        <i x="358" s="1" nd="1"/>
        <i x="120" s="1" nd="1"/>
        <i x="127" s="1" nd="1"/>
        <i x="147" s="1" nd="1"/>
        <i x="543" s="1" nd="1"/>
        <i x="322" s="1" nd="1"/>
        <i x="296" s="1" nd="1"/>
        <i x="518" s="1" nd="1"/>
        <i x="136" s="1" nd="1"/>
        <i x="521" s="1" nd="1"/>
        <i x="487" s="1" nd="1"/>
        <i x="500" s="1" nd="1"/>
        <i x="50" s="1" nd="1"/>
        <i x="541" s="1" nd="1"/>
        <i x="153" s="1" nd="1"/>
        <i x="262" s="1" nd="1"/>
        <i x="390" s="1" nd="1"/>
        <i x="85" s="1" nd="1"/>
        <i x="78" s="1" nd="1"/>
        <i x="24" s="1" nd="1"/>
        <i x="9" s="1" nd="1"/>
        <i x="339" s="1" nd="1"/>
        <i x="324" s="1" nd="1"/>
        <i x="65" s="1" nd="1"/>
        <i x="28" s="1" nd="1"/>
        <i x="179" s="1" nd="1"/>
        <i x="219" s="1" nd="1"/>
        <i x="43" s="1" nd="1"/>
        <i x="161" s="1" nd="1"/>
        <i x="515" s="1" nd="1"/>
        <i x="41" s="1" nd="1"/>
        <i x="602" s="1" nd="1"/>
        <i x="338" s="1" nd="1"/>
        <i x="129" s="1" nd="1"/>
        <i x="461" s="1" nd="1"/>
        <i x="269" s="1" nd="1"/>
        <i x="17" s="1" nd="1"/>
        <i x="302" s="1" nd="1"/>
        <i x="423" s="1" nd="1"/>
        <i x="212" s="1" nd="1"/>
        <i x="431" s="1" nd="1"/>
        <i x="359" s="1" nd="1"/>
        <i x="413" s="1" nd="1"/>
        <i x="365" s="1" nd="1"/>
        <i x="118" s="1" nd="1"/>
        <i x="11" s="1" nd="1"/>
        <i x="128" s="1" nd="1"/>
        <i x="97" s="1" nd="1"/>
        <i x="72" s="1" nd="1"/>
        <i x="486" s="1" nd="1"/>
        <i x="10" s="1" nd="1"/>
        <i x="551" s="1" nd="1"/>
        <i x="354" s="1" nd="1"/>
        <i x="497" s="1" nd="1"/>
        <i x="519" s="1" nd="1"/>
        <i x="311" s="1" nd="1"/>
        <i x="481" s="1" nd="1"/>
        <i x="57" s="1" nd="1"/>
        <i x="564" s="1" nd="1"/>
        <i x="510" s="1" nd="1"/>
        <i x="143" s="1" nd="1"/>
        <i x="373" s="1" nd="1"/>
        <i x="367" s="1" nd="1"/>
        <i x="158" s="1" nd="1"/>
        <i x="540" s="1" nd="1"/>
        <i x="180" s="1" nd="1"/>
        <i x="100" s="1" nd="1"/>
        <i x="401" s="1" nd="1"/>
        <i x="336" s="1" nd="1"/>
        <i x="526" s="1" nd="1"/>
        <i x="18" s="1" nd="1"/>
        <i x="132" s="1" nd="1"/>
        <i x="542" s="1" nd="1"/>
        <i x="307" s="1" nd="1"/>
        <i x="52" s="1" nd="1"/>
        <i x="237" s="1" nd="1"/>
        <i x="58" s="1" nd="1"/>
        <i x="198" s="1" nd="1"/>
        <i x="197" s="1" nd="1"/>
        <i x="249" s="1" nd="1"/>
        <i x="333" s="1" nd="1"/>
        <i x="507" s="1" nd="1"/>
        <i x="290" s="1" nd="1"/>
        <i x="194" s="1" nd="1"/>
        <i x="124" s="1" nd="1"/>
        <i x="259" s="1" nd="1"/>
        <i x="438" s="1" nd="1"/>
        <i x="103" s="1" nd="1"/>
        <i x="164" s="1" nd="1"/>
        <i x="74" s="1" nd="1"/>
        <i x="163" s="1" nd="1"/>
        <i x="224" s="1" nd="1"/>
        <i x="466" s="1" nd="1"/>
        <i x="294" s="1" nd="1"/>
        <i x="257" s="1" nd="1"/>
        <i x="282" s="1" nd="1"/>
        <i x="447" s="1" nd="1"/>
        <i x="63" s="1" nd="1"/>
        <i x="546" s="1" nd="1"/>
        <i x="202" s="1" nd="1"/>
        <i x="226" s="1" nd="1"/>
        <i x="498" s="1" nd="1"/>
        <i x="370" s="1" nd="1"/>
        <i x="67" s="1" nd="1"/>
        <i x="430" s="1" nd="1"/>
        <i x="566" s="1" nd="1"/>
        <i x="278" s="1" nd="1"/>
        <i x="154" s="1" nd="1"/>
        <i x="213" s="1" nd="1"/>
        <i x="350" s="1" nd="1"/>
        <i x="170" s="1" nd="1"/>
        <i x="49" s="1" nd="1"/>
        <i x="341" s="1" nd="1"/>
        <i x="362" s="1" nd="1"/>
        <i x="176" s="1" nd="1"/>
        <i x="244" s="1" nd="1"/>
        <i x="496" s="1" nd="1"/>
        <i x="394" s="1" nd="1"/>
        <i x="432" s="1" nd="1"/>
        <i x="271" s="1" nd="1"/>
        <i x="54" s="1" nd="1"/>
        <i x="316" s="1" nd="1"/>
        <i x="225" s="1" nd="1"/>
        <i x="105" s="1" nd="1"/>
        <i x="467" s="1" nd="1"/>
        <i x="175" s="1" nd="1"/>
        <i x="69" s="1" nd="1"/>
        <i x="553" s="1" nd="1"/>
        <i x="477" s="1" nd="1"/>
        <i x="79" s="1" nd="1"/>
        <i x="347" s="1" nd="1"/>
        <i x="478" s="1" nd="1"/>
        <i x="488" s="1" nd="1"/>
        <i x="522" s="1" nd="1"/>
        <i x="108" s="1" nd="1"/>
        <i x="538" s="1" nd="1"/>
        <i x="288" s="1" nd="1"/>
        <i x="409" s="1" nd="1"/>
        <i x="210" s="1" nd="1"/>
        <i x="372" s="1" nd="1"/>
        <i x="392" s="1" nd="1"/>
        <i x="357" s="1" nd="1"/>
        <i x="493" s="1" nd="1"/>
        <i x="260" s="1" nd="1"/>
        <i x="412" s="1" nd="1"/>
        <i x="387" s="1" nd="1"/>
        <i x="231" s="1" nd="1"/>
        <i x="233" s="1" nd="1"/>
        <i x="308" s="1" nd="1"/>
        <i x="6" s="1" nd="1"/>
        <i x="255" s="1" nd="1"/>
        <i x="475" s="1" nd="1"/>
        <i x="4" s="1" nd="1"/>
        <i x="451" s="1" nd="1"/>
        <i x="279" s="1" nd="1"/>
        <i x="396" s="1" nd="1"/>
        <i x="287" s="1" nd="1"/>
        <i x="117" s="1" nd="1"/>
        <i x="360" s="1" nd="1"/>
        <i x="527" s="1" nd="1"/>
        <i x="81" s="1" nd="1"/>
        <i x="376" s="1" nd="1"/>
        <i x="334" s="1" nd="1"/>
        <i x="300" s="1" nd="1"/>
        <i x="356" s="1" nd="1"/>
        <i x="13" s="1" nd="1"/>
        <i x="48" s="1" nd="1"/>
        <i x="274" s="1" nd="1"/>
        <i x="419" s="1" nd="1"/>
        <i x="560" s="1" nd="1"/>
        <i x="299" s="1" nd="1"/>
        <i x="410" s="1" nd="1"/>
        <i x="452" s="1" nd="1"/>
        <i x="166" s="1" nd="1"/>
        <i x="397" s="1" nd="1"/>
        <i x="25" s="1" nd="1"/>
        <i x="115" s="1" nd="1"/>
        <i x="171" s="1" nd="1"/>
        <i x="504" s="1" nd="1"/>
        <i x="93" s="1" nd="1"/>
        <i x="379" s="1" nd="1"/>
        <i x="232" s="1" nd="1"/>
        <i x="155" s="1" nd="1"/>
        <i x="64" s="1" nd="1"/>
        <i x="251" s="1" nd="1"/>
        <i x="165" s="1" nd="1"/>
        <i x="554" s="1" nd="1"/>
        <i x="457" s="1" nd="1"/>
        <i x="456" s="1" nd="1"/>
        <i x="465" s="1" nd="1"/>
        <i x="433" s="1" nd="1"/>
        <i x="525" s="1" nd="1"/>
        <i x="491" s="1" nd="1"/>
        <i x="188" s="1" nd="1"/>
        <i x="580" s="1" nd="1"/>
        <i x="223" s="1" nd="1"/>
        <i x="88" s="1" nd="1"/>
        <i x="227" s="1" nd="1"/>
        <i x="243" s="1" nd="1"/>
        <i x="513" s="1" nd="1"/>
        <i x="73" s="1" nd="1"/>
        <i x="306" s="1" nd="1"/>
        <i x="437" s="1" nd="1"/>
        <i x="82" s="1" nd="1"/>
        <i x="61" s="1" nd="1"/>
        <i x="102" s="1" nd="1"/>
        <i x="112" s="1" nd="1"/>
        <i x="399" s="1" nd="1"/>
        <i x="364" s="1" nd="1"/>
        <i x="524" s="1" nd="1"/>
        <i x="32" s="1" nd="1"/>
        <i x="492" s="1" nd="1"/>
        <i x="450" s="1" nd="1"/>
        <i x="192" s="1" nd="1"/>
        <i x="217" s="1" nd="1"/>
        <i x="189" s="1" nd="1"/>
        <i x="534" s="1" nd="1"/>
        <i x="303" s="1" nd="1"/>
        <i x="382" s="1" nd="1"/>
        <i x="429" s="1" nd="1"/>
        <i x="381" s="1" nd="1"/>
        <i x="56" s="1" nd="1"/>
        <i x="548" s="1" nd="1"/>
        <i x="70" s="1" nd="1"/>
        <i x="441" s="1" nd="1"/>
        <i x="134" s="1" nd="1"/>
        <i x="20" s="1" nd="1"/>
        <i x="135" s="1" nd="1"/>
        <i x="66" s="1" nd="1"/>
        <i x="369" s="1" nd="1"/>
        <i x="444" s="1" nd="1"/>
        <i x="454" s="1" nd="1"/>
        <i x="585" s="1" nd="1"/>
        <i x="264" s="1" nd="1"/>
        <i x="151" s="1" nd="1"/>
        <i x="405" s="1" nd="1"/>
        <i x="313" s="1" nd="1"/>
        <i x="436" s="1" nd="1"/>
        <i x="474" s="1" nd="1"/>
        <i x="272" s="1" nd="1"/>
        <i x="90" s="1" nd="1"/>
        <i x="113" s="1" nd="1"/>
        <i x="332" s="1" nd="1"/>
        <i x="443" s="1" nd="1"/>
        <i x="181" s="1" nd="1"/>
        <i x="632" s="1" nd="1"/>
        <i x="68" s="1" nd="1"/>
        <i x="22" s="1" nd="1"/>
        <i x="205" s="1" nd="1"/>
        <i x="389" s="1" nd="1"/>
        <i x="415" s="1" nd="1"/>
        <i x="458" s="1" nd="1"/>
        <i x="523" s="1" nd="1"/>
        <i x="506" s="1" nd="1"/>
        <i x="484" s="1" nd="1"/>
        <i x="490" s="1" nd="1"/>
        <i x="168" s="1" nd="1"/>
        <i x="427" s="1" nd="1"/>
        <i x="393" s="1" nd="1"/>
        <i x="21" s="1" nd="1"/>
        <i x="15" s="1" nd="1"/>
        <i x="505" s="1" nd="1"/>
        <i x="544" s="1" nd="1"/>
        <i x="140" s="1" nd="1"/>
        <i x="426" s="1" nd="1"/>
        <i x="275" s="1" nd="1"/>
        <i x="146" s="1" nd="1"/>
        <i x="167" s="1" nd="1"/>
        <i x="558" s="1" nd="1"/>
        <i x="386" s="1" nd="1"/>
        <i x="229" s="1" nd="1"/>
        <i x="453" s="1" nd="1"/>
        <i x="314" s="1" nd="1"/>
        <i x="27" s="1" nd="1"/>
        <i x="555" s="1" nd="1"/>
        <i x="517" s="1" nd="1"/>
        <i x="104" s="1" nd="1"/>
        <i x="351" s="1" nd="1"/>
        <i x="137" s="1" nd="1"/>
        <i x="38" s="1" nd="1"/>
        <i x="86" s="1" nd="1"/>
        <i x="2" s="1" nd="1"/>
        <i x="388" s="1" nd="1"/>
        <i x="131" s="1" nd="1"/>
        <i x="156" s="1" nd="1"/>
        <i x="349" s="1" nd="1"/>
        <i x="242" s="1" nd="1"/>
        <i x="98" s="1" nd="1"/>
        <i x="366" s="1" nd="1"/>
        <i x="528" s="1" nd="1"/>
        <i x="234" s="1" nd="1"/>
        <i x="325" s="1" nd="1"/>
        <i x="31" s="1" nd="1"/>
        <i x="512" s="1" nd="1"/>
        <i x="116" s="1" nd="1"/>
        <i x="348" s="1" nd="1"/>
        <i x="319" s="1" nd="1"/>
        <i x="323" s="1" nd="1"/>
        <i x="312" s="1" nd="1"/>
        <i x="222" s="1" nd="1"/>
        <i x="106" s="1" nd="1"/>
        <i x="344" s="1" nd="1"/>
        <i x="345" s="1" nd="1"/>
        <i x="91" s="1" nd="1"/>
        <i x="235" s="1" nd="1"/>
        <i x="62" s="1" nd="1"/>
        <i x="384" s="1" nd="1"/>
        <i x="495" s="1" nd="1"/>
        <i x="53" s="1" nd="1"/>
        <i x="201" s="1" nd="1"/>
        <i x="141" s="1" nd="1"/>
        <i x="130" s="1" nd="1"/>
        <i x="215" s="1" nd="1"/>
        <i x="206" s="1" nd="1"/>
        <i x="36" s="1" nd="1"/>
        <i x="485" s="1" nd="1"/>
        <i x="398" s="1" nd="1"/>
        <i x="114" s="1" nd="1"/>
        <i x="499" s="1" nd="1"/>
        <i x="123" s="1" nd="1"/>
        <i x="145" s="1" nd="1"/>
        <i x="470" s="1" nd="1"/>
        <i x="276" s="1" nd="1"/>
        <i x="337" s="1" nd="1"/>
        <i x="59" s="1" nd="1"/>
        <i x="26" s="1" nd="1"/>
        <i x="121" s="1" nd="1"/>
        <i x="327" s="1" nd="1"/>
        <i x="547" s="1" nd="1"/>
        <i x="289" s="1" nd="1"/>
        <i x="268" s="1" nd="1"/>
        <i x="545" s="1" nd="1"/>
        <i x="267" s="1" nd="1"/>
        <i x="193" s="1" nd="1"/>
        <i x="239" s="1" nd="1"/>
        <i x="248" s="1" nd="1"/>
        <i x="584" s="1" nd="1"/>
        <i x="309" s="1" nd="1"/>
        <i x="501"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 xr10:uid="{A0362CBF-D8BA-44AB-8D34-FFBE7E3D0CD6}" sourceName="Employee">
  <pivotTables>
    <pivotTable tabId="2" name="PivotTable2"/>
  </pivotTables>
  <data>
    <tabular pivotCacheId="219743354">
      <items count="902">
        <i x="412"/>
        <i x="886" s="1"/>
        <i x="87"/>
        <i x="370"/>
        <i x="435"/>
        <i x="465"/>
        <i x="715"/>
        <i x="328"/>
        <i x="76"/>
        <i x="675"/>
        <i x="29"/>
        <i x="188"/>
        <i x="739"/>
        <i x="536"/>
        <i x="136"/>
        <i x="721"/>
        <i x="35"/>
        <i x="562"/>
        <i x="784"/>
        <i x="822"/>
        <i x="593"/>
        <i x="879" s="1"/>
        <i x="670"/>
        <i x="385"/>
        <i x="695"/>
        <i x="280"/>
        <i x="679"/>
        <i x="343"/>
        <i x="472"/>
        <i x="376"/>
        <i x="692"/>
        <i x="231"/>
        <i x="157"/>
        <i x="423"/>
        <i x="819"/>
        <i x="737"/>
        <i x="714"/>
        <i x="633"/>
        <i x="604"/>
        <i x="567"/>
        <i x="218"/>
        <i x="351"/>
        <i x="66"/>
        <i x="444"/>
        <i x="384"/>
        <i x="149"/>
        <i x="312"/>
        <i x="436"/>
        <i x="18"/>
        <i x="678"/>
        <i x="823"/>
        <i x="609"/>
        <i x="454"/>
        <i x="637"/>
        <i x="557"/>
        <i x="19"/>
        <i x="640"/>
        <i x="459"/>
        <i x="758"/>
        <i x="178"/>
        <i x="502"/>
        <i x="170"/>
        <i x="303"/>
        <i x="400"/>
        <i x="147"/>
        <i x="1"/>
        <i x="191"/>
        <i x="8"/>
        <i x="505"/>
        <i x="461"/>
        <i x="91"/>
        <i x="541"/>
        <i x="645"/>
        <i x="708"/>
        <i x="527"/>
        <i x="747"/>
        <i x="474"/>
        <i x="428"/>
        <i x="3"/>
        <i x="67"/>
        <i x="852" s="1"/>
        <i x="294"/>
        <i x="511"/>
        <i x="556"/>
        <i x="411"/>
        <i x="282"/>
        <i x="127"/>
        <i x="642"/>
        <i x="201"/>
        <i x="138"/>
        <i x="4"/>
        <i x="56"/>
        <i x="479"/>
        <i x="122"/>
        <i x="211"/>
        <i x="301"/>
        <i x="341"/>
        <i x="812"/>
        <i x="233"/>
        <i x="168"/>
        <i x="5"/>
        <i x="22"/>
        <i x="418"/>
        <i x="260"/>
        <i x="512"/>
        <i x="448"/>
        <i x="129"/>
        <i x="698"/>
        <i x="399"/>
        <i x="13"/>
        <i x="634"/>
        <i x="123"/>
        <i x="342"/>
        <i x="797"/>
        <i x="413"/>
        <i x="372"/>
        <i x="11"/>
        <i x="291"/>
        <i x="491"/>
        <i x="485"/>
        <i x="203"/>
        <i x="414"/>
        <i x="864" s="1"/>
        <i x="869" s="1"/>
        <i x="779"/>
        <i x="469"/>
        <i x="106"/>
        <i x="786"/>
        <i x="276"/>
        <i x="359"/>
        <i x="791"/>
        <i x="898"/>
        <i x="311"/>
        <i x="639"/>
        <i x="447"/>
        <i x="682"/>
        <i x="115"/>
        <i x="270"/>
        <i x="794"/>
        <i x="150"/>
        <i x="196"/>
        <i x="424"/>
        <i x="125"/>
        <i x="677"/>
        <i x="273"/>
        <i x="718"/>
        <i x="251"/>
        <i x="799"/>
        <i x="857"/>
        <i x="636"/>
        <i x="192"/>
        <i x="855"/>
        <i x="173"/>
        <i x="363"/>
        <i x="859"/>
        <i x="48"/>
        <i x="538"/>
        <i x="646"/>
        <i x="222"/>
        <i x="350"/>
        <i x="74"/>
        <i x="73"/>
        <i x="166"/>
        <i x="152"/>
        <i x="194"/>
        <i x="783"/>
        <i x="490"/>
        <i x="441"/>
        <i x="299"/>
        <i x="719"/>
        <i x="498"/>
        <i x="304"/>
        <i x="654"/>
        <i x="107"/>
        <i x="496"/>
        <i x="722"/>
        <i x="467"/>
        <i x="533"/>
        <i x="519"/>
        <i x="88"/>
        <i x="333"/>
        <i x="900"/>
        <i x="699"/>
        <i x="142"/>
        <i x="315"/>
        <i x="530"/>
        <i x="815"/>
        <i x="727"/>
        <i x="327"/>
        <i x="667"/>
        <i x="189"/>
        <i x="475"/>
        <i x="539"/>
        <i x="768"/>
        <i x="172"/>
        <i x="52"/>
        <i x="501"/>
        <i x="389"/>
        <i x="198"/>
        <i x="143"/>
        <i x="716"/>
        <i x="705"/>
        <i x="227"/>
        <i x="443"/>
        <i x="160"/>
        <i x="242"/>
        <i x="862" s="1"/>
        <i x="0"/>
        <i x="688"/>
        <i x="262"/>
        <i x="288"/>
        <i x="216"/>
        <i x="463"/>
        <i x="269"/>
        <i x="9"/>
        <i x="104"/>
        <i x="462"/>
        <i x="140"/>
        <i x="114"/>
        <i x="891" s="1"/>
        <i x="378"/>
        <i x="255"/>
        <i x="482"/>
        <i x="283"/>
        <i x="437"/>
        <i x="787"/>
        <i x="811"/>
        <i x="803"/>
        <i x="740"/>
        <i x="720"/>
        <i x="850" s="1"/>
        <i x="146"/>
        <i x="337"/>
        <i x="420"/>
        <i x="207"/>
        <i x="792"/>
        <i x="761"/>
        <i x="186"/>
        <i x="263"/>
        <i x="504"/>
        <i x="842" s="1"/>
        <i x="357"/>
        <i x="759"/>
        <i x="772"/>
        <i x="584"/>
        <i x="244"/>
        <i x="404"/>
        <i x="433"/>
        <i x="478"/>
        <i x="326"/>
        <i x="422"/>
        <i x="246"/>
        <i x="254"/>
        <i x="94"/>
        <i x="728"/>
        <i x="68"/>
        <i x="382"/>
        <i x="638"/>
        <i x="415"/>
        <i x="810"/>
        <i x="575"/>
        <i x="686"/>
        <i x="308"/>
        <i x="20"/>
        <i x="97"/>
        <i x="154"/>
        <i x="47"/>
        <i x="764"/>
        <i x="793"/>
        <i x="116"/>
        <i x="86"/>
        <i x="195"/>
        <i x="543"/>
        <i x="789"/>
        <i x="849" s="1"/>
        <i x="316"/>
        <i x="651"/>
        <i x="880" s="1"/>
        <i x="77"/>
        <i x="27"/>
        <i x="546"/>
        <i x="763"/>
        <i x="734"/>
        <i x="367"/>
        <i x="225"/>
        <i x="75"/>
        <i x="137"/>
        <i x="558"/>
        <i x="594"/>
        <i x="495"/>
        <i x="866" s="1"/>
        <i x="625"/>
        <i x="542"/>
        <i x="165"/>
        <i x="835"/>
        <i x="34"/>
        <i x="684"/>
        <i x="775"/>
        <i x="356"/>
        <i x="760"/>
        <i x="570"/>
        <i x="647"/>
        <i x="338"/>
        <i x="307"/>
        <i x="406"/>
        <i x="816"/>
        <i x="674"/>
        <i x="573"/>
        <i x="285"/>
        <i x="24"/>
        <i x="416"/>
        <i x="352"/>
        <i x="525"/>
        <i x="753"/>
        <i x="487"/>
        <i x="615"/>
        <i x="434"/>
        <i x="101"/>
        <i x="417"/>
        <i x="579"/>
        <i x="298"/>
        <i x="212"/>
        <i x="553"/>
        <i x="606"/>
        <i x="323"/>
        <i x="595"/>
        <i x="275"/>
        <i x="394"/>
        <i x="431"/>
        <i x="340"/>
        <i x="851"/>
        <i x="598"/>
        <i x="662"/>
        <i x="181"/>
        <i x="805"/>
        <i x="419"/>
        <i x="374"/>
        <i x="402"/>
        <i x="613"/>
        <i x="690"/>
        <i x="583"/>
        <i x="182"/>
        <i x="673"/>
        <i x="118"/>
        <i x="885" s="1"/>
        <i x="230"/>
        <i x="296"/>
        <i x="560"/>
        <i x="272"/>
        <i x="863"/>
        <i x="321"/>
        <i x="331"/>
        <i x="899"/>
        <i x="32"/>
        <i x="605"/>
        <i x="510"/>
        <i x="199"/>
        <i x="121"/>
        <i x="383"/>
        <i x="515"/>
        <i x="689"/>
        <i x="15"/>
        <i x="439"/>
        <i x="37"/>
        <i x="591"/>
        <i x="78"/>
        <i x="180"/>
        <i x="846" s="1"/>
        <i x="252"/>
        <i x="70"/>
        <i x="103"/>
        <i x="119"/>
        <i x="717"/>
        <i x="355"/>
        <i x="184"/>
        <i x="324"/>
        <i x="518"/>
        <i x="780"/>
        <i x="290"/>
        <i x="617"/>
        <i x="624"/>
        <i x="837" s="1"/>
        <i x="219"/>
        <i x="529"/>
        <i x="33"/>
        <i x="754"/>
        <i x="513"/>
        <i x="156"/>
        <i x="261"/>
        <i x="450"/>
        <i x="83"/>
        <i x="712"/>
        <i x="873" s="1"/>
        <i x="58"/>
        <i x="131"/>
        <i x="26"/>
        <i x="388"/>
        <i x="623"/>
        <i x="483"/>
        <i x="884" s="1"/>
        <i x="878" s="1"/>
        <i x="481"/>
        <i x="99"/>
        <i x="344"/>
        <i x="635"/>
        <i x="284"/>
        <i x="79"/>
        <i x="516"/>
        <i x="769"/>
        <i x="895"/>
        <i x="643"/>
        <i x="238"/>
        <i x="41"/>
        <i x="358"/>
        <i x="571"/>
        <i x="537"/>
        <i x="523"/>
        <i x="563"/>
        <i x="85"/>
        <i x="139"/>
        <i x="430"/>
        <i x="245"/>
        <i x="277"/>
        <i x="508"/>
        <i x="268"/>
        <i x="349"/>
        <i x="590"/>
        <i x="725"/>
        <i x="175"/>
        <i x="237"/>
        <i x="360"/>
        <i x="650"/>
        <i x="524"/>
        <i x="664"/>
        <i x="658"/>
        <i x="544"/>
        <i x="347"/>
        <i x="25"/>
        <i x="831"/>
        <i x="421"/>
        <i x="460"/>
        <i x="369"/>
        <i x="723"/>
        <i x="532"/>
        <i x="132"/>
        <i x="220"/>
        <i x="702"/>
        <i x="148"/>
        <i x="126"/>
        <i x="685"/>
        <i x="824"/>
        <i x="72"/>
        <i x="153"/>
        <i x="730"/>
        <i x="287"/>
        <i x="120"/>
        <i x="470"/>
        <i x="809"/>
        <i x="193"/>
        <i x="672"/>
        <i x="89"/>
        <i x="468"/>
        <i x="451"/>
        <i x="28"/>
        <i x="818"/>
        <i x="867" s="1"/>
        <i x="476"/>
        <i x="597"/>
        <i x="23"/>
        <i x="167"/>
        <i x="248"/>
        <i x="493"/>
        <i x="641"/>
        <i x="305"/>
        <i x="306"/>
        <i x="782"/>
        <i x="133"/>
        <i x="752"/>
        <i x="890" s="1"/>
        <i x="785"/>
        <i x="464"/>
        <i x="580"/>
        <i x="845" s="1"/>
        <i x="813"/>
        <i x="54"/>
        <i x="566"/>
        <i x="738"/>
        <i x="473"/>
        <i x="778"/>
        <i x="12"/>
        <i x="668"/>
        <i x="770"/>
        <i x="452"/>
        <i x="796"/>
        <i x="325"/>
        <i x="522"/>
        <i x="853" s="1"/>
        <i x="847"/>
        <i x="489"/>
        <i x="802"/>
        <i x="534"/>
        <i x="744"/>
        <i x="21"/>
        <i x="589"/>
        <i x="235"/>
        <i x="774"/>
        <i x="669"/>
        <i x="202"/>
        <i x="392"/>
        <i x="628"/>
        <i x="648"/>
        <i x="247"/>
        <i x="381"/>
        <i x="795"/>
        <i x="295"/>
        <i x="65"/>
        <i x="124"/>
        <i x="881" s="1"/>
        <i x="817"/>
        <i x="526"/>
        <i x="113"/>
        <i x="206"/>
        <i x="145"/>
        <i x="602"/>
        <i x="750"/>
        <i x="620"/>
        <i x="860" s="1"/>
        <i x="96"/>
        <i x="16"/>
        <i x="577"/>
        <i x="117"/>
        <i x="130"/>
        <i x="729"/>
        <i x="162"/>
        <i x="663"/>
        <i x="151"/>
        <i x="497"/>
        <i x="163"/>
        <i x="871" s="1"/>
        <i x="861" s="1"/>
        <i x="827"/>
        <i x="197"/>
        <i x="494"/>
        <i x="93"/>
        <i x="876" s="1"/>
        <i x="353"/>
        <i x="865" s="1"/>
        <i x="644"/>
        <i x="445"/>
        <i x="561"/>
        <i x="649"/>
        <i x="868" s="1"/>
        <i x="697"/>
        <i x="710"/>
        <i x="520"/>
        <i x="110"/>
        <i x="446"/>
        <i x="232"/>
        <i x="569"/>
        <i x="313"/>
        <i x="318"/>
        <i x="756"/>
        <i x="257"/>
        <i x="882" s="1"/>
        <i x="585"/>
        <i x="889" s="1"/>
        <i x="854" s="1"/>
        <i x="874" s="1"/>
        <i x="71"/>
        <i x="700"/>
        <i x="608"/>
        <i x="346"/>
        <i x="2"/>
        <i x="521"/>
        <i x="611"/>
        <i x="31"/>
        <i x="427"/>
        <i x="438"/>
        <i x="319"/>
        <i x="92"/>
        <i x="164"/>
        <i x="653"/>
        <i x="581"/>
        <i x="603"/>
        <i x="659"/>
        <i x="380"/>
        <i x="777"/>
        <i x="204"/>
        <i x="652"/>
        <i x="480"/>
        <i x="14"/>
        <i x="545"/>
        <i x="830"/>
        <i x="105"/>
        <i x="234"/>
        <i x="45"/>
        <i x="40"/>
        <i x="60"/>
        <i x="588"/>
        <i x="221"/>
        <i x="217"/>
        <i x="169"/>
        <i x="622"/>
        <i x="429"/>
        <i x="627"/>
        <i x="657"/>
        <i x="826"/>
        <i x="555"/>
        <i x="61"/>
        <i x="665"/>
        <i x="387"/>
        <i x="332"/>
        <i x="514"/>
        <i x="704"/>
        <i x="458"/>
        <i x="687"/>
        <i x="379"/>
        <i x="100"/>
        <i x="108"/>
        <i x="302"/>
        <i x="69"/>
        <i x="82"/>
        <i x="887" s="1"/>
        <i x="397"/>
        <i x="42"/>
        <i x="548"/>
        <i x="112"/>
        <i x="456"/>
        <i x="7"/>
        <i x="709"/>
        <i x="396"/>
        <i x="241"/>
        <i x="390"/>
        <i x="377"/>
        <i x="395"/>
        <i x="171"/>
        <i x="726"/>
        <i x="735"/>
        <i x="897"/>
        <i x="781"/>
        <i x="607"/>
        <i x="185"/>
        <i x="872" s="1"/>
        <i x="90"/>
        <i x="30"/>
        <i x="226"/>
        <i x="838" s="1"/>
        <i x="266"/>
        <i x="364"/>
        <i x="713"/>
        <i x="264"/>
        <i x="858" s="1"/>
        <i x="751"/>
        <i x="336"/>
        <i x="771"/>
        <i x="38"/>
        <i x="848" s="1"/>
        <i x="386"/>
        <i x="749"/>
        <i x="531"/>
        <i x="278"/>
        <i x="767"/>
        <i x="870" s="1"/>
        <i x="486"/>
        <i x="661"/>
        <i x="840"/>
        <i x="765"/>
        <i x="540"/>
        <i x="820"/>
        <i x="742"/>
        <i x="457"/>
        <i x="586"/>
        <i x="409"/>
        <i x="256"/>
        <i x="471"/>
        <i x="258"/>
        <i x="844" s="1"/>
        <i x="215"/>
        <i x="84"/>
        <i x="80"/>
        <i x="681"/>
        <i x="572"/>
        <i x="696"/>
        <i x="300"/>
        <i x="362"/>
        <i x="393"/>
        <i x="190"/>
        <i x="322"/>
        <i x="535"/>
        <i x="213"/>
        <i x="833"/>
        <i x="51"/>
        <i x="408"/>
        <i x="746"/>
        <i x="757"/>
        <i x="228"/>
        <i x="676"/>
        <i x="706"/>
        <i x="843" s="1"/>
        <i x="748"/>
        <i x="214"/>
        <i x="766"/>
        <i x="629"/>
        <i x="694"/>
        <i x="177"/>
        <i x="405"/>
        <i x="875" s="1"/>
        <i x="373"/>
        <i x="293"/>
        <i x="821"/>
        <i x="893" s="1"/>
        <i x="310"/>
        <i x="517"/>
        <i x="621"/>
        <i x="314"/>
        <i x="102"/>
        <i x="243"/>
        <i x="808"/>
        <i x="552"/>
        <i x="630"/>
        <i x="500"/>
        <i x="832"/>
        <i x="265"/>
        <i x="205"/>
        <i x="800"/>
        <i x="17"/>
        <i x="776"/>
        <i x="453"/>
        <i x="691"/>
        <i x="134"/>
        <i x="398"/>
        <i x="528"/>
        <i x="158"/>
        <i x="755"/>
        <i x="239"/>
        <i x="183"/>
        <i x="176"/>
        <i x="348"/>
        <i x="798"/>
        <i x="892" s="1"/>
        <i x="666"/>
        <i x="801"/>
        <i x="403"/>
        <i x="440"/>
        <i x="743"/>
        <i x="601"/>
        <i x="98"/>
        <i x="825"/>
        <i x="814"/>
        <i x="703"/>
        <i x="841" s="1"/>
        <i x="600"/>
        <i x="36"/>
        <i x="449"/>
        <i x="208"/>
        <i x="371"/>
        <i x="683"/>
        <i x="736"/>
        <i x="271"/>
        <i x="249"/>
        <i x="432"/>
        <i x="253"/>
        <i x="745"/>
        <i x="499"/>
        <i x="596"/>
        <i x="610"/>
        <i x="883" s="1"/>
        <i x="50"/>
        <i x="289"/>
        <i x="592"/>
        <i x="236"/>
        <i x="259"/>
        <i x="554"/>
        <i x="507"/>
        <i x="297"/>
        <i x="806"/>
        <i x="509"/>
        <i x="442"/>
        <i x="391"/>
        <i x="62"/>
        <i x="250"/>
        <i x="618"/>
        <i x="484"/>
        <i x="834"/>
        <i x="339"/>
        <i x="550"/>
        <i x="836"/>
        <i x="741"/>
        <i x="829"/>
        <i x="732"/>
        <i x="407"/>
        <i x="59"/>
        <i x="267"/>
        <i x="361"/>
        <i x="401"/>
        <i x="587"/>
        <i x="354"/>
        <i x="109"/>
        <i x="877" s="1"/>
        <i x="888" s="1"/>
        <i x="477"/>
        <i x="576"/>
        <i x="506"/>
        <i x="707"/>
        <i x="894" s="1"/>
        <i x="547"/>
        <i x="632"/>
        <i x="856"/>
        <i x="631"/>
        <i x="660"/>
        <i x="565"/>
        <i x="616"/>
        <i x="551"/>
        <i x="503"/>
        <i x="773"/>
        <i x="574"/>
        <i x="680"/>
        <i x="10"/>
        <i x="279"/>
        <i x="693"/>
        <i x="53"/>
        <i x="788"/>
        <i x="790"/>
        <i x="568"/>
        <i x="455"/>
        <i x="733"/>
        <i x="655"/>
        <i x="141"/>
        <i x="55"/>
        <i x="200"/>
        <i x="549"/>
        <i x="155"/>
        <i x="425"/>
        <i x="44"/>
        <i x="111"/>
        <i x="210"/>
        <i x="839" s="1"/>
        <i x="614"/>
        <i x="345"/>
        <i x="187"/>
        <i x="240"/>
        <i x="128"/>
        <i x="49"/>
        <i x="334"/>
        <i x="626"/>
        <i x="209"/>
        <i x="335"/>
        <i x="64"/>
        <i x="95"/>
        <i x="612"/>
        <i x="174"/>
        <i x="701"/>
        <i x="762"/>
        <i x="43"/>
        <i x="366"/>
        <i x="711"/>
        <i x="426"/>
        <i x="63"/>
        <i x="410"/>
        <i x="375"/>
        <i x="57"/>
        <i x="365"/>
        <i x="330"/>
        <i x="368"/>
        <i x="828"/>
        <i x="6"/>
        <i x="578"/>
        <i x="223"/>
        <i x="564"/>
        <i x="224"/>
        <i x="229"/>
        <i x="559"/>
        <i x="179"/>
        <i x="582"/>
        <i x="159"/>
        <i x="281"/>
        <i x="135"/>
        <i x="329"/>
        <i x="309"/>
        <i x="599"/>
        <i x="161"/>
        <i x="81"/>
        <i x="39"/>
        <i x="292"/>
        <i x="896" s="1"/>
        <i x="144"/>
        <i x="488"/>
        <i x="320"/>
        <i x="807"/>
        <i x="656"/>
        <i x="804"/>
        <i x="619"/>
        <i x="317"/>
        <i x="466"/>
        <i x="731"/>
        <i x="286"/>
        <i x="492"/>
        <i x="671"/>
        <i x="724"/>
        <i x="46"/>
        <i x="274"/>
        <i x="90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entor" xr10:uid="{66E9A1CB-AA3A-4F3F-B0BA-D32D64CE5BC1}" cache="Slicer_Mentor" caption="Mentor" rowHeight="209550"/>
  <slicer name="Mentee" xr10:uid="{2D82CD42-ECE5-42EC-87CB-061C32CCE3CB}" cache="Slicer_Mentee" caption="Mentee" rowHeight="209550"/>
  <slicer name="Employee" xr10:uid="{7E6D1C1C-5C7C-45F6-A720-161FFF1D2B6E}" cache="Slicer_Employee" caption="Employee" startItem="886"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B866150-F7B8-450D-8C68-BFAF9CD3A154}" name="Table1" displayName="Table1" ref="A1:AF688" totalsRowShown="0" headerRowDxfId="33" dataDxfId="32">
  <autoFilter ref="A1:AF688" xr:uid="{5B866150-F7B8-450D-8C68-BFAF9CD3A154}">
    <filterColumn colId="1">
      <filters>
        <filter val="Nathan Ngqwebo"/>
      </filters>
    </filterColumn>
  </autoFilter>
  <tableColumns count="32">
    <tableColumn id="1" xr3:uid="{43C2950C-44DC-4D77-A872-357B903BB2DF}" name="Mentor ID" dataDxfId="31"/>
    <tableColumn id="2" xr3:uid="{667FFBC9-7CBE-438C-A949-25B976DEE1EE}" name="Mentor" dataDxfId="30"/>
    <tableColumn id="3" xr3:uid="{58515587-A5E4-46C2-8630-09A5C508D644}" name="Purpose" dataDxfId="29"/>
    <tableColumn id="4" xr3:uid="{E19B0C20-55A9-4C29-9DB9-09E375D01C45}" name="Mentor Type" dataDxfId="28"/>
    <tableColumn id="5" xr3:uid="{8A7EDBB3-BC5B-4B40-A0E8-183DD93F41A1}" name="Mentor Employee Type" dataDxfId="27"/>
    <tableColumn id="6" xr3:uid="{2A8D6C78-6F62-4E18-A65B-F57C9134F67D}" name="Mentor Race" dataDxfId="26"/>
    <tableColumn id="7" xr3:uid="{FD3A63E0-A265-4006-AC6D-7777FE2148FD}" name="Mentor Gender" dataDxfId="25"/>
    <tableColumn id="8" xr3:uid="{A1745273-A0D1-450B-8AB6-BFFB13C00B2A}" name="Mentor Age Group" dataDxfId="24"/>
    <tableColumn id="9" xr3:uid="{426CD75C-714C-4931-9BB6-894C183E4F86}" name="Mentor Supervisory Organization" dataDxfId="23"/>
    <tableColumn id="10" xr3:uid="{EC09F6F7-4EBA-4690-B483-366D062D9BCE}" name="Mentor Location Country" dataDxfId="22"/>
    <tableColumn id="11" xr3:uid="{ED1BAAA6-B33D-4B1F-8678-C784005E8B80}" name="Mentor Franchise" dataDxfId="21"/>
    <tableColumn id="12" xr3:uid="{61904D88-4D65-45D2-8C61-1BD0D7C5E573}" name="Mentor Cost Centre" dataDxfId="20"/>
    <tableColumn id="13" xr3:uid="{85DDE81A-573A-4ABE-B850-E1893D4C0DF5}" name="Mentor Job Title" dataDxfId="19"/>
    <tableColumn id="14" xr3:uid="{78C64491-758B-42BC-B7BF-A824410D4B5B}" name="Mentor Tenure" dataDxfId="18"/>
    <tableColumn id="15" xr3:uid="{FCB0B9EE-C752-4F70-BF72-469A98DC9086}" name="Mentor Job Family Group" dataDxfId="17"/>
    <tableColumn id="16" xr3:uid="{AB5E8A82-BAEF-4EAD-8EF1-717D760A9163}" name="Mentee ID" dataDxfId="16"/>
    <tableColumn id="17" xr3:uid="{61F98853-18C1-40E3-AC08-472BC350AB2B}" name="Mentee" dataDxfId="15"/>
    <tableColumn id="18" xr3:uid="{19FAAD75-980C-4BFA-9EE2-DDC4D1DD63BD}" name="Mentee Employee Type" dataDxfId="14"/>
    <tableColumn id="19" xr3:uid="{563FB29E-8B60-49E8-9809-4D9C69F9CFD1}" name="Mentee Race" dataDxfId="13"/>
    <tableColumn id="20" xr3:uid="{5C84E913-12E9-4F13-A874-14241D65F6B8}" name="Mentee Gender" dataDxfId="12"/>
    <tableColumn id="21" xr3:uid="{2E2B44E5-F542-4A2B-9670-E23D9D9BF699}" name="Mentee Age Group" dataDxfId="11"/>
    <tableColumn id="22" xr3:uid="{AC6397E2-0943-4735-8363-36FD312EAC07}" name="Mentee Supervisory Organization" dataDxfId="10"/>
    <tableColumn id="23" xr3:uid="{639FD05F-2829-41B4-A836-99B9157B7C00}" name="Mentee Location Country" dataDxfId="9"/>
    <tableColumn id="24" xr3:uid="{EBD79F27-1E0F-47C5-804E-009BEC4287A4}" name="Mentee Franchise" dataDxfId="8"/>
    <tableColumn id="25" xr3:uid="{CD95501B-AFAA-45D1-8A11-26EB3226B982}" name="Mentee Cost Centre" dataDxfId="7"/>
    <tableColumn id="26" xr3:uid="{30557AE5-C2DE-4D04-90BB-9B2177235B4A}" name="Mentee Job Title" dataDxfId="6"/>
    <tableColumn id="27" xr3:uid="{36EA56C5-1F4B-4125-BD9C-BBB2371201D9}" name="Mentee Tenure" dataDxfId="5"/>
    <tableColumn id="28" xr3:uid="{2B9D661C-7FC9-4746-9F87-53E3FE9E4187}" name="Mentee Job Family Group" dataDxfId="4"/>
    <tableColumn id="29" xr3:uid="{52994404-664E-4A44-880C-2FA04364074F}" name="Mentorship Events" dataDxfId="3"/>
    <tableColumn id="30" xr3:uid="{E788E569-2211-4892-B80E-05209808B8A1}" name="Start Date" dataDxfId="2"/>
    <tableColumn id="31" xr3:uid="{1067CF6A-0A32-4235-A9B1-AB06A7F548AD}" name="End Date" dataDxfId="1"/>
    <tableColumn id="32" xr3:uid="{B8D6DAB4-F253-4A2E-BA13-D3272A4F64E4}" name="Close Mentorship Reason" dataDxfId="0"/>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6EF0A1B-EDFF-441D-BC35-11B0D0F72554}" name="Table3" displayName="Table3" ref="A1:D64" totalsRowShown="0">
  <autoFilter ref="A1:D64" xr:uid="{26EF0A1B-EDFF-441D-BC35-11B0D0F72554}"/>
  <tableColumns count="4">
    <tableColumn id="1" xr3:uid="{A6A3251A-ED6C-4E9E-926D-17FE167F1BFD}" name="Mentor"/>
    <tableColumn id="2" xr3:uid="{9D21820B-DC63-4B4E-A4E7-DD8BA3F5672E}" name="Mentee"/>
    <tableColumn id="3" xr3:uid="{23451EFA-FD91-4482-8542-2099F7AAE1A0}" name="Mentor Email address"/>
    <tableColumn id="4" xr3:uid="{BA4E0C4B-66A3-4862-8E6A-B1C3CE09FDC6}" name="Mentee Email Addres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688"/>
  <sheetViews>
    <sheetView tabSelected="1" zoomScale="70" zoomScaleNormal="70" workbookViewId="0">
      <selection activeCell="V653" sqref="V653"/>
    </sheetView>
  </sheetViews>
  <sheetFormatPr defaultColWidth="8.7109375" defaultRowHeight="13.15"/>
  <cols>
    <col min="1" max="2" width="23" style="2" customWidth="1"/>
    <col min="3" max="8" width="23" style="2" hidden="1" customWidth="1"/>
    <col min="9" max="9" width="31.85546875" style="2" hidden="1" customWidth="1"/>
    <col min="10" max="10" width="24.7109375" style="2" hidden="1" customWidth="1"/>
    <col min="11" max="14" width="23" style="2" hidden="1" customWidth="1"/>
    <col min="15" max="15" width="25" style="2" hidden="1" customWidth="1"/>
    <col min="16" max="21" width="23" style="2" customWidth="1"/>
    <col min="22" max="22" width="32" style="2" customWidth="1"/>
    <col min="23" max="23" width="24.85546875" style="2" customWidth="1"/>
    <col min="24" max="27" width="23" style="2" customWidth="1"/>
    <col min="28" max="28" width="25.140625" style="2" customWidth="1"/>
    <col min="29" max="29" width="23" style="2" customWidth="1"/>
    <col min="30" max="31" width="23" style="4" customWidth="1"/>
    <col min="32" max="32" width="25.28515625" style="2" customWidth="1"/>
    <col min="33" max="16384" width="8.7109375" style="2"/>
  </cols>
  <sheetData>
    <row r="1" spans="1:3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spans="1:32" ht="145.15" hidden="1">
      <c r="A2" s="3" t="s">
        <v>32</v>
      </c>
      <c r="B2" s="3" t="s">
        <v>33</v>
      </c>
      <c r="C2" s="3" t="s">
        <v>34</v>
      </c>
      <c r="D2" s="3" t="s">
        <v>35</v>
      </c>
      <c r="E2" s="3" t="s">
        <v>36</v>
      </c>
      <c r="F2" s="3"/>
      <c r="G2" s="3" t="s">
        <v>37</v>
      </c>
      <c r="H2" s="3" t="s">
        <v>38</v>
      </c>
      <c r="I2" s="3" t="s">
        <v>39</v>
      </c>
      <c r="J2" s="3" t="s">
        <v>40</v>
      </c>
      <c r="K2" s="3" t="s">
        <v>41</v>
      </c>
      <c r="L2" s="3" t="s">
        <v>42</v>
      </c>
      <c r="M2" s="3" t="s">
        <v>43</v>
      </c>
      <c r="N2" s="3" t="s">
        <v>44</v>
      </c>
      <c r="O2" s="3" t="s">
        <v>45</v>
      </c>
      <c r="P2" s="3" t="s">
        <v>46</v>
      </c>
      <c r="Q2" s="3" t="s">
        <v>47</v>
      </c>
      <c r="R2" s="3" t="s">
        <v>36</v>
      </c>
      <c r="S2" s="3" t="s">
        <v>48</v>
      </c>
      <c r="T2" s="3" t="s">
        <v>37</v>
      </c>
      <c r="U2" s="3" t="s">
        <v>49</v>
      </c>
      <c r="V2" s="3" t="s">
        <v>50</v>
      </c>
      <c r="W2" s="3" t="s">
        <v>40</v>
      </c>
      <c r="X2" s="3" t="s">
        <v>41</v>
      </c>
      <c r="Y2" s="3" t="s">
        <v>51</v>
      </c>
      <c r="Z2" s="3" t="s">
        <v>52</v>
      </c>
      <c r="AA2" s="3" t="s">
        <v>53</v>
      </c>
      <c r="AB2" s="3" t="s">
        <v>54</v>
      </c>
      <c r="AC2" s="3" t="s">
        <v>55</v>
      </c>
      <c r="AD2" s="14">
        <v>45170</v>
      </c>
      <c r="AE2" s="14">
        <v>45351</v>
      </c>
      <c r="AF2" s="3" t="s">
        <v>56</v>
      </c>
    </row>
    <row r="3" spans="1:32" ht="39.6" hidden="1">
      <c r="A3" s="3" t="s">
        <v>57</v>
      </c>
      <c r="B3" s="3" t="s">
        <v>58</v>
      </c>
      <c r="C3" s="3"/>
      <c r="D3" s="3" t="s">
        <v>59</v>
      </c>
      <c r="E3" s="3" t="s">
        <v>36</v>
      </c>
      <c r="F3" s="3" t="s">
        <v>48</v>
      </c>
      <c r="G3" s="3" t="s">
        <v>37</v>
      </c>
      <c r="H3" s="3" t="s">
        <v>49</v>
      </c>
      <c r="I3" s="3" t="s">
        <v>60</v>
      </c>
      <c r="J3" s="3" t="s">
        <v>40</v>
      </c>
      <c r="K3" s="3" t="s">
        <v>41</v>
      </c>
      <c r="L3" s="3" t="s">
        <v>61</v>
      </c>
      <c r="M3" s="3" t="s">
        <v>62</v>
      </c>
      <c r="N3" s="3" t="s">
        <v>63</v>
      </c>
      <c r="O3" s="3" t="s">
        <v>64</v>
      </c>
      <c r="P3" s="3" t="s">
        <v>65</v>
      </c>
      <c r="Q3" s="3" t="s">
        <v>66</v>
      </c>
      <c r="R3" s="3" t="s">
        <v>36</v>
      </c>
      <c r="S3" s="3" t="s">
        <v>48</v>
      </c>
      <c r="T3" s="3" t="s">
        <v>37</v>
      </c>
      <c r="U3" s="3" t="s">
        <v>49</v>
      </c>
      <c r="V3" s="3" t="s">
        <v>67</v>
      </c>
      <c r="W3" s="3" t="s">
        <v>40</v>
      </c>
      <c r="X3" s="3" t="s">
        <v>41</v>
      </c>
      <c r="Y3" s="3" t="s">
        <v>68</v>
      </c>
      <c r="Z3" s="3" t="s">
        <v>52</v>
      </c>
      <c r="AA3" s="3" t="s">
        <v>69</v>
      </c>
      <c r="AB3" s="3" t="s">
        <v>54</v>
      </c>
      <c r="AC3" s="3" t="s">
        <v>70</v>
      </c>
      <c r="AD3" s="14">
        <v>45125</v>
      </c>
      <c r="AE3" s="14"/>
      <c r="AF3" s="3"/>
    </row>
    <row r="4" spans="1:32" ht="171.6" hidden="1">
      <c r="A4" s="3" t="s">
        <v>32</v>
      </c>
      <c r="B4" s="3" t="s">
        <v>33</v>
      </c>
      <c r="C4" s="3"/>
      <c r="D4" s="3" t="s">
        <v>59</v>
      </c>
      <c r="E4" s="3" t="s">
        <v>36</v>
      </c>
      <c r="F4" s="3"/>
      <c r="G4" s="3" t="s">
        <v>37</v>
      </c>
      <c r="H4" s="3" t="s">
        <v>38</v>
      </c>
      <c r="I4" s="3" t="s">
        <v>39</v>
      </c>
      <c r="J4" s="3" t="s">
        <v>40</v>
      </c>
      <c r="K4" s="3" t="s">
        <v>41</v>
      </c>
      <c r="L4" s="3" t="s">
        <v>42</v>
      </c>
      <c r="M4" s="3" t="s">
        <v>43</v>
      </c>
      <c r="N4" s="3" t="s">
        <v>44</v>
      </c>
      <c r="O4" s="3" t="s">
        <v>45</v>
      </c>
      <c r="P4" s="3" t="s">
        <v>71</v>
      </c>
      <c r="Q4" s="3" t="s">
        <v>72</v>
      </c>
      <c r="R4" s="3"/>
      <c r="S4" s="3"/>
      <c r="T4" s="3" t="s">
        <v>37</v>
      </c>
      <c r="U4" s="3" t="s">
        <v>73</v>
      </c>
      <c r="V4" s="3"/>
      <c r="W4" s="3" t="s">
        <v>40</v>
      </c>
      <c r="X4" s="3"/>
      <c r="Y4" s="3"/>
      <c r="Z4" s="3"/>
      <c r="AA4" s="3" t="s">
        <v>69</v>
      </c>
      <c r="AB4" s="3"/>
      <c r="AC4" s="3" t="s">
        <v>74</v>
      </c>
      <c r="AD4" s="14">
        <v>45139</v>
      </c>
      <c r="AE4" s="14">
        <v>45351</v>
      </c>
      <c r="AF4" s="3" t="s">
        <v>56</v>
      </c>
    </row>
    <row r="5" spans="1:32" ht="66" hidden="1">
      <c r="A5" s="3" t="s">
        <v>75</v>
      </c>
      <c r="B5" s="3" t="s">
        <v>76</v>
      </c>
      <c r="C5" s="3" t="s">
        <v>77</v>
      </c>
      <c r="D5" s="3" t="s">
        <v>59</v>
      </c>
      <c r="E5" s="3"/>
      <c r="F5" s="3"/>
      <c r="G5" s="3" t="s">
        <v>37</v>
      </c>
      <c r="H5" s="3" t="s">
        <v>78</v>
      </c>
      <c r="I5" s="3"/>
      <c r="J5" s="3" t="s">
        <v>40</v>
      </c>
      <c r="K5" s="3"/>
      <c r="L5" s="3"/>
      <c r="M5" s="3"/>
      <c r="N5" s="3" t="s">
        <v>79</v>
      </c>
      <c r="O5" s="3"/>
      <c r="P5" s="3" t="s">
        <v>80</v>
      </c>
      <c r="Q5" s="3" t="s">
        <v>81</v>
      </c>
      <c r="R5" s="3" t="s">
        <v>36</v>
      </c>
      <c r="S5" s="3" t="s">
        <v>48</v>
      </c>
      <c r="T5" s="3" t="s">
        <v>82</v>
      </c>
      <c r="U5" s="3" t="s">
        <v>49</v>
      </c>
      <c r="V5" s="3" t="s">
        <v>83</v>
      </c>
      <c r="W5" s="3" t="s">
        <v>40</v>
      </c>
      <c r="X5" s="3" t="s">
        <v>41</v>
      </c>
      <c r="Y5" s="3" t="s">
        <v>84</v>
      </c>
      <c r="Z5" s="3" t="s">
        <v>85</v>
      </c>
      <c r="AA5" s="3" t="s">
        <v>63</v>
      </c>
      <c r="AB5" s="3" t="s">
        <v>86</v>
      </c>
      <c r="AC5" s="3" t="s">
        <v>87</v>
      </c>
      <c r="AD5" s="14">
        <v>44835</v>
      </c>
      <c r="AE5" s="14">
        <v>45199</v>
      </c>
      <c r="AF5" s="3"/>
    </row>
    <row r="6" spans="1:32" ht="145.15" hidden="1">
      <c r="A6" s="3" t="s">
        <v>88</v>
      </c>
      <c r="B6" s="3" t="s">
        <v>89</v>
      </c>
      <c r="C6" s="3" t="s">
        <v>90</v>
      </c>
      <c r="D6" s="3" t="s">
        <v>59</v>
      </c>
      <c r="E6" s="3" t="s">
        <v>36</v>
      </c>
      <c r="F6" s="3" t="s">
        <v>48</v>
      </c>
      <c r="G6" s="3" t="s">
        <v>82</v>
      </c>
      <c r="H6" s="3" t="s">
        <v>38</v>
      </c>
      <c r="I6" s="3" t="s">
        <v>91</v>
      </c>
      <c r="J6" s="3" t="s">
        <v>40</v>
      </c>
      <c r="K6" s="3" t="s">
        <v>41</v>
      </c>
      <c r="L6" s="3" t="s">
        <v>92</v>
      </c>
      <c r="M6" s="3" t="s">
        <v>93</v>
      </c>
      <c r="N6" s="3" t="s">
        <v>79</v>
      </c>
      <c r="O6" s="3" t="s">
        <v>94</v>
      </c>
      <c r="P6" s="3" t="s">
        <v>95</v>
      </c>
      <c r="Q6" s="3" t="s">
        <v>96</v>
      </c>
      <c r="R6" s="3" t="s">
        <v>36</v>
      </c>
      <c r="S6" s="3"/>
      <c r="T6" s="3" t="s">
        <v>37</v>
      </c>
      <c r="U6" s="3" t="s">
        <v>49</v>
      </c>
      <c r="V6" s="3" t="s">
        <v>97</v>
      </c>
      <c r="W6" s="3" t="s">
        <v>40</v>
      </c>
      <c r="X6" s="3" t="s">
        <v>41</v>
      </c>
      <c r="Y6" s="3" t="s">
        <v>98</v>
      </c>
      <c r="Z6" s="3" t="s">
        <v>99</v>
      </c>
      <c r="AA6" s="3" t="s">
        <v>79</v>
      </c>
      <c r="AB6" s="3" t="s">
        <v>100</v>
      </c>
      <c r="AC6" s="3" t="s">
        <v>101</v>
      </c>
      <c r="AD6" s="14">
        <v>44927</v>
      </c>
      <c r="AE6" s="14">
        <v>45657</v>
      </c>
      <c r="AF6" s="3"/>
    </row>
    <row r="7" spans="1:32" ht="198" hidden="1">
      <c r="A7" s="3" t="s">
        <v>32</v>
      </c>
      <c r="B7" s="3" t="s">
        <v>33</v>
      </c>
      <c r="C7" s="3" t="s">
        <v>102</v>
      </c>
      <c r="D7" s="3" t="s">
        <v>59</v>
      </c>
      <c r="E7" s="3" t="s">
        <v>36</v>
      </c>
      <c r="F7" s="3"/>
      <c r="G7" s="3" t="s">
        <v>37</v>
      </c>
      <c r="H7" s="3" t="s">
        <v>38</v>
      </c>
      <c r="I7" s="3" t="s">
        <v>39</v>
      </c>
      <c r="J7" s="3" t="s">
        <v>40</v>
      </c>
      <c r="K7" s="3" t="s">
        <v>41</v>
      </c>
      <c r="L7" s="3" t="s">
        <v>42</v>
      </c>
      <c r="M7" s="3" t="s">
        <v>43</v>
      </c>
      <c r="N7" s="3" t="s">
        <v>44</v>
      </c>
      <c r="O7" s="3" t="s">
        <v>45</v>
      </c>
      <c r="P7" s="3" t="s">
        <v>103</v>
      </c>
      <c r="Q7" s="3" t="s">
        <v>104</v>
      </c>
      <c r="R7" s="3" t="s">
        <v>36</v>
      </c>
      <c r="S7" s="3"/>
      <c r="T7" s="3" t="s">
        <v>37</v>
      </c>
      <c r="U7" s="3" t="s">
        <v>49</v>
      </c>
      <c r="V7" s="3" t="s">
        <v>105</v>
      </c>
      <c r="W7" s="3" t="s">
        <v>40</v>
      </c>
      <c r="X7" s="3" t="s">
        <v>41</v>
      </c>
      <c r="Y7" s="3" t="s">
        <v>106</v>
      </c>
      <c r="Z7" s="3" t="s">
        <v>107</v>
      </c>
      <c r="AA7" s="3" t="s">
        <v>79</v>
      </c>
      <c r="AB7" s="3" t="s">
        <v>64</v>
      </c>
      <c r="AC7" s="3" t="s">
        <v>108</v>
      </c>
      <c r="AD7" s="14">
        <v>45170</v>
      </c>
      <c r="AE7" s="14">
        <v>45351</v>
      </c>
      <c r="AF7" s="3" t="s">
        <v>109</v>
      </c>
    </row>
    <row r="8" spans="1:32" ht="39.6" hidden="1">
      <c r="A8" s="3" t="s">
        <v>57</v>
      </c>
      <c r="B8" s="3" t="s">
        <v>58</v>
      </c>
      <c r="C8" s="3" t="s">
        <v>110</v>
      </c>
      <c r="D8" s="3" t="s">
        <v>59</v>
      </c>
      <c r="E8" s="3" t="s">
        <v>36</v>
      </c>
      <c r="F8" s="3" t="s">
        <v>48</v>
      </c>
      <c r="G8" s="3" t="s">
        <v>37</v>
      </c>
      <c r="H8" s="3" t="s">
        <v>49</v>
      </c>
      <c r="I8" s="3" t="s">
        <v>60</v>
      </c>
      <c r="J8" s="3" t="s">
        <v>40</v>
      </c>
      <c r="K8" s="3" t="s">
        <v>41</v>
      </c>
      <c r="L8" s="3" t="s">
        <v>61</v>
      </c>
      <c r="M8" s="3" t="s">
        <v>62</v>
      </c>
      <c r="N8" s="3" t="s">
        <v>63</v>
      </c>
      <c r="O8" s="3" t="s">
        <v>64</v>
      </c>
      <c r="P8" s="3" t="s">
        <v>111</v>
      </c>
      <c r="Q8" s="3" t="s">
        <v>112</v>
      </c>
      <c r="R8" s="3" t="s">
        <v>36</v>
      </c>
      <c r="S8" s="3"/>
      <c r="T8" s="3" t="s">
        <v>82</v>
      </c>
      <c r="U8" s="3" t="s">
        <v>49</v>
      </c>
      <c r="V8" s="3" t="s">
        <v>113</v>
      </c>
      <c r="W8" s="3" t="s">
        <v>40</v>
      </c>
      <c r="X8" s="3" t="s">
        <v>41</v>
      </c>
      <c r="Y8" s="3" t="s">
        <v>114</v>
      </c>
      <c r="Z8" s="3" t="s">
        <v>115</v>
      </c>
      <c r="AA8" s="3" t="s">
        <v>79</v>
      </c>
      <c r="AB8" s="3" t="s">
        <v>116</v>
      </c>
      <c r="AC8" s="3" t="s">
        <v>117</v>
      </c>
      <c r="AD8" s="14">
        <v>45205</v>
      </c>
      <c r="AE8" s="14">
        <v>45260</v>
      </c>
      <c r="AF8" s="3"/>
    </row>
    <row r="9" spans="1:32" ht="145.15" hidden="1">
      <c r="A9" s="3" t="s">
        <v>32</v>
      </c>
      <c r="B9" s="3" t="s">
        <v>33</v>
      </c>
      <c r="C9" s="3"/>
      <c r="D9" s="3" t="s">
        <v>35</v>
      </c>
      <c r="E9" s="3" t="s">
        <v>36</v>
      </c>
      <c r="F9" s="3"/>
      <c r="G9" s="3" t="s">
        <v>37</v>
      </c>
      <c r="H9" s="3" t="s">
        <v>38</v>
      </c>
      <c r="I9" s="3" t="s">
        <v>39</v>
      </c>
      <c r="J9" s="3" t="s">
        <v>40</v>
      </c>
      <c r="K9" s="3" t="s">
        <v>41</v>
      </c>
      <c r="L9" s="3" t="s">
        <v>42</v>
      </c>
      <c r="M9" s="3" t="s">
        <v>43</v>
      </c>
      <c r="N9" s="3" t="s">
        <v>44</v>
      </c>
      <c r="O9" s="3" t="s">
        <v>45</v>
      </c>
      <c r="P9" s="3" t="s">
        <v>118</v>
      </c>
      <c r="Q9" s="3" t="s">
        <v>119</v>
      </c>
      <c r="R9" s="3" t="s">
        <v>36</v>
      </c>
      <c r="S9" s="3"/>
      <c r="T9" s="3" t="s">
        <v>37</v>
      </c>
      <c r="U9" s="3" t="s">
        <v>78</v>
      </c>
      <c r="V9" s="3" t="s">
        <v>120</v>
      </c>
      <c r="W9" s="3" t="s">
        <v>40</v>
      </c>
      <c r="X9" s="3" t="s">
        <v>41</v>
      </c>
      <c r="Y9" s="3" t="s">
        <v>121</v>
      </c>
      <c r="Z9" s="3" t="s">
        <v>122</v>
      </c>
      <c r="AA9" s="3" t="s">
        <v>123</v>
      </c>
      <c r="AB9" s="3" t="s">
        <v>116</v>
      </c>
      <c r="AC9" s="3" t="s">
        <v>124</v>
      </c>
      <c r="AD9" s="14">
        <v>45170</v>
      </c>
      <c r="AE9" s="14">
        <v>45351</v>
      </c>
      <c r="AF9" s="3" t="s">
        <v>56</v>
      </c>
    </row>
    <row r="10" spans="1:32" ht="145.15" hidden="1">
      <c r="A10" s="3" t="s">
        <v>32</v>
      </c>
      <c r="B10" s="3" t="s">
        <v>33</v>
      </c>
      <c r="C10" s="3"/>
      <c r="D10" s="3" t="s">
        <v>59</v>
      </c>
      <c r="E10" s="3" t="s">
        <v>36</v>
      </c>
      <c r="F10" s="3"/>
      <c r="G10" s="3" t="s">
        <v>37</v>
      </c>
      <c r="H10" s="3" t="s">
        <v>38</v>
      </c>
      <c r="I10" s="3" t="s">
        <v>39</v>
      </c>
      <c r="J10" s="3" t="s">
        <v>40</v>
      </c>
      <c r="K10" s="3" t="s">
        <v>41</v>
      </c>
      <c r="L10" s="3" t="s">
        <v>42</v>
      </c>
      <c r="M10" s="3" t="s">
        <v>43</v>
      </c>
      <c r="N10" s="3" t="s">
        <v>44</v>
      </c>
      <c r="O10" s="3" t="s">
        <v>45</v>
      </c>
      <c r="P10" s="3" t="s">
        <v>125</v>
      </c>
      <c r="Q10" s="3" t="s">
        <v>126</v>
      </c>
      <c r="R10" s="3" t="s">
        <v>36</v>
      </c>
      <c r="S10" s="3" t="s">
        <v>127</v>
      </c>
      <c r="T10" s="3" t="s">
        <v>37</v>
      </c>
      <c r="U10" s="3" t="s">
        <v>38</v>
      </c>
      <c r="V10" s="3" t="s">
        <v>128</v>
      </c>
      <c r="W10" s="3" t="s">
        <v>40</v>
      </c>
      <c r="X10" s="3" t="s">
        <v>41</v>
      </c>
      <c r="Y10" s="3" t="s">
        <v>129</v>
      </c>
      <c r="Z10" s="3" t="s">
        <v>130</v>
      </c>
      <c r="AA10" s="3" t="s">
        <v>79</v>
      </c>
      <c r="AB10" s="3" t="s">
        <v>54</v>
      </c>
      <c r="AC10" s="3" t="s">
        <v>131</v>
      </c>
      <c r="AD10" s="14">
        <v>45170</v>
      </c>
      <c r="AE10" s="14">
        <v>45351</v>
      </c>
      <c r="AF10" s="3" t="s">
        <v>56</v>
      </c>
    </row>
    <row r="11" spans="1:32" ht="92.45" hidden="1">
      <c r="A11" s="3" t="s">
        <v>32</v>
      </c>
      <c r="B11" s="3" t="s">
        <v>33</v>
      </c>
      <c r="C11" s="3"/>
      <c r="D11" s="3" t="s">
        <v>132</v>
      </c>
      <c r="E11" s="3" t="s">
        <v>36</v>
      </c>
      <c r="F11" s="3"/>
      <c r="G11" s="3" t="s">
        <v>37</v>
      </c>
      <c r="H11" s="3" t="s">
        <v>38</v>
      </c>
      <c r="I11" s="3" t="s">
        <v>39</v>
      </c>
      <c r="J11" s="3" t="s">
        <v>40</v>
      </c>
      <c r="K11" s="3" t="s">
        <v>41</v>
      </c>
      <c r="L11" s="3" t="s">
        <v>42</v>
      </c>
      <c r="M11" s="3" t="s">
        <v>43</v>
      </c>
      <c r="N11" s="3" t="s">
        <v>44</v>
      </c>
      <c r="O11" s="3" t="s">
        <v>45</v>
      </c>
      <c r="P11" s="3" t="s">
        <v>111</v>
      </c>
      <c r="Q11" s="3" t="s">
        <v>112</v>
      </c>
      <c r="R11" s="3" t="s">
        <v>36</v>
      </c>
      <c r="S11" s="3"/>
      <c r="T11" s="3" t="s">
        <v>82</v>
      </c>
      <c r="U11" s="3" t="s">
        <v>49</v>
      </c>
      <c r="V11" s="3" t="s">
        <v>113</v>
      </c>
      <c r="W11" s="3" t="s">
        <v>40</v>
      </c>
      <c r="X11" s="3" t="s">
        <v>41</v>
      </c>
      <c r="Y11" s="3" t="s">
        <v>114</v>
      </c>
      <c r="Z11" s="3" t="s">
        <v>115</v>
      </c>
      <c r="AA11" s="3" t="s">
        <v>79</v>
      </c>
      <c r="AB11" s="3" t="s">
        <v>116</v>
      </c>
      <c r="AC11" s="3" t="s">
        <v>133</v>
      </c>
      <c r="AD11" s="14">
        <v>45230</v>
      </c>
      <c r="AE11" s="14">
        <v>45260</v>
      </c>
      <c r="AF11" s="3" t="s">
        <v>56</v>
      </c>
    </row>
    <row r="12" spans="1:32" ht="92.45" hidden="1">
      <c r="A12" s="3" t="s">
        <v>32</v>
      </c>
      <c r="B12" s="3" t="s">
        <v>33</v>
      </c>
      <c r="C12" s="3" t="s">
        <v>134</v>
      </c>
      <c r="D12" s="3" t="s">
        <v>35</v>
      </c>
      <c r="E12" s="3" t="s">
        <v>36</v>
      </c>
      <c r="F12" s="3"/>
      <c r="G12" s="3" t="s">
        <v>37</v>
      </c>
      <c r="H12" s="3" t="s">
        <v>38</v>
      </c>
      <c r="I12" s="3" t="s">
        <v>39</v>
      </c>
      <c r="J12" s="3" t="s">
        <v>40</v>
      </c>
      <c r="K12" s="3" t="s">
        <v>41</v>
      </c>
      <c r="L12" s="3" t="s">
        <v>42</v>
      </c>
      <c r="M12" s="3" t="s">
        <v>43</v>
      </c>
      <c r="N12" s="3" t="s">
        <v>44</v>
      </c>
      <c r="O12" s="3" t="s">
        <v>45</v>
      </c>
      <c r="P12" s="3" t="s">
        <v>135</v>
      </c>
      <c r="Q12" s="3" t="s">
        <v>136</v>
      </c>
      <c r="R12" s="3" t="s">
        <v>36</v>
      </c>
      <c r="S12" s="3"/>
      <c r="T12" s="3" t="s">
        <v>37</v>
      </c>
      <c r="U12" s="3" t="s">
        <v>49</v>
      </c>
      <c r="V12" s="3" t="s">
        <v>137</v>
      </c>
      <c r="W12" s="3" t="s">
        <v>40</v>
      </c>
      <c r="X12" s="3" t="s">
        <v>41</v>
      </c>
      <c r="Y12" s="3" t="s">
        <v>138</v>
      </c>
      <c r="Z12" s="3" t="s">
        <v>139</v>
      </c>
      <c r="AA12" s="3" t="s">
        <v>44</v>
      </c>
      <c r="AB12" s="3" t="s">
        <v>64</v>
      </c>
      <c r="AC12" s="3" t="s">
        <v>140</v>
      </c>
      <c r="AD12" s="14">
        <v>45170</v>
      </c>
      <c r="AE12" s="14">
        <v>45351</v>
      </c>
      <c r="AF12" s="3" t="s">
        <v>56</v>
      </c>
    </row>
    <row r="13" spans="1:32" ht="92.45" hidden="1">
      <c r="A13" s="3" t="s">
        <v>32</v>
      </c>
      <c r="B13" s="3" t="s">
        <v>33</v>
      </c>
      <c r="C13" s="3" t="s">
        <v>141</v>
      </c>
      <c r="D13" s="3" t="s">
        <v>59</v>
      </c>
      <c r="E13" s="3" t="s">
        <v>36</v>
      </c>
      <c r="F13" s="3"/>
      <c r="G13" s="3" t="s">
        <v>37</v>
      </c>
      <c r="H13" s="3" t="s">
        <v>38</v>
      </c>
      <c r="I13" s="3" t="s">
        <v>39</v>
      </c>
      <c r="J13" s="3" t="s">
        <v>40</v>
      </c>
      <c r="K13" s="3" t="s">
        <v>41</v>
      </c>
      <c r="L13" s="3" t="s">
        <v>42</v>
      </c>
      <c r="M13" s="3" t="s">
        <v>43</v>
      </c>
      <c r="N13" s="3" t="s">
        <v>44</v>
      </c>
      <c r="O13" s="3" t="s">
        <v>45</v>
      </c>
      <c r="P13" s="3" t="s">
        <v>142</v>
      </c>
      <c r="Q13" s="3" t="s">
        <v>143</v>
      </c>
      <c r="R13" s="3" t="s">
        <v>36</v>
      </c>
      <c r="S13" s="3" t="s">
        <v>48</v>
      </c>
      <c r="T13" s="3" t="s">
        <v>37</v>
      </c>
      <c r="U13" s="3" t="s">
        <v>38</v>
      </c>
      <c r="V13" s="3" t="s">
        <v>144</v>
      </c>
      <c r="W13" s="3" t="s">
        <v>40</v>
      </c>
      <c r="X13" s="3" t="s">
        <v>41</v>
      </c>
      <c r="Y13" s="3" t="s">
        <v>145</v>
      </c>
      <c r="Z13" s="3" t="s">
        <v>62</v>
      </c>
      <c r="AA13" s="3" t="s">
        <v>79</v>
      </c>
      <c r="AB13" s="3" t="s">
        <v>64</v>
      </c>
      <c r="AC13" s="3" t="s">
        <v>146</v>
      </c>
      <c r="AD13" s="14">
        <v>45170</v>
      </c>
      <c r="AE13" s="14">
        <v>45351</v>
      </c>
      <c r="AF13" s="3" t="s">
        <v>56</v>
      </c>
    </row>
    <row r="14" spans="1:32" ht="92.45" hidden="1">
      <c r="A14" s="3" t="s">
        <v>32</v>
      </c>
      <c r="B14" s="3" t="s">
        <v>33</v>
      </c>
      <c r="C14" s="3"/>
      <c r="D14" s="3" t="s">
        <v>35</v>
      </c>
      <c r="E14" s="3" t="s">
        <v>36</v>
      </c>
      <c r="F14" s="3"/>
      <c r="G14" s="3" t="s">
        <v>37</v>
      </c>
      <c r="H14" s="3" t="s">
        <v>38</v>
      </c>
      <c r="I14" s="3" t="s">
        <v>39</v>
      </c>
      <c r="J14" s="3" t="s">
        <v>40</v>
      </c>
      <c r="K14" s="3" t="s">
        <v>41</v>
      </c>
      <c r="L14" s="3" t="s">
        <v>42</v>
      </c>
      <c r="M14" s="3" t="s">
        <v>43</v>
      </c>
      <c r="N14" s="3" t="s">
        <v>44</v>
      </c>
      <c r="O14" s="3" t="s">
        <v>45</v>
      </c>
      <c r="P14" s="3" t="s">
        <v>147</v>
      </c>
      <c r="Q14" s="3" t="s">
        <v>148</v>
      </c>
      <c r="R14" s="3" t="s">
        <v>36</v>
      </c>
      <c r="S14" s="3" t="s">
        <v>48</v>
      </c>
      <c r="T14" s="3" t="s">
        <v>37</v>
      </c>
      <c r="U14" s="3" t="s">
        <v>38</v>
      </c>
      <c r="V14" s="3" t="s">
        <v>97</v>
      </c>
      <c r="W14" s="3" t="s">
        <v>40</v>
      </c>
      <c r="X14" s="3" t="s">
        <v>41</v>
      </c>
      <c r="Y14" s="3" t="s">
        <v>149</v>
      </c>
      <c r="Z14" s="3" t="s">
        <v>99</v>
      </c>
      <c r="AA14" s="3" t="s">
        <v>44</v>
      </c>
      <c r="AB14" s="3" t="s">
        <v>100</v>
      </c>
      <c r="AC14" s="3" t="s">
        <v>150</v>
      </c>
      <c r="AD14" s="14">
        <v>45173</v>
      </c>
      <c r="AE14" s="14">
        <v>45565</v>
      </c>
      <c r="AF14" s="3" t="s">
        <v>56</v>
      </c>
    </row>
    <row r="15" spans="1:32" ht="66" hidden="1">
      <c r="A15" s="3" t="s">
        <v>151</v>
      </c>
      <c r="B15" s="3" t="s">
        <v>152</v>
      </c>
      <c r="C15" s="3" t="s">
        <v>153</v>
      </c>
      <c r="D15" s="3" t="s">
        <v>59</v>
      </c>
      <c r="E15" s="3" t="s">
        <v>36</v>
      </c>
      <c r="F15" s="3"/>
      <c r="G15" s="3" t="s">
        <v>37</v>
      </c>
      <c r="H15" s="3" t="s">
        <v>38</v>
      </c>
      <c r="I15" s="3" t="s">
        <v>154</v>
      </c>
      <c r="J15" s="3" t="s">
        <v>40</v>
      </c>
      <c r="K15" s="3" t="s">
        <v>41</v>
      </c>
      <c r="L15" s="3" t="s">
        <v>149</v>
      </c>
      <c r="M15" s="3" t="s">
        <v>155</v>
      </c>
      <c r="N15" s="3" t="s">
        <v>123</v>
      </c>
      <c r="O15" s="3" t="s">
        <v>54</v>
      </c>
      <c r="P15" s="3" t="s">
        <v>156</v>
      </c>
      <c r="Q15" s="3" t="s">
        <v>157</v>
      </c>
      <c r="R15" s="3" t="s">
        <v>36</v>
      </c>
      <c r="S15" s="3" t="s">
        <v>48</v>
      </c>
      <c r="T15" s="3" t="s">
        <v>37</v>
      </c>
      <c r="U15" s="3" t="s">
        <v>73</v>
      </c>
      <c r="V15" s="3" t="s">
        <v>158</v>
      </c>
      <c r="W15" s="3" t="s">
        <v>40</v>
      </c>
      <c r="X15" s="3" t="s">
        <v>41</v>
      </c>
      <c r="Y15" s="3" t="s">
        <v>68</v>
      </c>
      <c r="Z15" s="3" t="s">
        <v>62</v>
      </c>
      <c r="AA15" s="3" t="s">
        <v>69</v>
      </c>
      <c r="AB15" s="3" t="s">
        <v>64</v>
      </c>
      <c r="AC15" s="3" t="s">
        <v>159</v>
      </c>
      <c r="AD15" s="14">
        <v>45166</v>
      </c>
      <c r="AE15" s="14"/>
      <c r="AF15" s="3"/>
    </row>
    <row r="16" spans="1:32" ht="118.9" hidden="1">
      <c r="A16" s="3" t="s">
        <v>32</v>
      </c>
      <c r="B16" s="3" t="s">
        <v>33</v>
      </c>
      <c r="C16" s="3"/>
      <c r="D16" s="3" t="s">
        <v>59</v>
      </c>
      <c r="E16" s="3" t="s">
        <v>36</v>
      </c>
      <c r="F16" s="3"/>
      <c r="G16" s="3" t="s">
        <v>37</v>
      </c>
      <c r="H16" s="3" t="s">
        <v>38</v>
      </c>
      <c r="I16" s="3" t="s">
        <v>39</v>
      </c>
      <c r="J16" s="3" t="s">
        <v>40</v>
      </c>
      <c r="K16" s="3" t="s">
        <v>41</v>
      </c>
      <c r="L16" s="3" t="s">
        <v>42</v>
      </c>
      <c r="M16" s="3" t="s">
        <v>43</v>
      </c>
      <c r="N16" s="3" t="s">
        <v>44</v>
      </c>
      <c r="O16" s="3" t="s">
        <v>45</v>
      </c>
      <c r="P16" s="3" t="s">
        <v>160</v>
      </c>
      <c r="Q16" s="3" t="s">
        <v>161</v>
      </c>
      <c r="R16" s="3"/>
      <c r="S16" s="3"/>
      <c r="T16" s="3" t="s">
        <v>82</v>
      </c>
      <c r="U16" s="3" t="s">
        <v>49</v>
      </c>
      <c r="V16" s="3"/>
      <c r="W16" s="3" t="s">
        <v>40</v>
      </c>
      <c r="X16" s="3"/>
      <c r="Y16" s="3"/>
      <c r="Z16" s="3"/>
      <c r="AA16" s="3" t="s">
        <v>63</v>
      </c>
      <c r="AB16" s="3"/>
      <c r="AC16" s="3" t="s">
        <v>162</v>
      </c>
      <c r="AD16" s="14">
        <v>45170</v>
      </c>
      <c r="AE16" s="14">
        <v>45351</v>
      </c>
      <c r="AF16" s="3" t="s">
        <v>163</v>
      </c>
    </row>
    <row r="17" spans="1:32" ht="92.45" hidden="1">
      <c r="A17" s="3" t="s">
        <v>32</v>
      </c>
      <c r="B17" s="3" t="s">
        <v>33</v>
      </c>
      <c r="C17" s="3"/>
      <c r="D17" s="3" t="s">
        <v>35</v>
      </c>
      <c r="E17" s="3" t="s">
        <v>36</v>
      </c>
      <c r="F17" s="3"/>
      <c r="G17" s="3" t="s">
        <v>37</v>
      </c>
      <c r="H17" s="3" t="s">
        <v>38</v>
      </c>
      <c r="I17" s="3" t="s">
        <v>39</v>
      </c>
      <c r="J17" s="3" t="s">
        <v>40</v>
      </c>
      <c r="K17" s="3" t="s">
        <v>41</v>
      </c>
      <c r="L17" s="3" t="s">
        <v>42</v>
      </c>
      <c r="M17" s="3" t="s">
        <v>43</v>
      </c>
      <c r="N17" s="3" t="s">
        <v>44</v>
      </c>
      <c r="O17" s="3" t="s">
        <v>45</v>
      </c>
      <c r="P17" s="3" t="s">
        <v>164</v>
      </c>
      <c r="Q17" s="3" t="s">
        <v>165</v>
      </c>
      <c r="R17" s="3" t="s">
        <v>36</v>
      </c>
      <c r="S17" s="3"/>
      <c r="T17" s="3" t="s">
        <v>37</v>
      </c>
      <c r="U17" s="3" t="s">
        <v>38</v>
      </c>
      <c r="V17" s="3" t="s">
        <v>166</v>
      </c>
      <c r="W17" s="3" t="s">
        <v>40</v>
      </c>
      <c r="X17" s="3" t="s">
        <v>41</v>
      </c>
      <c r="Y17" s="3" t="s">
        <v>167</v>
      </c>
      <c r="Z17" s="3" t="s">
        <v>168</v>
      </c>
      <c r="AA17" s="3" t="s">
        <v>44</v>
      </c>
      <c r="AB17" s="3" t="s">
        <v>54</v>
      </c>
      <c r="AC17" s="3" t="s">
        <v>169</v>
      </c>
      <c r="AD17" s="14">
        <v>45170</v>
      </c>
      <c r="AE17" s="14">
        <v>45351</v>
      </c>
      <c r="AF17" s="3" t="s">
        <v>56</v>
      </c>
    </row>
    <row r="18" spans="1:32" ht="92.45" hidden="1">
      <c r="A18" s="3" t="s">
        <v>32</v>
      </c>
      <c r="B18" s="3" t="s">
        <v>33</v>
      </c>
      <c r="C18" s="3"/>
      <c r="D18" s="3" t="s">
        <v>59</v>
      </c>
      <c r="E18" s="3" t="s">
        <v>36</v>
      </c>
      <c r="F18" s="3"/>
      <c r="G18" s="3" t="s">
        <v>37</v>
      </c>
      <c r="H18" s="3" t="s">
        <v>38</v>
      </c>
      <c r="I18" s="3" t="s">
        <v>39</v>
      </c>
      <c r="J18" s="3" t="s">
        <v>40</v>
      </c>
      <c r="K18" s="3" t="s">
        <v>41</v>
      </c>
      <c r="L18" s="3" t="s">
        <v>42</v>
      </c>
      <c r="M18" s="3" t="s">
        <v>43</v>
      </c>
      <c r="N18" s="3" t="s">
        <v>44</v>
      </c>
      <c r="O18" s="3" t="s">
        <v>45</v>
      </c>
      <c r="P18" s="3" t="s">
        <v>170</v>
      </c>
      <c r="Q18" s="3" t="s">
        <v>171</v>
      </c>
      <c r="R18" s="3" t="s">
        <v>36</v>
      </c>
      <c r="S18" s="3"/>
      <c r="T18" s="3" t="s">
        <v>82</v>
      </c>
      <c r="U18" s="3" t="s">
        <v>49</v>
      </c>
      <c r="V18" s="3" t="s">
        <v>172</v>
      </c>
      <c r="W18" s="3" t="s">
        <v>40</v>
      </c>
      <c r="X18" s="3" t="s">
        <v>41</v>
      </c>
      <c r="Y18" s="3" t="s">
        <v>167</v>
      </c>
      <c r="Z18" s="3" t="s">
        <v>107</v>
      </c>
      <c r="AA18" s="3" t="s">
        <v>63</v>
      </c>
      <c r="AB18" s="3" t="s">
        <v>64</v>
      </c>
      <c r="AC18" s="3" t="s">
        <v>173</v>
      </c>
      <c r="AD18" s="14">
        <v>45170</v>
      </c>
      <c r="AE18" s="14">
        <v>45351</v>
      </c>
      <c r="AF18" s="3" t="s">
        <v>56</v>
      </c>
    </row>
    <row r="19" spans="1:32" ht="92.45" hidden="1">
      <c r="A19" s="3" t="s">
        <v>32</v>
      </c>
      <c r="B19" s="3" t="s">
        <v>33</v>
      </c>
      <c r="C19" s="3"/>
      <c r="D19" s="3" t="s">
        <v>35</v>
      </c>
      <c r="E19" s="3" t="s">
        <v>36</v>
      </c>
      <c r="F19" s="3"/>
      <c r="G19" s="3" t="s">
        <v>37</v>
      </c>
      <c r="H19" s="3" t="s">
        <v>38</v>
      </c>
      <c r="I19" s="3" t="s">
        <v>39</v>
      </c>
      <c r="J19" s="3" t="s">
        <v>40</v>
      </c>
      <c r="K19" s="3" t="s">
        <v>41</v>
      </c>
      <c r="L19" s="3" t="s">
        <v>42</v>
      </c>
      <c r="M19" s="3" t="s">
        <v>43</v>
      </c>
      <c r="N19" s="3" t="s">
        <v>44</v>
      </c>
      <c r="O19" s="3" t="s">
        <v>45</v>
      </c>
      <c r="P19" s="3" t="s">
        <v>174</v>
      </c>
      <c r="Q19" s="3" t="s">
        <v>175</v>
      </c>
      <c r="R19" s="3" t="s">
        <v>36</v>
      </c>
      <c r="S19" s="3"/>
      <c r="T19" s="3" t="s">
        <v>37</v>
      </c>
      <c r="U19" s="3" t="s">
        <v>38</v>
      </c>
      <c r="V19" s="3" t="s">
        <v>172</v>
      </c>
      <c r="W19" s="3" t="s">
        <v>40</v>
      </c>
      <c r="X19" s="3" t="s">
        <v>41</v>
      </c>
      <c r="Y19" s="3" t="s">
        <v>167</v>
      </c>
      <c r="Z19" s="3" t="s">
        <v>130</v>
      </c>
      <c r="AA19" s="3" t="s">
        <v>44</v>
      </c>
      <c r="AB19" s="3" t="s">
        <v>54</v>
      </c>
      <c r="AC19" s="3" t="s">
        <v>176</v>
      </c>
      <c r="AD19" s="14">
        <v>45170</v>
      </c>
      <c r="AE19" s="14">
        <v>45351</v>
      </c>
      <c r="AF19" s="3" t="s">
        <v>56</v>
      </c>
    </row>
    <row r="20" spans="1:32" ht="39.6" hidden="1">
      <c r="A20" s="3" t="s">
        <v>177</v>
      </c>
      <c r="B20" s="3" t="s">
        <v>178</v>
      </c>
      <c r="C20" s="3" t="s">
        <v>179</v>
      </c>
      <c r="D20" s="3" t="s">
        <v>35</v>
      </c>
      <c r="E20" s="3" t="s">
        <v>36</v>
      </c>
      <c r="F20" s="3" t="s">
        <v>180</v>
      </c>
      <c r="G20" s="3" t="s">
        <v>37</v>
      </c>
      <c r="H20" s="3" t="s">
        <v>49</v>
      </c>
      <c r="I20" s="3" t="s">
        <v>181</v>
      </c>
      <c r="J20" s="3" t="s">
        <v>182</v>
      </c>
      <c r="K20" s="3" t="s">
        <v>41</v>
      </c>
      <c r="L20" s="3" t="s">
        <v>183</v>
      </c>
      <c r="M20" s="3" t="s">
        <v>184</v>
      </c>
      <c r="N20" s="3" t="s">
        <v>44</v>
      </c>
      <c r="O20" s="3" t="s">
        <v>54</v>
      </c>
      <c r="P20" s="3" t="s">
        <v>185</v>
      </c>
      <c r="Q20" s="3" t="s">
        <v>186</v>
      </c>
      <c r="R20" s="3" t="s">
        <v>36</v>
      </c>
      <c r="S20" s="3" t="s">
        <v>180</v>
      </c>
      <c r="T20" s="3" t="s">
        <v>37</v>
      </c>
      <c r="U20" s="3" t="s">
        <v>49</v>
      </c>
      <c r="V20" s="3" t="s">
        <v>187</v>
      </c>
      <c r="W20" s="3" t="s">
        <v>182</v>
      </c>
      <c r="X20" s="3" t="s">
        <v>41</v>
      </c>
      <c r="Y20" s="3" t="s">
        <v>188</v>
      </c>
      <c r="Z20" s="3" t="s">
        <v>189</v>
      </c>
      <c r="AA20" s="3" t="s">
        <v>53</v>
      </c>
      <c r="AB20" s="3" t="s">
        <v>64</v>
      </c>
      <c r="AC20" s="3" t="s">
        <v>190</v>
      </c>
      <c r="AD20" s="14">
        <v>45170</v>
      </c>
      <c r="AE20" s="14">
        <v>45566</v>
      </c>
      <c r="AF20" s="3"/>
    </row>
    <row r="21" spans="1:32" ht="52.9" hidden="1">
      <c r="A21" s="3" t="s">
        <v>191</v>
      </c>
      <c r="B21" s="3" t="s">
        <v>192</v>
      </c>
      <c r="C21" s="3" t="s">
        <v>193</v>
      </c>
      <c r="D21" s="3" t="s">
        <v>59</v>
      </c>
      <c r="E21" s="3"/>
      <c r="F21" s="3" t="s">
        <v>48</v>
      </c>
      <c r="G21" s="3" t="s">
        <v>82</v>
      </c>
      <c r="H21" s="3" t="s">
        <v>49</v>
      </c>
      <c r="I21" s="3"/>
      <c r="J21" s="3" t="s">
        <v>40</v>
      </c>
      <c r="K21" s="3"/>
      <c r="L21" s="3"/>
      <c r="M21" s="3"/>
      <c r="N21" s="3" t="s">
        <v>69</v>
      </c>
      <c r="O21" s="3"/>
      <c r="P21" s="3" t="s">
        <v>156</v>
      </c>
      <c r="Q21" s="3" t="s">
        <v>157</v>
      </c>
      <c r="R21" s="3" t="s">
        <v>36</v>
      </c>
      <c r="S21" s="3" t="s">
        <v>48</v>
      </c>
      <c r="T21" s="3" t="s">
        <v>37</v>
      </c>
      <c r="U21" s="3" t="s">
        <v>73</v>
      </c>
      <c r="V21" s="3" t="s">
        <v>158</v>
      </c>
      <c r="W21" s="3" t="s">
        <v>40</v>
      </c>
      <c r="X21" s="3" t="s">
        <v>41</v>
      </c>
      <c r="Y21" s="3" t="s">
        <v>68</v>
      </c>
      <c r="Z21" s="3" t="s">
        <v>62</v>
      </c>
      <c r="AA21" s="3" t="s">
        <v>69</v>
      </c>
      <c r="AB21" s="3" t="s">
        <v>64</v>
      </c>
      <c r="AC21" s="3" t="s">
        <v>194</v>
      </c>
      <c r="AD21" s="14">
        <v>45175</v>
      </c>
      <c r="AE21" s="14">
        <v>45175</v>
      </c>
      <c r="AF21" s="3"/>
    </row>
    <row r="22" spans="1:32" ht="39.6" hidden="1">
      <c r="A22" s="3" t="s">
        <v>195</v>
      </c>
      <c r="B22" s="3" t="s">
        <v>196</v>
      </c>
      <c r="C22" s="3"/>
      <c r="D22" s="3" t="s">
        <v>35</v>
      </c>
      <c r="E22" s="3" t="s">
        <v>36</v>
      </c>
      <c r="F22" s="3"/>
      <c r="G22" s="3" t="s">
        <v>82</v>
      </c>
      <c r="H22" s="3" t="s">
        <v>49</v>
      </c>
      <c r="I22" s="3" t="s">
        <v>197</v>
      </c>
      <c r="J22" s="3" t="s">
        <v>198</v>
      </c>
      <c r="K22" s="3" t="s">
        <v>41</v>
      </c>
      <c r="L22" s="3" t="s">
        <v>199</v>
      </c>
      <c r="M22" s="3" t="s">
        <v>200</v>
      </c>
      <c r="N22" s="3" t="s">
        <v>53</v>
      </c>
      <c r="O22" s="3" t="s">
        <v>201</v>
      </c>
      <c r="P22" s="3" t="s">
        <v>202</v>
      </c>
      <c r="Q22" s="3" t="s">
        <v>203</v>
      </c>
      <c r="R22" s="3" t="s">
        <v>36</v>
      </c>
      <c r="S22" s="3"/>
      <c r="T22" s="3" t="s">
        <v>37</v>
      </c>
      <c r="U22" s="3" t="s">
        <v>49</v>
      </c>
      <c r="V22" s="3" t="s">
        <v>204</v>
      </c>
      <c r="W22" s="3" t="s">
        <v>198</v>
      </c>
      <c r="X22" s="3" t="s">
        <v>41</v>
      </c>
      <c r="Y22" s="3" t="s">
        <v>205</v>
      </c>
      <c r="Z22" s="3" t="s">
        <v>206</v>
      </c>
      <c r="AA22" s="3" t="s">
        <v>63</v>
      </c>
      <c r="AB22" s="3" t="s">
        <v>116</v>
      </c>
      <c r="AC22" s="3" t="s">
        <v>207</v>
      </c>
      <c r="AD22" s="14">
        <v>45236</v>
      </c>
      <c r="AE22" s="14">
        <v>45249</v>
      </c>
      <c r="AF22" s="3"/>
    </row>
    <row r="23" spans="1:32" ht="52.9" hidden="1">
      <c r="A23" s="3" t="s">
        <v>208</v>
      </c>
      <c r="B23" s="3" t="s">
        <v>209</v>
      </c>
      <c r="C23" s="3" t="s">
        <v>210</v>
      </c>
      <c r="D23" s="3" t="s">
        <v>59</v>
      </c>
      <c r="E23" s="3"/>
      <c r="F23" s="3" t="s">
        <v>48</v>
      </c>
      <c r="G23" s="3" t="s">
        <v>82</v>
      </c>
      <c r="H23" s="3" t="s">
        <v>78</v>
      </c>
      <c r="I23" s="3"/>
      <c r="J23" s="3" t="s">
        <v>40</v>
      </c>
      <c r="K23" s="3"/>
      <c r="L23" s="3"/>
      <c r="M23" s="3"/>
      <c r="N23" s="3" t="s">
        <v>53</v>
      </c>
      <c r="O23" s="3"/>
      <c r="P23" s="3" t="s">
        <v>211</v>
      </c>
      <c r="Q23" s="3" t="s">
        <v>212</v>
      </c>
      <c r="R23" s="3" t="s">
        <v>213</v>
      </c>
      <c r="S23" s="3" t="s">
        <v>48</v>
      </c>
      <c r="T23" s="3" t="s">
        <v>37</v>
      </c>
      <c r="U23" s="3" t="s">
        <v>49</v>
      </c>
      <c r="V23" s="3" t="s">
        <v>214</v>
      </c>
      <c r="W23" s="3" t="s">
        <v>40</v>
      </c>
      <c r="X23" s="3" t="s">
        <v>41</v>
      </c>
      <c r="Y23" s="3" t="s">
        <v>215</v>
      </c>
      <c r="Z23" s="3" t="s">
        <v>216</v>
      </c>
      <c r="AA23" s="3" t="s">
        <v>63</v>
      </c>
      <c r="AB23" s="3" t="s">
        <v>201</v>
      </c>
      <c r="AC23" s="3" t="s">
        <v>217</v>
      </c>
      <c r="AD23" s="14">
        <v>44937</v>
      </c>
      <c r="AE23" s="14">
        <v>44937</v>
      </c>
      <c r="AF23" s="3"/>
    </row>
    <row r="24" spans="1:32" ht="92.45" hidden="1">
      <c r="A24" s="3" t="s">
        <v>218</v>
      </c>
      <c r="B24" s="3" t="s">
        <v>219</v>
      </c>
      <c r="C24" s="3" t="s">
        <v>220</v>
      </c>
      <c r="D24" s="3" t="s">
        <v>59</v>
      </c>
      <c r="E24" s="3" t="s">
        <v>36</v>
      </c>
      <c r="F24" s="3" t="s">
        <v>221</v>
      </c>
      <c r="G24" s="3" t="s">
        <v>82</v>
      </c>
      <c r="H24" s="3" t="s">
        <v>49</v>
      </c>
      <c r="I24" s="3" t="s">
        <v>222</v>
      </c>
      <c r="J24" s="3" t="s">
        <v>223</v>
      </c>
      <c r="K24" s="3" t="s">
        <v>41</v>
      </c>
      <c r="L24" s="3" t="s">
        <v>224</v>
      </c>
      <c r="M24" s="3" t="s">
        <v>225</v>
      </c>
      <c r="N24" s="3" t="s">
        <v>79</v>
      </c>
      <c r="O24" s="3" t="s">
        <v>226</v>
      </c>
      <c r="P24" s="3" t="s">
        <v>227</v>
      </c>
      <c r="Q24" s="3" t="s">
        <v>228</v>
      </c>
      <c r="R24" s="3" t="s">
        <v>36</v>
      </c>
      <c r="S24" s="3" t="s">
        <v>221</v>
      </c>
      <c r="T24" s="3" t="s">
        <v>82</v>
      </c>
      <c r="U24" s="3" t="s">
        <v>49</v>
      </c>
      <c r="V24" s="3" t="s">
        <v>229</v>
      </c>
      <c r="W24" s="3" t="s">
        <v>223</v>
      </c>
      <c r="X24" s="3" t="s">
        <v>41</v>
      </c>
      <c r="Y24" s="3" t="s">
        <v>230</v>
      </c>
      <c r="Z24" s="3" t="s">
        <v>231</v>
      </c>
      <c r="AA24" s="3" t="s">
        <v>79</v>
      </c>
      <c r="AB24" s="3" t="s">
        <v>100</v>
      </c>
      <c r="AC24" s="3" t="s">
        <v>232</v>
      </c>
      <c r="AD24" s="14">
        <v>44935</v>
      </c>
      <c r="AE24" s="14">
        <v>45443</v>
      </c>
      <c r="AF24" s="3" t="s">
        <v>233</v>
      </c>
    </row>
    <row r="25" spans="1:32" ht="118.9" hidden="1">
      <c r="A25" s="3" t="s">
        <v>234</v>
      </c>
      <c r="B25" s="3" t="s">
        <v>235</v>
      </c>
      <c r="C25" s="3" t="s">
        <v>236</v>
      </c>
      <c r="D25" s="3" t="s">
        <v>59</v>
      </c>
      <c r="E25" s="3" t="s">
        <v>36</v>
      </c>
      <c r="F25" s="3" t="s">
        <v>221</v>
      </c>
      <c r="G25" s="3" t="s">
        <v>37</v>
      </c>
      <c r="H25" s="3" t="s">
        <v>49</v>
      </c>
      <c r="I25" s="3" t="s">
        <v>237</v>
      </c>
      <c r="J25" s="3" t="s">
        <v>223</v>
      </c>
      <c r="K25" s="3" t="s">
        <v>41</v>
      </c>
      <c r="L25" s="3" t="s">
        <v>238</v>
      </c>
      <c r="M25" s="3" t="s">
        <v>239</v>
      </c>
      <c r="N25" s="3" t="s">
        <v>63</v>
      </c>
      <c r="O25" s="3" t="s">
        <v>240</v>
      </c>
      <c r="P25" s="3" t="s">
        <v>241</v>
      </c>
      <c r="Q25" s="3" t="s">
        <v>242</v>
      </c>
      <c r="R25" s="3"/>
      <c r="S25" s="3" t="s">
        <v>221</v>
      </c>
      <c r="T25" s="3" t="s">
        <v>82</v>
      </c>
      <c r="U25" s="3" t="s">
        <v>49</v>
      </c>
      <c r="V25" s="3"/>
      <c r="W25" s="3" t="s">
        <v>223</v>
      </c>
      <c r="X25" s="3"/>
      <c r="Y25" s="3"/>
      <c r="Z25" s="3"/>
      <c r="AA25" s="3" t="s">
        <v>63</v>
      </c>
      <c r="AB25" s="3"/>
      <c r="AC25" s="3" t="s">
        <v>243</v>
      </c>
      <c r="AD25" s="14">
        <v>45047</v>
      </c>
      <c r="AE25" s="14">
        <v>45412</v>
      </c>
      <c r="AF25" s="3"/>
    </row>
    <row r="26" spans="1:32" ht="409.6" hidden="1">
      <c r="A26" s="3" t="s">
        <v>244</v>
      </c>
      <c r="B26" s="3" t="s">
        <v>245</v>
      </c>
      <c r="C26" s="3" t="s">
        <v>246</v>
      </c>
      <c r="D26" s="3" t="s">
        <v>59</v>
      </c>
      <c r="E26" s="3" t="s">
        <v>36</v>
      </c>
      <c r="F26" s="3" t="s">
        <v>247</v>
      </c>
      <c r="G26" s="3" t="s">
        <v>37</v>
      </c>
      <c r="H26" s="3" t="s">
        <v>38</v>
      </c>
      <c r="I26" s="3" t="s">
        <v>248</v>
      </c>
      <c r="J26" s="3" t="s">
        <v>223</v>
      </c>
      <c r="K26" s="3" t="s">
        <v>41</v>
      </c>
      <c r="L26" s="3" t="s">
        <v>249</v>
      </c>
      <c r="M26" s="3" t="s">
        <v>250</v>
      </c>
      <c r="N26" s="3" t="s">
        <v>79</v>
      </c>
      <c r="O26" s="3" t="s">
        <v>251</v>
      </c>
      <c r="P26" s="3" t="s">
        <v>252</v>
      </c>
      <c r="Q26" s="3" t="s">
        <v>253</v>
      </c>
      <c r="R26" s="3" t="s">
        <v>36</v>
      </c>
      <c r="S26" s="3" t="s">
        <v>254</v>
      </c>
      <c r="T26" s="3" t="s">
        <v>37</v>
      </c>
      <c r="U26" s="3" t="s">
        <v>49</v>
      </c>
      <c r="V26" s="3" t="s">
        <v>255</v>
      </c>
      <c r="W26" s="3" t="s">
        <v>223</v>
      </c>
      <c r="X26" s="3" t="s">
        <v>41</v>
      </c>
      <c r="Y26" s="3" t="s">
        <v>256</v>
      </c>
      <c r="Z26" s="3" t="s">
        <v>257</v>
      </c>
      <c r="AA26" s="3" t="s">
        <v>79</v>
      </c>
      <c r="AB26" s="3" t="s">
        <v>201</v>
      </c>
      <c r="AC26" s="3" t="s">
        <v>258</v>
      </c>
      <c r="AD26" s="14">
        <v>45156</v>
      </c>
      <c r="AE26" s="14">
        <v>45351</v>
      </c>
      <c r="AF26" s="3"/>
    </row>
    <row r="27" spans="1:32" ht="92.45" hidden="1">
      <c r="A27" s="3" t="s">
        <v>259</v>
      </c>
      <c r="B27" s="3" t="s">
        <v>260</v>
      </c>
      <c r="C27" s="3" t="s">
        <v>261</v>
      </c>
      <c r="D27" s="3" t="s">
        <v>59</v>
      </c>
      <c r="E27" s="3" t="s">
        <v>36</v>
      </c>
      <c r="F27" s="3" t="s">
        <v>254</v>
      </c>
      <c r="G27" s="3" t="s">
        <v>37</v>
      </c>
      <c r="H27" s="3" t="s">
        <v>78</v>
      </c>
      <c r="I27" s="3" t="s">
        <v>262</v>
      </c>
      <c r="J27" s="3" t="s">
        <v>223</v>
      </c>
      <c r="K27" s="3" t="s">
        <v>41</v>
      </c>
      <c r="L27" s="3" t="s">
        <v>263</v>
      </c>
      <c r="M27" s="3" t="s">
        <v>264</v>
      </c>
      <c r="N27" s="3" t="s">
        <v>79</v>
      </c>
      <c r="O27" s="3" t="s">
        <v>94</v>
      </c>
      <c r="P27" s="3" t="s">
        <v>265</v>
      </c>
      <c r="Q27" s="3" t="s">
        <v>266</v>
      </c>
      <c r="R27" s="3" t="s">
        <v>36</v>
      </c>
      <c r="S27" s="3" t="s">
        <v>221</v>
      </c>
      <c r="T27" s="3" t="s">
        <v>37</v>
      </c>
      <c r="U27" s="3" t="s">
        <v>73</v>
      </c>
      <c r="V27" s="3" t="s">
        <v>267</v>
      </c>
      <c r="W27" s="3" t="s">
        <v>223</v>
      </c>
      <c r="X27" s="3" t="s">
        <v>41</v>
      </c>
      <c r="Y27" s="3" t="s">
        <v>268</v>
      </c>
      <c r="Z27" s="3" t="s">
        <v>269</v>
      </c>
      <c r="AA27" s="3" t="s">
        <v>79</v>
      </c>
      <c r="AB27" s="3" t="s">
        <v>270</v>
      </c>
      <c r="AC27" s="3" t="s">
        <v>271</v>
      </c>
      <c r="AD27" s="14">
        <v>44971</v>
      </c>
      <c r="AE27" s="14">
        <v>45639</v>
      </c>
      <c r="AF27" s="3"/>
    </row>
    <row r="28" spans="1:32" ht="52.9" hidden="1">
      <c r="A28" s="3" t="s">
        <v>272</v>
      </c>
      <c r="B28" s="3" t="s">
        <v>273</v>
      </c>
      <c r="C28" s="3"/>
      <c r="D28" s="3" t="s">
        <v>132</v>
      </c>
      <c r="E28" s="3" t="s">
        <v>36</v>
      </c>
      <c r="F28" s="3" t="s">
        <v>274</v>
      </c>
      <c r="G28" s="3" t="s">
        <v>82</v>
      </c>
      <c r="H28" s="3" t="s">
        <v>78</v>
      </c>
      <c r="I28" s="3" t="s">
        <v>275</v>
      </c>
      <c r="J28" s="3" t="s">
        <v>223</v>
      </c>
      <c r="K28" s="3" t="s">
        <v>41</v>
      </c>
      <c r="L28" s="3" t="s">
        <v>276</v>
      </c>
      <c r="M28" s="3" t="s">
        <v>277</v>
      </c>
      <c r="N28" s="3" t="s">
        <v>123</v>
      </c>
      <c r="O28" s="3" t="s">
        <v>278</v>
      </c>
      <c r="P28" s="3" t="s">
        <v>279</v>
      </c>
      <c r="Q28" s="3" t="s">
        <v>280</v>
      </c>
      <c r="R28" s="3"/>
      <c r="S28" s="3" t="s">
        <v>221</v>
      </c>
      <c r="T28" s="3" t="s">
        <v>82</v>
      </c>
      <c r="U28" s="3" t="s">
        <v>49</v>
      </c>
      <c r="V28" s="3"/>
      <c r="W28" s="3" t="s">
        <v>223</v>
      </c>
      <c r="X28" s="3"/>
      <c r="Y28" s="3"/>
      <c r="Z28" s="3"/>
      <c r="AA28" s="3" t="s">
        <v>281</v>
      </c>
      <c r="AB28" s="3"/>
      <c r="AC28" s="3" t="s">
        <v>282</v>
      </c>
      <c r="AD28" s="14">
        <v>44855</v>
      </c>
      <c r="AE28" s="14"/>
      <c r="AF28" s="3"/>
    </row>
    <row r="29" spans="1:32" ht="52.9" hidden="1">
      <c r="A29" s="3" t="s">
        <v>283</v>
      </c>
      <c r="B29" s="3" t="s">
        <v>284</v>
      </c>
      <c r="C29" s="3"/>
      <c r="D29" s="3" t="s">
        <v>59</v>
      </c>
      <c r="E29" s="3"/>
      <c r="F29" s="3" t="s">
        <v>221</v>
      </c>
      <c r="G29" s="3" t="s">
        <v>82</v>
      </c>
      <c r="H29" s="3" t="s">
        <v>49</v>
      </c>
      <c r="I29" s="3"/>
      <c r="J29" s="3" t="s">
        <v>223</v>
      </c>
      <c r="K29" s="3"/>
      <c r="L29" s="3"/>
      <c r="M29" s="3"/>
      <c r="N29" s="3" t="s">
        <v>285</v>
      </c>
      <c r="O29" s="3"/>
      <c r="P29" s="3" t="s">
        <v>286</v>
      </c>
      <c r="Q29" s="3" t="s">
        <v>287</v>
      </c>
      <c r="R29" s="3" t="s">
        <v>36</v>
      </c>
      <c r="S29" s="3" t="s">
        <v>221</v>
      </c>
      <c r="T29" s="3" t="s">
        <v>37</v>
      </c>
      <c r="U29" s="3" t="s">
        <v>49</v>
      </c>
      <c r="V29" s="3" t="s">
        <v>288</v>
      </c>
      <c r="W29" s="3" t="s">
        <v>223</v>
      </c>
      <c r="X29" s="3" t="s">
        <v>41</v>
      </c>
      <c r="Y29" s="3" t="s">
        <v>230</v>
      </c>
      <c r="Z29" s="3" t="s">
        <v>231</v>
      </c>
      <c r="AA29" s="3" t="s">
        <v>63</v>
      </c>
      <c r="AB29" s="3" t="s">
        <v>100</v>
      </c>
      <c r="AC29" s="3" t="s">
        <v>289</v>
      </c>
      <c r="AD29" s="14">
        <v>45063</v>
      </c>
      <c r="AE29" s="14"/>
      <c r="AF29" s="3"/>
    </row>
    <row r="30" spans="1:32" ht="39.6" hidden="1">
      <c r="A30" s="3" t="s">
        <v>290</v>
      </c>
      <c r="B30" s="3" t="s">
        <v>291</v>
      </c>
      <c r="C30" s="3"/>
      <c r="D30" s="3" t="s">
        <v>59</v>
      </c>
      <c r="E30" s="3" t="s">
        <v>36</v>
      </c>
      <c r="F30" s="3" t="s">
        <v>254</v>
      </c>
      <c r="G30" s="3" t="s">
        <v>82</v>
      </c>
      <c r="H30" s="3" t="s">
        <v>78</v>
      </c>
      <c r="I30" s="3" t="s">
        <v>292</v>
      </c>
      <c r="J30" s="3" t="s">
        <v>223</v>
      </c>
      <c r="K30" s="3" t="s">
        <v>41</v>
      </c>
      <c r="L30" s="3" t="s">
        <v>293</v>
      </c>
      <c r="M30" s="3" t="s">
        <v>294</v>
      </c>
      <c r="N30" s="3" t="s">
        <v>123</v>
      </c>
      <c r="O30" s="3" t="s">
        <v>295</v>
      </c>
      <c r="P30" s="3" t="s">
        <v>296</v>
      </c>
      <c r="Q30" s="3" t="s">
        <v>297</v>
      </c>
      <c r="R30" s="3" t="s">
        <v>36</v>
      </c>
      <c r="S30" s="3" t="s">
        <v>247</v>
      </c>
      <c r="T30" s="3" t="s">
        <v>82</v>
      </c>
      <c r="U30" s="3" t="s">
        <v>49</v>
      </c>
      <c r="V30" s="3" t="s">
        <v>298</v>
      </c>
      <c r="W30" s="3" t="s">
        <v>223</v>
      </c>
      <c r="X30" s="3" t="s">
        <v>41</v>
      </c>
      <c r="Y30" s="3" t="s">
        <v>299</v>
      </c>
      <c r="Z30" s="3" t="s">
        <v>300</v>
      </c>
      <c r="AA30" s="3" t="s">
        <v>281</v>
      </c>
      <c r="AB30" s="3" t="s">
        <v>301</v>
      </c>
      <c r="AC30" s="3" t="s">
        <v>302</v>
      </c>
      <c r="AD30" s="14">
        <v>45264</v>
      </c>
      <c r="AE30" s="14"/>
      <c r="AF30" s="3"/>
    </row>
    <row r="31" spans="1:32" ht="39.6" hidden="1">
      <c r="A31" s="3" t="s">
        <v>303</v>
      </c>
      <c r="B31" s="3" t="s">
        <v>304</v>
      </c>
      <c r="C31" s="3"/>
      <c r="D31" s="3" t="s">
        <v>59</v>
      </c>
      <c r="E31" s="3" t="s">
        <v>36</v>
      </c>
      <c r="F31" s="3" t="s">
        <v>254</v>
      </c>
      <c r="G31" s="3" t="s">
        <v>82</v>
      </c>
      <c r="H31" s="3" t="s">
        <v>38</v>
      </c>
      <c r="I31" s="3" t="s">
        <v>305</v>
      </c>
      <c r="J31" s="3" t="s">
        <v>223</v>
      </c>
      <c r="K31" s="3" t="s">
        <v>41</v>
      </c>
      <c r="L31" s="3" t="s">
        <v>306</v>
      </c>
      <c r="M31" s="3" t="s">
        <v>307</v>
      </c>
      <c r="N31" s="3" t="s">
        <v>63</v>
      </c>
      <c r="O31" s="3" t="s">
        <v>308</v>
      </c>
      <c r="P31" s="3" t="s">
        <v>309</v>
      </c>
      <c r="Q31" s="3" t="s">
        <v>310</v>
      </c>
      <c r="R31" s="3" t="s">
        <v>36</v>
      </c>
      <c r="S31" s="3" t="s">
        <v>247</v>
      </c>
      <c r="T31" s="3" t="s">
        <v>37</v>
      </c>
      <c r="U31" s="3" t="s">
        <v>49</v>
      </c>
      <c r="V31" s="3" t="s">
        <v>311</v>
      </c>
      <c r="W31" s="3" t="s">
        <v>223</v>
      </c>
      <c r="X31" s="3" t="s">
        <v>41</v>
      </c>
      <c r="Y31" s="3" t="s">
        <v>312</v>
      </c>
      <c r="Z31" s="3" t="s">
        <v>313</v>
      </c>
      <c r="AA31" s="3" t="s">
        <v>63</v>
      </c>
      <c r="AB31" s="3" t="s">
        <v>308</v>
      </c>
      <c r="AC31" s="3" t="s">
        <v>314</v>
      </c>
      <c r="AD31" s="14">
        <v>44986</v>
      </c>
      <c r="AE31" s="14"/>
      <c r="AF31" s="3"/>
    </row>
    <row r="32" spans="1:32" ht="52.9" hidden="1">
      <c r="A32" s="3" t="s">
        <v>315</v>
      </c>
      <c r="B32" s="3" t="s">
        <v>316</v>
      </c>
      <c r="C32" s="3" t="s">
        <v>317</v>
      </c>
      <c r="D32" s="3" t="s">
        <v>59</v>
      </c>
      <c r="E32" s="3" t="s">
        <v>36</v>
      </c>
      <c r="F32" s="3" t="s">
        <v>274</v>
      </c>
      <c r="G32" s="3" t="s">
        <v>37</v>
      </c>
      <c r="H32" s="3" t="s">
        <v>78</v>
      </c>
      <c r="I32" s="3" t="s">
        <v>318</v>
      </c>
      <c r="J32" s="3" t="s">
        <v>223</v>
      </c>
      <c r="K32" s="3" t="s">
        <v>41</v>
      </c>
      <c r="L32" s="3" t="s">
        <v>319</v>
      </c>
      <c r="M32" s="3" t="s">
        <v>320</v>
      </c>
      <c r="N32" s="3" t="s">
        <v>123</v>
      </c>
      <c r="O32" s="3" t="s">
        <v>100</v>
      </c>
      <c r="P32" s="3" t="s">
        <v>321</v>
      </c>
      <c r="Q32" s="3" t="s">
        <v>322</v>
      </c>
      <c r="R32" s="3"/>
      <c r="S32" s="3" t="s">
        <v>180</v>
      </c>
      <c r="T32" s="3" t="s">
        <v>82</v>
      </c>
      <c r="U32" s="3" t="s">
        <v>78</v>
      </c>
      <c r="V32" s="3"/>
      <c r="W32" s="3" t="s">
        <v>182</v>
      </c>
      <c r="X32" s="3"/>
      <c r="Y32" s="3"/>
      <c r="Z32" s="3"/>
      <c r="AA32" s="3" t="s">
        <v>79</v>
      </c>
      <c r="AB32" s="3"/>
      <c r="AC32" s="3" t="s">
        <v>323</v>
      </c>
      <c r="AD32" s="14">
        <v>45260</v>
      </c>
      <c r="AE32" s="14">
        <v>45535</v>
      </c>
      <c r="AF32" s="3"/>
    </row>
    <row r="33" spans="1:32" ht="52.9" hidden="1">
      <c r="A33" s="3" t="s">
        <v>324</v>
      </c>
      <c r="B33" s="3" t="s">
        <v>325</v>
      </c>
      <c r="C33" s="3"/>
      <c r="D33" s="3" t="s">
        <v>59</v>
      </c>
      <c r="E33" s="3"/>
      <c r="F33" s="3" t="s">
        <v>274</v>
      </c>
      <c r="G33" s="3" t="s">
        <v>82</v>
      </c>
      <c r="H33" s="3" t="s">
        <v>78</v>
      </c>
      <c r="I33" s="3"/>
      <c r="J33" s="3" t="s">
        <v>223</v>
      </c>
      <c r="K33" s="3"/>
      <c r="L33" s="3"/>
      <c r="M33" s="3"/>
      <c r="N33" s="3" t="s">
        <v>123</v>
      </c>
      <c r="O33" s="3"/>
      <c r="P33" s="3" t="s">
        <v>326</v>
      </c>
      <c r="Q33" s="3" t="s">
        <v>327</v>
      </c>
      <c r="R33" s="3" t="s">
        <v>36</v>
      </c>
      <c r="S33" s="3" t="s">
        <v>274</v>
      </c>
      <c r="T33" s="3" t="s">
        <v>82</v>
      </c>
      <c r="U33" s="3" t="s">
        <v>38</v>
      </c>
      <c r="V33" s="3" t="s">
        <v>328</v>
      </c>
      <c r="W33" s="3" t="s">
        <v>223</v>
      </c>
      <c r="X33" s="3" t="s">
        <v>41</v>
      </c>
      <c r="Y33" s="3" t="s">
        <v>329</v>
      </c>
      <c r="Z33" s="3" t="s">
        <v>330</v>
      </c>
      <c r="AA33" s="3" t="s">
        <v>123</v>
      </c>
      <c r="AB33" s="3" t="s">
        <v>64</v>
      </c>
      <c r="AC33" s="3" t="s">
        <v>331</v>
      </c>
      <c r="AD33" s="14">
        <v>45108</v>
      </c>
      <c r="AE33" s="14">
        <v>45473</v>
      </c>
      <c r="AF33" s="3"/>
    </row>
    <row r="34" spans="1:32" ht="39.6" hidden="1">
      <c r="A34" s="3" t="s">
        <v>332</v>
      </c>
      <c r="B34" s="3" t="s">
        <v>333</v>
      </c>
      <c r="C34" s="3" t="s">
        <v>334</v>
      </c>
      <c r="D34" s="3" t="s">
        <v>59</v>
      </c>
      <c r="E34" s="3" t="s">
        <v>36</v>
      </c>
      <c r="F34" s="3" t="s">
        <v>254</v>
      </c>
      <c r="G34" s="3" t="s">
        <v>82</v>
      </c>
      <c r="H34" s="3" t="s">
        <v>38</v>
      </c>
      <c r="I34" s="3" t="s">
        <v>335</v>
      </c>
      <c r="J34" s="3" t="s">
        <v>223</v>
      </c>
      <c r="K34" s="3" t="s">
        <v>41</v>
      </c>
      <c r="L34" s="3" t="s">
        <v>336</v>
      </c>
      <c r="M34" s="3" t="s">
        <v>337</v>
      </c>
      <c r="N34" s="3" t="s">
        <v>44</v>
      </c>
      <c r="O34" s="3" t="s">
        <v>338</v>
      </c>
      <c r="P34" s="3" t="s">
        <v>339</v>
      </c>
      <c r="Q34" s="3" t="s">
        <v>340</v>
      </c>
      <c r="R34" s="3" t="s">
        <v>36</v>
      </c>
      <c r="S34" s="3" t="s">
        <v>221</v>
      </c>
      <c r="T34" s="3" t="s">
        <v>37</v>
      </c>
      <c r="U34" s="3" t="s">
        <v>49</v>
      </c>
      <c r="V34" s="3" t="s">
        <v>341</v>
      </c>
      <c r="W34" s="3" t="s">
        <v>223</v>
      </c>
      <c r="X34" s="3" t="s">
        <v>41</v>
      </c>
      <c r="Y34" s="3" t="s">
        <v>342</v>
      </c>
      <c r="Z34" s="3" t="s">
        <v>343</v>
      </c>
      <c r="AA34" s="3" t="s">
        <v>63</v>
      </c>
      <c r="AB34" s="3" t="s">
        <v>344</v>
      </c>
      <c r="AC34" s="3" t="s">
        <v>345</v>
      </c>
      <c r="AD34" s="14">
        <v>45108</v>
      </c>
      <c r="AE34" s="14">
        <v>45474</v>
      </c>
      <c r="AF34" s="3"/>
    </row>
    <row r="35" spans="1:32" ht="52.9" hidden="1">
      <c r="A35" s="3" t="s">
        <v>346</v>
      </c>
      <c r="B35" s="3" t="s">
        <v>347</v>
      </c>
      <c r="C35" s="3"/>
      <c r="D35" s="3" t="s">
        <v>348</v>
      </c>
      <c r="E35" s="3"/>
      <c r="F35" s="3" t="s">
        <v>274</v>
      </c>
      <c r="G35" s="3" t="s">
        <v>82</v>
      </c>
      <c r="H35" s="3" t="s">
        <v>49</v>
      </c>
      <c r="I35" s="3"/>
      <c r="J35" s="3" t="s">
        <v>223</v>
      </c>
      <c r="K35" s="3"/>
      <c r="L35" s="3"/>
      <c r="M35" s="3"/>
      <c r="N35" s="3" t="s">
        <v>53</v>
      </c>
      <c r="O35" s="3"/>
      <c r="P35" s="3" t="s">
        <v>349</v>
      </c>
      <c r="Q35" s="3" t="s">
        <v>350</v>
      </c>
      <c r="R35" s="3"/>
      <c r="S35" s="3" t="s">
        <v>221</v>
      </c>
      <c r="T35" s="3" t="s">
        <v>82</v>
      </c>
      <c r="U35" s="3" t="s">
        <v>49</v>
      </c>
      <c r="V35" s="3"/>
      <c r="W35" s="3" t="s">
        <v>223</v>
      </c>
      <c r="X35" s="3"/>
      <c r="Y35" s="3"/>
      <c r="Z35" s="3"/>
      <c r="AA35" s="3" t="s">
        <v>53</v>
      </c>
      <c r="AB35" s="3"/>
      <c r="AC35" s="3" t="s">
        <v>351</v>
      </c>
      <c r="AD35" s="14">
        <v>45231</v>
      </c>
      <c r="AE35" s="14">
        <v>45443</v>
      </c>
      <c r="AF35" s="3"/>
    </row>
    <row r="36" spans="1:32" ht="92.45" hidden="1">
      <c r="A36" s="3" t="s">
        <v>352</v>
      </c>
      <c r="B36" s="3" t="s">
        <v>353</v>
      </c>
      <c r="C36" s="3" t="s">
        <v>354</v>
      </c>
      <c r="D36" s="3" t="s">
        <v>59</v>
      </c>
      <c r="E36" s="3" t="s">
        <v>36</v>
      </c>
      <c r="F36" s="3" t="s">
        <v>247</v>
      </c>
      <c r="G36" s="3" t="s">
        <v>82</v>
      </c>
      <c r="H36" s="3" t="s">
        <v>38</v>
      </c>
      <c r="I36" s="3" t="s">
        <v>355</v>
      </c>
      <c r="J36" s="3" t="s">
        <v>223</v>
      </c>
      <c r="K36" s="3" t="s">
        <v>356</v>
      </c>
      <c r="L36" s="3" t="s">
        <v>357</v>
      </c>
      <c r="M36" s="3" t="s">
        <v>358</v>
      </c>
      <c r="N36" s="3" t="s">
        <v>44</v>
      </c>
      <c r="O36" s="3" t="s">
        <v>278</v>
      </c>
      <c r="P36" s="3" t="s">
        <v>359</v>
      </c>
      <c r="Q36" s="3" t="s">
        <v>360</v>
      </c>
      <c r="R36" s="3" t="s">
        <v>36</v>
      </c>
      <c r="S36" s="3" t="s">
        <v>254</v>
      </c>
      <c r="T36" s="3" t="s">
        <v>37</v>
      </c>
      <c r="U36" s="3" t="s">
        <v>49</v>
      </c>
      <c r="V36" s="3" t="s">
        <v>361</v>
      </c>
      <c r="W36" s="3" t="s">
        <v>223</v>
      </c>
      <c r="X36" s="3" t="s">
        <v>41</v>
      </c>
      <c r="Y36" s="3" t="s">
        <v>362</v>
      </c>
      <c r="Z36" s="3" t="s">
        <v>363</v>
      </c>
      <c r="AA36" s="3" t="s">
        <v>53</v>
      </c>
      <c r="AB36" s="3" t="s">
        <v>270</v>
      </c>
      <c r="AC36" s="3" t="s">
        <v>364</v>
      </c>
      <c r="AD36" s="14">
        <v>45244</v>
      </c>
      <c r="AE36" s="14">
        <v>45596</v>
      </c>
      <c r="AF36" s="3"/>
    </row>
    <row r="37" spans="1:32" ht="52.9" hidden="1">
      <c r="A37" s="3" t="s">
        <v>365</v>
      </c>
      <c r="B37" s="3" t="s">
        <v>366</v>
      </c>
      <c r="C37" s="3" t="s">
        <v>367</v>
      </c>
      <c r="D37" s="3" t="s">
        <v>35</v>
      </c>
      <c r="E37" s="3"/>
      <c r="F37" s="3" t="s">
        <v>221</v>
      </c>
      <c r="G37" s="3" t="s">
        <v>82</v>
      </c>
      <c r="H37" s="3" t="s">
        <v>38</v>
      </c>
      <c r="I37" s="3"/>
      <c r="J37" s="3" t="s">
        <v>223</v>
      </c>
      <c r="K37" s="3"/>
      <c r="L37" s="3"/>
      <c r="M37" s="3"/>
      <c r="N37" s="3" t="s">
        <v>44</v>
      </c>
      <c r="O37" s="3"/>
      <c r="P37" s="3" t="s">
        <v>368</v>
      </c>
      <c r="Q37" s="3" t="s">
        <v>369</v>
      </c>
      <c r="R37" s="3" t="s">
        <v>36</v>
      </c>
      <c r="S37" s="3" t="s">
        <v>221</v>
      </c>
      <c r="T37" s="3" t="s">
        <v>37</v>
      </c>
      <c r="U37" s="3" t="s">
        <v>49</v>
      </c>
      <c r="V37" s="3" t="s">
        <v>370</v>
      </c>
      <c r="W37" s="3" t="s">
        <v>223</v>
      </c>
      <c r="X37" s="3" t="s">
        <v>41</v>
      </c>
      <c r="Y37" s="3" t="s">
        <v>371</v>
      </c>
      <c r="Z37" s="3" t="s">
        <v>372</v>
      </c>
      <c r="AA37" s="3" t="s">
        <v>53</v>
      </c>
      <c r="AB37" s="3" t="s">
        <v>201</v>
      </c>
      <c r="AC37" s="3" t="s">
        <v>373</v>
      </c>
      <c r="AD37" s="14">
        <v>45209</v>
      </c>
      <c r="AE37" s="14">
        <v>45412</v>
      </c>
      <c r="AF37" s="3"/>
    </row>
    <row r="38" spans="1:32" ht="158.44999999999999" hidden="1">
      <c r="A38" s="3" t="s">
        <v>374</v>
      </c>
      <c r="B38" s="3" t="s">
        <v>375</v>
      </c>
      <c r="C38" s="3" t="s">
        <v>376</v>
      </c>
      <c r="D38" s="3" t="s">
        <v>59</v>
      </c>
      <c r="E38" s="3" t="s">
        <v>36</v>
      </c>
      <c r="F38" s="3" t="s">
        <v>221</v>
      </c>
      <c r="G38" s="3" t="s">
        <v>37</v>
      </c>
      <c r="H38" s="3" t="s">
        <v>49</v>
      </c>
      <c r="I38" s="3" t="s">
        <v>377</v>
      </c>
      <c r="J38" s="3" t="s">
        <v>223</v>
      </c>
      <c r="K38" s="3" t="s">
        <v>41</v>
      </c>
      <c r="L38" s="3" t="s">
        <v>378</v>
      </c>
      <c r="M38" s="3" t="s">
        <v>379</v>
      </c>
      <c r="N38" s="3" t="s">
        <v>79</v>
      </c>
      <c r="O38" s="3" t="s">
        <v>45</v>
      </c>
      <c r="P38" s="3" t="s">
        <v>380</v>
      </c>
      <c r="Q38" s="3" t="s">
        <v>381</v>
      </c>
      <c r="R38" s="3" t="s">
        <v>36</v>
      </c>
      <c r="S38" s="3" t="s">
        <v>221</v>
      </c>
      <c r="T38" s="3" t="s">
        <v>37</v>
      </c>
      <c r="U38" s="3" t="s">
        <v>38</v>
      </c>
      <c r="V38" s="3" t="s">
        <v>382</v>
      </c>
      <c r="W38" s="3" t="s">
        <v>223</v>
      </c>
      <c r="X38" s="3" t="s">
        <v>41</v>
      </c>
      <c r="Y38" s="3" t="s">
        <v>383</v>
      </c>
      <c r="Z38" s="3" t="s">
        <v>384</v>
      </c>
      <c r="AA38" s="3" t="s">
        <v>53</v>
      </c>
      <c r="AB38" s="3" t="s">
        <v>385</v>
      </c>
      <c r="AC38" s="3" t="s">
        <v>386</v>
      </c>
      <c r="AD38" s="14">
        <v>44593</v>
      </c>
      <c r="AE38" s="14">
        <v>45833</v>
      </c>
      <c r="AF38" s="3"/>
    </row>
    <row r="39" spans="1:32" ht="105.6" hidden="1">
      <c r="A39" s="3" t="s">
        <v>387</v>
      </c>
      <c r="B39" s="3" t="s">
        <v>388</v>
      </c>
      <c r="C39" s="3" t="s">
        <v>389</v>
      </c>
      <c r="D39" s="3" t="s">
        <v>35</v>
      </c>
      <c r="E39" s="3" t="s">
        <v>36</v>
      </c>
      <c r="F39" s="3" t="s">
        <v>254</v>
      </c>
      <c r="G39" s="3" t="s">
        <v>37</v>
      </c>
      <c r="H39" s="3" t="s">
        <v>38</v>
      </c>
      <c r="I39" s="3" t="s">
        <v>390</v>
      </c>
      <c r="J39" s="3" t="s">
        <v>223</v>
      </c>
      <c r="K39" s="3" t="s">
        <v>41</v>
      </c>
      <c r="L39" s="3" t="s">
        <v>391</v>
      </c>
      <c r="M39" s="3" t="s">
        <v>392</v>
      </c>
      <c r="N39" s="3" t="s">
        <v>123</v>
      </c>
      <c r="O39" s="3" t="s">
        <v>100</v>
      </c>
      <c r="P39" s="3" t="s">
        <v>393</v>
      </c>
      <c r="Q39" s="3" t="s">
        <v>394</v>
      </c>
      <c r="R39" s="3" t="s">
        <v>36</v>
      </c>
      <c r="S39" s="3" t="s">
        <v>254</v>
      </c>
      <c r="T39" s="3" t="s">
        <v>37</v>
      </c>
      <c r="U39" s="3" t="s">
        <v>38</v>
      </c>
      <c r="V39" s="3" t="s">
        <v>395</v>
      </c>
      <c r="W39" s="3" t="s">
        <v>223</v>
      </c>
      <c r="X39" s="3" t="s">
        <v>41</v>
      </c>
      <c r="Y39" s="3" t="s">
        <v>396</v>
      </c>
      <c r="Z39" s="3" t="s">
        <v>139</v>
      </c>
      <c r="AA39" s="3" t="s">
        <v>63</v>
      </c>
      <c r="AB39" s="3" t="s">
        <v>64</v>
      </c>
      <c r="AC39" s="3" t="s">
        <v>397</v>
      </c>
      <c r="AD39" s="14">
        <v>45247</v>
      </c>
      <c r="AE39" s="14">
        <v>45291</v>
      </c>
      <c r="AF39" s="3"/>
    </row>
    <row r="40" spans="1:32" ht="52.9" hidden="1">
      <c r="A40" s="3" t="s">
        <v>398</v>
      </c>
      <c r="B40" s="3" t="s">
        <v>399</v>
      </c>
      <c r="C40" s="3"/>
      <c r="D40" s="3" t="s">
        <v>35</v>
      </c>
      <c r="E40" s="3" t="s">
        <v>36</v>
      </c>
      <c r="F40" s="3"/>
      <c r="G40" s="3" t="s">
        <v>82</v>
      </c>
      <c r="H40" s="3" t="s">
        <v>49</v>
      </c>
      <c r="I40" s="3" t="s">
        <v>400</v>
      </c>
      <c r="J40" s="3" t="s">
        <v>40</v>
      </c>
      <c r="K40" s="3" t="s">
        <v>41</v>
      </c>
      <c r="L40" s="3" t="s">
        <v>401</v>
      </c>
      <c r="M40" s="3" t="s">
        <v>402</v>
      </c>
      <c r="N40" s="3" t="s">
        <v>79</v>
      </c>
      <c r="O40" s="3" t="s">
        <v>116</v>
      </c>
      <c r="P40" s="3" t="s">
        <v>71</v>
      </c>
      <c r="Q40" s="3" t="s">
        <v>72</v>
      </c>
      <c r="R40" s="3"/>
      <c r="S40" s="3"/>
      <c r="T40" s="3" t="s">
        <v>37</v>
      </c>
      <c r="U40" s="3" t="s">
        <v>73</v>
      </c>
      <c r="V40" s="3"/>
      <c r="W40" s="3" t="s">
        <v>40</v>
      </c>
      <c r="X40" s="3"/>
      <c r="Y40" s="3"/>
      <c r="Z40" s="3"/>
      <c r="AA40" s="3" t="s">
        <v>69</v>
      </c>
      <c r="AB40" s="3"/>
      <c r="AC40" s="3" t="s">
        <v>403</v>
      </c>
      <c r="AD40" s="14">
        <v>45139</v>
      </c>
      <c r="AE40" s="14">
        <v>45505</v>
      </c>
      <c r="AF40" s="3"/>
    </row>
    <row r="41" spans="1:32" ht="39.6" hidden="1">
      <c r="A41" s="3" t="s">
        <v>404</v>
      </c>
      <c r="B41" s="3" t="s">
        <v>405</v>
      </c>
      <c r="C41" s="3"/>
      <c r="D41" s="3" t="s">
        <v>59</v>
      </c>
      <c r="E41" s="3" t="s">
        <v>36</v>
      </c>
      <c r="F41" s="3" t="s">
        <v>274</v>
      </c>
      <c r="G41" s="3" t="s">
        <v>37</v>
      </c>
      <c r="H41" s="3" t="s">
        <v>78</v>
      </c>
      <c r="I41" s="3" t="s">
        <v>406</v>
      </c>
      <c r="J41" s="3" t="s">
        <v>223</v>
      </c>
      <c r="K41" s="3" t="s">
        <v>41</v>
      </c>
      <c r="L41" s="3" t="s">
        <v>407</v>
      </c>
      <c r="M41" s="3" t="s">
        <v>408</v>
      </c>
      <c r="N41" s="3" t="s">
        <v>44</v>
      </c>
      <c r="O41" s="3" t="s">
        <v>409</v>
      </c>
      <c r="P41" s="3" t="s">
        <v>410</v>
      </c>
      <c r="Q41" s="3" t="s">
        <v>411</v>
      </c>
      <c r="R41" s="3" t="s">
        <v>412</v>
      </c>
      <c r="S41" s="3" t="s">
        <v>274</v>
      </c>
      <c r="T41" s="3" t="s">
        <v>82</v>
      </c>
      <c r="U41" s="3" t="s">
        <v>38</v>
      </c>
      <c r="V41" s="3" t="s">
        <v>413</v>
      </c>
      <c r="W41" s="3" t="s">
        <v>223</v>
      </c>
      <c r="X41" s="3" t="s">
        <v>41</v>
      </c>
      <c r="Y41" s="3" t="s">
        <v>414</v>
      </c>
      <c r="Z41" s="3" t="s">
        <v>415</v>
      </c>
      <c r="AA41" s="3" t="s">
        <v>79</v>
      </c>
      <c r="AB41" s="3" t="s">
        <v>409</v>
      </c>
      <c r="AC41" s="3" t="s">
        <v>416</v>
      </c>
      <c r="AD41" s="14">
        <v>45292</v>
      </c>
      <c r="AE41" s="14">
        <v>45657</v>
      </c>
      <c r="AF41" s="3"/>
    </row>
    <row r="42" spans="1:32" ht="39.6" hidden="1">
      <c r="A42" s="3" t="s">
        <v>417</v>
      </c>
      <c r="B42" s="3" t="s">
        <v>418</v>
      </c>
      <c r="C42" s="3"/>
      <c r="D42" s="3" t="s">
        <v>59</v>
      </c>
      <c r="E42" s="3" t="s">
        <v>36</v>
      </c>
      <c r="F42" s="3" t="s">
        <v>247</v>
      </c>
      <c r="G42" s="3" t="s">
        <v>82</v>
      </c>
      <c r="H42" s="3" t="s">
        <v>38</v>
      </c>
      <c r="I42" s="3" t="s">
        <v>419</v>
      </c>
      <c r="J42" s="3" t="s">
        <v>223</v>
      </c>
      <c r="K42" s="3" t="s">
        <v>41</v>
      </c>
      <c r="L42" s="3" t="s">
        <v>420</v>
      </c>
      <c r="M42" s="3" t="s">
        <v>421</v>
      </c>
      <c r="N42" s="3" t="s">
        <v>44</v>
      </c>
      <c r="O42" s="3" t="s">
        <v>270</v>
      </c>
      <c r="P42" s="3" t="s">
        <v>422</v>
      </c>
      <c r="Q42" s="3" t="s">
        <v>423</v>
      </c>
      <c r="R42" s="3" t="s">
        <v>36</v>
      </c>
      <c r="S42" s="3" t="s">
        <v>247</v>
      </c>
      <c r="T42" s="3" t="s">
        <v>82</v>
      </c>
      <c r="U42" s="3" t="s">
        <v>49</v>
      </c>
      <c r="V42" s="3" t="s">
        <v>424</v>
      </c>
      <c r="W42" s="3" t="s">
        <v>223</v>
      </c>
      <c r="X42" s="3" t="s">
        <v>41</v>
      </c>
      <c r="Y42" s="3" t="s">
        <v>425</v>
      </c>
      <c r="Z42" s="3" t="s">
        <v>426</v>
      </c>
      <c r="AA42" s="3" t="s">
        <v>63</v>
      </c>
      <c r="AB42" s="3" t="s">
        <v>338</v>
      </c>
      <c r="AC42" s="3" t="s">
        <v>427</v>
      </c>
      <c r="AD42" s="14">
        <v>45266</v>
      </c>
      <c r="AE42" s="14">
        <v>45631</v>
      </c>
      <c r="AF42" s="3"/>
    </row>
    <row r="43" spans="1:32" ht="39.6" hidden="1">
      <c r="A43" s="3" t="s">
        <v>428</v>
      </c>
      <c r="B43" s="3" t="s">
        <v>429</v>
      </c>
      <c r="C43" s="3"/>
      <c r="D43" s="3" t="s">
        <v>35</v>
      </c>
      <c r="E43" s="3" t="s">
        <v>36</v>
      </c>
      <c r="F43" s="3" t="s">
        <v>221</v>
      </c>
      <c r="G43" s="3" t="s">
        <v>82</v>
      </c>
      <c r="H43" s="3" t="s">
        <v>38</v>
      </c>
      <c r="I43" s="3" t="s">
        <v>430</v>
      </c>
      <c r="J43" s="3" t="s">
        <v>223</v>
      </c>
      <c r="K43" s="3" t="s">
        <v>356</v>
      </c>
      <c r="L43" s="3" t="s">
        <v>431</v>
      </c>
      <c r="M43" s="3" t="s">
        <v>432</v>
      </c>
      <c r="N43" s="3" t="s">
        <v>53</v>
      </c>
      <c r="O43" s="3" t="s">
        <v>270</v>
      </c>
      <c r="P43" s="3" t="s">
        <v>433</v>
      </c>
      <c r="Q43" s="3" t="s">
        <v>434</v>
      </c>
      <c r="R43" s="3" t="s">
        <v>36</v>
      </c>
      <c r="S43" s="3" t="s">
        <v>221</v>
      </c>
      <c r="T43" s="3" t="s">
        <v>82</v>
      </c>
      <c r="U43" s="3" t="s">
        <v>49</v>
      </c>
      <c r="V43" s="3" t="s">
        <v>435</v>
      </c>
      <c r="W43" s="3" t="s">
        <v>223</v>
      </c>
      <c r="X43" s="3" t="s">
        <v>41</v>
      </c>
      <c r="Y43" s="3" t="s">
        <v>436</v>
      </c>
      <c r="Z43" s="3" t="s">
        <v>437</v>
      </c>
      <c r="AA43" s="3" t="s">
        <v>79</v>
      </c>
      <c r="AB43" s="3" t="s">
        <v>116</v>
      </c>
      <c r="AC43" s="3" t="s">
        <v>438</v>
      </c>
      <c r="AD43" s="14">
        <v>45244</v>
      </c>
      <c r="AE43" s="14"/>
      <c r="AF43" s="3"/>
    </row>
    <row r="44" spans="1:32" ht="118.9" hidden="1">
      <c r="A44" s="3" t="s">
        <v>439</v>
      </c>
      <c r="B44" s="3" t="s">
        <v>440</v>
      </c>
      <c r="C44" s="3"/>
      <c r="D44" s="3" t="s">
        <v>35</v>
      </c>
      <c r="E44" s="3" t="s">
        <v>36</v>
      </c>
      <c r="F44" s="3" t="s">
        <v>180</v>
      </c>
      <c r="G44" s="3" t="s">
        <v>37</v>
      </c>
      <c r="H44" s="3" t="s">
        <v>49</v>
      </c>
      <c r="I44" s="3" t="s">
        <v>441</v>
      </c>
      <c r="J44" s="3" t="s">
        <v>182</v>
      </c>
      <c r="K44" s="3" t="s">
        <v>41</v>
      </c>
      <c r="L44" s="3" t="s">
        <v>442</v>
      </c>
      <c r="M44" s="3" t="s">
        <v>443</v>
      </c>
      <c r="N44" s="3" t="s">
        <v>79</v>
      </c>
      <c r="O44" s="3" t="s">
        <v>270</v>
      </c>
      <c r="P44" s="3" t="s">
        <v>444</v>
      </c>
      <c r="Q44" s="3" t="s">
        <v>445</v>
      </c>
      <c r="R44" s="3" t="s">
        <v>36</v>
      </c>
      <c r="S44" s="3"/>
      <c r="T44" s="3" t="s">
        <v>37</v>
      </c>
      <c r="U44" s="3" t="s">
        <v>73</v>
      </c>
      <c r="V44" s="3" t="s">
        <v>446</v>
      </c>
      <c r="W44" s="3" t="s">
        <v>182</v>
      </c>
      <c r="X44" s="3" t="s">
        <v>41</v>
      </c>
      <c r="Y44" s="3" t="s">
        <v>447</v>
      </c>
      <c r="Z44" s="3" t="s">
        <v>448</v>
      </c>
      <c r="AA44" s="3" t="s">
        <v>63</v>
      </c>
      <c r="AB44" s="3" t="s">
        <v>449</v>
      </c>
      <c r="AC44" s="3" t="s">
        <v>450</v>
      </c>
      <c r="AD44" s="14">
        <v>45139</v>
      </c>
      <c r="AE44" s="14">
        <v>45443</v>
      </c>
      <c r="AF44" s="3" t="s">
        <v>233</v>
      </c>
    </row>
    <row r="45" spans="1:32" ht="118.9" hidden="1">
      <c r="A45" s="3" t="s">
        <v>451</v>
      </c>
      <c r="B45" s="3" t="s">
        <v>452</v>
      </c>
      <c r="C45" s="3" t="s">
        <v>453</v>
      </c>
      <c r="D45" s="3" t="s">
        <v>348</v>
      </c>
      <c r="E45" s="3" t="s">
        <v>36</v>
      </c>
      <c r="F45" s="3" t="s">
        <v>221</v>
      </c>
      <c r="G45" s="3" t="s">
        <v>37</v>
      </c>
      <c r="H45" s="3" t="s">
        <v>38</v>
      </c>
      <c r="I45" s="3" t="s">
        <v>454</v>
      </c>
      <c r="J45" s="3" t="s">
        <v>223</v>
      </c>
      <c r="K45" s="3" t="s">
        <v>41</v>
      </c>
      <c r="L45" s="3" t="s">
        <v>455</v>
      </c>
      <c r="M45" s="3" t="s">
        <v>456</v>
      </c>
      <c r="N45" s="3" t="s">
        <v>79</v>
      </c>
      <c r="O45" s="3" t="s">
        <v>100</v>
      </c>
      <c r="P45" s="3" t="s">
        <v>457</v>
      </c>
      <c r="Q45" s="3" t="s">
        <v>458</v>
      </c>
      <c r="R45" s="3" t="s">
        <v>36</v>
      </c>
      <c r="S45" s="3"/>
      <c r="T45" s="3" t="s">
        <v>82</v>
      </c>
      <c r="U45" s="3" t="s">
        <v>49</v>
      </c>
      <c r="V45" s="3" t="s">
        <v>459</v>
      </c>
      <c r="W45" s="3" t="s">
        <v>198</v>
      </c>
      <c r="X45" s="3" t="s">
        <v>41</v>
      </c>
      <c r="Y45" s="3" t="s">
        <v>460</v>
      </c>
      <c r="Z45" s="3" t="s">
        <v>216</v>
      </c>
      <c r="AA45" s="3" t="s">
        <v>53</v>
      </c>
      <c r="AB45" s="3" t="s">
        <v>201</v>
      </c>
      <c r="AC45" s="3" t="s">
        <v>461</v>
      </c>
      <c r="AD45" s="14">
        <v>45294</v>
      </c>
      <c r="AE45" s="14">
        <v>45310</v>
      </c>
      <c r="AF45" s="3"/>
    </row>
    <row r="46" spans="1:32" ht="198" hidden="1">
      <c r="A46" s="3" t="s">
        <v>462</v>
      </c>
      <c r="B46" s="3" t="s">
        <v>463</v>
      </c>
      <c r="C46" s="3" t="s">
        <v>464</v>
      </c>
      <c r="D46" s="3" t="s">
        <v>59</v>
      </c>
      <c r="E46" s="3"/>
      <c r="F46" s="3" t="s">
        <v>221</v>
      </c>
      <c r="G46" s="3" t="s">
        <v>37</v>
      </c>
      <c r="H46" s="3" t="s">
        <v>49</v>
      </c>
      <c r="I46" s="3"/>
      <c r="J46" s="3" t="s">
        <v>223</v>
      </c>
      <c r="K46" s="3"/>
      <c r="L46" s="3"/>
      <c r="M46" s="3"/>
      <c r="N46" s="3" t="s">
        <v>44</v>
      </c>
      <c r="O46" s="3"/>
      <c r="P46" s="3" t="s">
        <v>465</v>
      </c>
      <c r="Q46" s="3" t="s">
        <v>466</v>
      </c>
      <c r="R46" s="3" t="s">
        <v>467</v>
      </c>
      <c r="S46" s="3" t="s">
        <v>221</v>
      </c>
      <c r="T46" s="3" t="s">
        <v>82</v>
      </c>
      <c r="U46" s="3" t="s">
        <v>49</v>
      </c>
      <c r="V46" s="3" t="s">
        <v>468</v>
      </c>
      <c r="W46" s="3" t="s">
        <v>223</v>
      </c>
      <c r="X46" s="3" t="s">
        <v>41</v>
      </c>
      <c r="Y46" s="3" t="s">
        <v>469</v>
      </c>
      <c r="Z46" s="3" t="s">
        <v>470</v>
      </c>
      <c r="AA46" s="3" t="s">
        <v>44</v>
      </c>
      <c r="AB46" s="3" t="s">
        <v>116</v>
      </c>
      <c r="AC46" s="3" t="s">
        <v>471</v>
      </c>
      <c r="AD46" s="14">
        <v>45257</v>
      </c>
      <c r="AE46" s="14">
        <v>45656</v>
      </c>
      <c r="AF46" s="3" t="s">
        <v>109</v>
      </c>
    </row>
    <row r="47" spans="1:32" ht="52.9" hidden="1">
      <c r="A47" s="3" t="s">
        <v>472</v>
      </c>
      <c r="B47" s="3" t="s">
        <v>473</v>
      </c>
      <c r="C47" s="3" t="s">
        <v>474</v>
      </c>
      <c r="D47" s="3" t="s">
        <v>35</v>
      </c>
      <c r="E47" s="3"/>
      <c r="F47" s="3" t="s">
        <v>254</v>
      </c>
      <c r="G47" s="3" t="s">
        <v>37</v>
      </c>
      <c r="H47" s="3" t="s">
        <v>475</v>
      </c>
      <c r="I47" s="3"/>
      <c r="J47" s="3" t="s">
        <v>223</v>
      </c>
      <c r="K47" s="3"/>
      <c r="L47" s="3"/>
      <c r="M47" s="3"/>
      <c r="N47" s="3" t="s">
        <v>53</v>
      </c>
      <c r="O47" s="3"/>
      <c r="P47" s="3" t="s">
        <v>476</v>
      </c>
      <c r="Q47" s="3" t="s">
        <v>477</v>
      </c>
      <c r="R47" s="3" t="s">
        <v>36</v>
      </c>
      <c r="S47" s="3" t="s">
        <v>274</v>
      </c>
      <c r="T47" s="3" t="s">
        <v>37</v>
      </c>
      <c r="U47" s="3" t="s">
        <v>78</v>
      </c>
      <c r="V47" s="3" t="s">
        <v>478</v>
      </c>
      <c r="W47" s="3" t="s">
        <v>223</v>
      </c>
      <c r="X47" s="3" t="s">
        <v>41</v>
      </c>
      <c r="Y47" s="3" t="s">
        <v>479</v>
      </c>
      <c r="Z47" s="3" t="s">
        <v>480</v>
      </c>
      <c r="AA47" s="3" t="s">
        <v>123</v>
      </c>
      <c r="AB47" s="3" t="s">
        <v>201</v>
      </c>
      <c r="AC47" s="3" t="s">
        <v>481</v>
      </c>
      <c r="AD47" s="14">
        <v>45258</v>
      </c>
      <c r="AE47" s="14">
        <v>45624</v>
      </c>
      <c r="AF47" s="3"/>
    </row>
    <row r="48" spans="1:32" ht="39.6" hidden="1">
      <c r="A48" s="3" t="s">
        <v>482</v>
      </c>
      <c r="B48" s="3" t="s">
        <v>483</v>
      </c>
      <c r="C48" s="3"/>
      <c r="D48" s="3" t="s">
        <v>59</v>
      </c>
      <c r="E48" s="3" t="s">
        <v>36</v>
      </c>
      <c r="F48" s="3" t="s">
        <v>221</v>
      </c>
      <c r="G48" s="3" t="s">
        <v>37</v>
      </c>
      <c r="H48" s="3" t="s">
        <v>49</v>
      </c>
      <c r="I48" s="3" t="s">
        <v>484</v>
      </c>
      <c r="J48" s="3" t="s">
        <v>223</v>
      </c>
      <c r="K48" s="3" t="s">
        <v>41</v>
      </c>
      <c r="L48" s="3" t="s">
        <v>485</v>
      </c>
      <c r="M48" s="3" t="s">
        <v>486</v>
      </c>
      <c r="N48" s="3" t="s">
        <v>79</v>
      </c>
      <c r="O48" s="3" t="s">
        <v>100</v>
      </c>
      <c r="P48" s="3" t="s">
        <v>487</v>
      </c>
      <c r="Q48" s="3" t="s">
        <v>488</v>
      </c>
      <c r="R48" s="3" t="s">
        <v>467</v>
      </c>
      <c r="S48" s="3" t="s">
        <v>221</v>
      </c>
      <c r="T48" s="3" t="s">
        <v>37</v>
      </c>
      <c r="U48" s="3" t="s">
        <v>49</v>
      </c>
      <c r="V48" s="3" t="s">
        <v>489</v>
      </c>
      <c r="W48" s="3" t="s">
        <v>223</v>
      </c>
      <c r="X48" s="3" t="s">
        <v>41</v>
      </c>
      <c r="Y48" s="3" t="s">
        <v>490</v>
      </c>
      <c r="Z48" s="3" t="s">
        <v>470</v>
      </c>
      <c r="AA48" s="3" t="s">
        <v>63</v>
      </c>
      <c r="AB48" s="3" t="s">
        <v>116</v>
      </c>
      <c r="AC48" s="3" t="s">
        <v>491</v>
      </c>
      <c r="AD48" s="14">
        <v>45253</v>
      </c>
      <c r="AE48" s="14">
        <v>45412</v>
      </c>
      <c r="AF48" s="3"/>
    </row>
    <row r="49" spans="1:32" ht="39.6" hidden="1">
      <c r="A49" s="3" t="s">
        <v>492</v>
      </c>
      <c r="B49" s="3" t="s">
        <v>493</v>
      </c>
      <c r="C49" s="3"/>
      <c r="D49" s="3" t="s">
        <v>59</v>
      </c>
      <c r="E49" s="3" t="s">
        <v>36</v>
      </c>
      <c r="F49" s="3"/>
      <c r="G49" s="3" t="s">
        <v>37</v>
      </c>
      <c r="H49" s="3" t="s">
        <v>49</v>
      </c>
      <c r="I49" s="3" t="s">
        <v>494</v>
      </c>
      <c r="J49" s="3" t="s">
        <v>198</v>
      </c>
      <c r="K49" s="3" t="s">
        <v>41</v>
      </c>
      <c r="L49" s="3" t="s">
        <v>495</v>
      </c>
      <c r="M49" s="3" t="s">
        <v>184</v>
      </c>
      <c r="N49" s="3" t="s">
        <v>53</v>
      </c>
      <c r="O49" s="3" t="s">
        <v>54</v>
      </c>
      <c r="P49" s="3" t="s">
        <v>496</v>
      </c>
      <c r="Q49" s="3" t="s">
        <v>497</v>
      </c>
      <c r="R49" s="3" t="s">
        <v>36</v>
      </c>
      <c r="S49" s="3"/>
      <c r="T49" s="3" t="s">
        <v>82</v>
      </c>
      <c r="U49" s="3" t="s">
        <v>49</v>
      </c>
      <c r="V49" s="3" t="s">
        <v>498</v>
      </c>
      <c r="W49" s="3" t="s">
        <v>198</v>
      </c>
      <c r="X49" s="3" t="s">
        <v>41</v>
      </c>
      <c r="Y49" s="3" t="s">
        <v>499</v>
      </c>
      <c r="Z49" s="3" t="s">
        <v>206</v>
      </c>
      <c r="AA49" s="3" t="s">
        <v>79</v>
      </c>
      <c r="AB49" s="3" t="s">
        <v>116</v>
      </c>
      <c r="AC49" s="3" t="s">
        <v>500</v>
      </c>
      <c r="AD49" s="14">
        <v>45257</v>
      </c>
      <c r="AE49" s="14">
        <v>45657</v>
      </c>
      <c r="AF49" s="3"/>
    </row>
    <row r="50" spans="1:32" ht="39.6" hidden="1">
      <c r="A50" s="3" t="s">
        <v>501</v>
      </c>
      <c r="B50" s="3" t="s">
        <v>502</v>
      </c>
      <c r="C50" s="3"/>
      <c r="D50" s="3" t="s">
        <v>132</v>
      </c>
      <c r="E50" s="3" t="s">
        <v>36</v>
      </c>
      <c r="F50" s="3" t="s">
        <v>274</v>
      </c>
      <c r="G50" s="3" t="s">
        <v>37</v>
      </c>
      <c r="H50" s="3" t="s">
        <v>78</v>
      </c>
      <c r="I50" s="3" t="s">
        <v>503</v>
      </c>
      <c r="J50" s="3" t="s">
        <v>223</v>
      </c>
      <c r="K50" s="3" t="s">
        <v>41</v>
      </c>
      <c r="L50" s="3" t="s">
        <v>504</v>
      </c>
      <c r="M50" s="3" t="s">
        <v>505</v>
      </c>
      <c r="N50" s="3" t="s">
        <v>53</v>
      </c>
      <c r="O50" s="3" t="s">
        <v>506</v>
      </c>
      <c r="P50" s="3" t="s">
        <v>507</v>
      </c>
      <c r="Q50" s="3" t="s">
        <v>508</v>
      </c>
      <c r="R50" s="3" t="s">
        <v>36</v>
      </c>
      <c r="S50" s="3" t="s">
        <v>254</v>
      </c>
      <c r="T50" s="3" t="s">
        <v>82</v>
      </c>
      <c r="U50" s="3" t="s">
        <v>49</v>
      </c>
      <c r="V50" s="3" t="s">
        <v>509</v>
      </c>
      <c r="W50" s="3" t="s">
        <v>223</v>
      </c>
      <c r="X50" s="3" t="s">
        <v>41</v>
      </c>
      <c r="Y50" s="3" t="s">
        <v>510</v>
      </c>
      <c r="Z50" s="3" t="s">
        <v>511</v>
      </c>
      <c r="AA50" s="3" t="s">
        <v>53</v>
      </c>
      <c r="AB50" s="3" t="s">
        <v>506</v>
      </c>
      <c r="AC50" s="3" t="s">
        <v>512</v>
      </c>
      <c r="AD50" s="14">
        <v>44888</v>
      </c>
      <c r="AE50" s="14"/>
      <c r="AF50" s="3"/>
    </row>
    <row r="51" spans="1:32" ht="39.6" hidden="1">
      <c r="A51" s="3" t="s">
        <v>513</v>
      </c>
      <c r="B51" s="3" t="s">
        <v>514</v>
      </c>
      <c r="C51" s="3" t="s">
        <v>515</v>
      </c>
      <c r="D51" s="3" t="s">
        <v>35</v>
      </c>
      <c r="E51" s="3" t="s">
        <v>36</v>
      </c>
      <c r="F51" s="3" t="s">
        <v>274</v>
      </c>
      <c r="G51" s="3" t="s">
        <v>37</v>
      </c>
      <c r="H51" s="3" t="s">
        <v>38</v>
      </c>
      <c r="I51" s="3" t="s">
        <v>516</v>
      </c>
      <c r="J51" s="3" t="s">
        <v>223</v>
      </c>
      <c r="K51" s="3" t="s">
        <v>41</v>
      </c>
      <c r="L51" s="3" t="s">
        <v>517</v>
      </c>
      <c r="M51" s="3" t="s">
        <v>200</v>
      </c>
      <c r="N51" s="3" t="s">
        <v>123</v>
      </c>
      <c r="O51" s="3" t="s">
        <v>201</v>
      </c>
      <c r="P51" s="3" t="s">
        <v>518</v>
      </c>
      <c r="Q51" s="3" t="s">
        <v>519</v>
      </c>
      <c r="R51" s="3" t="s">
        <v>36</v>
      </c>
      <c r="S51" s="3" t="s">
        <v>221</v>
      </c>
      <c r="T51" s="3" t="s">
        <v>37</v>
      </c>
      <c r="U51" s="3" t="s">
        <v>49</v>
      </c>
      <c r="V51" s="3" t="s">
        <v>520</v>
      </c>
      <c r="W51" s="3" t="s">
        <v>223</v>
      </c>
      <c r="X51" s="3" t="s">
        <v>41</v>
      </c>
      <c r="Y51" s="3" t="s">
        <v>521</v>
      </c>
      <c r="Z51" s="3" t="s">
        <v>320</v>
      </c>
      <c r="AA51" s="3" t="s">
        <v>53</v>
      </c>
      <c r="AB51" s="3" t="s">
        <v>100</v>
      </c>
      <c r="AC51" s="3" t="s">
        <v>522</v>
      </c>
      <c r="AD51" s="14">
        <v>45293</v>
      </c>
      <c r="AE51" s="14">
        <v>45626</v>
      </c>
      <c r="AF51" s="3"/>
    </row>
    <row r="52" spans="1:32" ht="39.6" hidden="1">
      <c r="A52" s="3" t="s">
        <v>482</v>
      </c>
      <c r="B52" s="3" t="s">
        <v>483</v>
      </c>
      <c r="C52" s="3" t="s">
        <v>523</v>
      </c>
      <c r="D52" s="3" t="s">
        <v>35</v>
      </c>
      <c r="E52" s="3" t="s">
        <v>36</v>
      </c>
      <c r="F52" s="3" t="s">
        <v>221</v>
      </c>
      <c r="G52" s="3" t="s">
        <v>37</v>
      </c>
      <c r="H52" s="3" t="s">
        <v>49</v>
      </c>
      <c r="I52" s="3" t="s">
        <v>484</v>
      </c>
      <c r="J52" s="3" t="s">
        <v>223</v>
      </c>
      <c r="K52" s="3" t="s">
        <v>41</v>
      </c>
      <c r="L52" s="3" t="s">
        <v>485</v>
      </c>
      <c r="M52" s="3" t="s">
        <v>486</v>
      </c>
      <c r="N52" s="3" t="s">
        <v>79</v>
      </c>
      <c r="O52" s="3" t="s">
        <v>100</v>
      </c>
      <c r="P52" s="3" t="s">
        <v>487</v>
      </c>
      <c r="Q52" s="3" t="s">
        <v>488</v>
      </c>
      <c r="R52" s="3" t="s">
        <v>467</v>
      </c>
      <c r="S52" s="3" t="s">
        <v>221</v>
      </c>
      <c r="T52" s="3" t="s">
        <v>37</v>
      </c>
      <c r="U52" s="3" t="s">
        <v>49</v>
      </c>
      <c r="V52" s="3" t="s">
        <v>489</v>
      </c>
      <c r="W52" s="3" t="s">
        <v>223</v>
      </c>
      <c r="X52" s="3" t="s">
        <v>41</v>
      </c>
      <c r="Y52" s="3" t="s">
        <v>490</v>
      </c>
      <c r="Z52" s="3" t="s">
        <v>470</v>
      </c>
      <c r="AA52" s="3" t="s">
        <v>63</v>
      </c>
      <c r="AB52" s="3" t="s">
        <v>116</v>
      </c>
      <c r="AC52" s="3" t="s">
        <v>491</v>
      </c>
      <c r="AD52" s="14">
        <v>45253</v>
      </c>
      <c r="AE52" s="14">
        <v>45412</v>
      </c>
      <c r="AF52" s="3"/>
    </row>
    <row r="53" spans="1:32" ht="39.6" hidden="1">
      <c r="A53" s="3" t="s">
        <v>524</v>
      </c>
      <c r="B53" s="3" t="s">
        <v>525</v>
      </c>
      <c r="C53" s="3"/>
      <c r="D53" s="3" t="s">
        <v>35</v>
      </c>
      <c r="E53" s="3" t="s">
        <v>36</v>
      </c>
      <c r="F53" s="3" t="s">
        <v>526</v>
      </c>
      <c r="G53" s="3" t="s">
        <v>37</v>
      </c>
      <c r="H53" s="3" t="s">
        <v>78</v>
      </c>
      <c r="I53" s="3" t="s">
        <v>527</v>
      </c>
      <c r="J53" s="3" t="s">
        <v>528</v>
      </c>
      <c r="K53" s="3" t="s">
        <v>41</v>
      </c>
      <c r="L53" s="3" t="s">
        <v>529</v>
      </c>
      <c r="M53" s="3" t="s">
        <v>530</v>
      </c>
      <c r="N53" s="3" t="s">
        <v>53</v>
      </c>
      <c r="O53" s="3" t="s">
        <v>278</v>
      </c>
      <c r="P53" s="3" t="s">
        <v>531</v>
      </c>
      <c r="Q53" s="3" t="s">
        <v>532</v>
      </c>
      <c r="R53" s="3" t="s">
        <v>36</v>
      </c>
      <c r="S53" s="3" t="s">
        <v>526</v>
      </c>
      <c r="T53" s="3" t="s">
        <v>37</v>
      </c>
      <c r="U53" s="3" t="s">
        <v>49</v>
      </c>
      <c r="V53" s="3" t="s">
        <v>533</v>
      </c>
      <c r="W53" s="3" t="s">
        <v>528</v>
      </c>
      <c r="X53" s="3" t="s">
        <v>41</v>
      </c>
      <c r="Y53" s="3" t="s">
        <v>534</v>
      </c>
      <c r="Z53" s="3" t="s">
        <v>535</v>
      </c>
      <c r="AA53" s="3" t="s">
        <v>53</v>
      </c>
      <c r="AB53" s="3" t="s">
        <v>100</v>
      </c>
      <c r="AC53" s="3" t="s">
        <v>536</v>
      </c>
      <c r="AD53" s="14">
        <v>45252</v>
      </c>
      <c r="AE53" s="14">
        <v>45473</v>
      </c>
      <c r="AF53" s="3"/>
    </row>
    <row r="54" spans="1:32" ht="79.150000000000006" hidden="1">
      <c r="A54" s="3" t="s">
        <v>537</v>
      </c>
      <c r="B54" s="3" t="s">
        <v>538</v>
      </c>
      <c r="C54" s="3" t="s">
        <v>539</v>
      </c>
      <c r="D54" s="3" t="s">
        <v>59</v>
      </c>
      <c r="E54" s="3" t="s">
        <v>36</v>
      </c>
      <c r="F54" s="3" t="s">
        <v>526</v>
      </c>
      <c r="G54" s="3" t="s">
        <v>37</v>
      </c>
      <c r="H54" s="3" t="s">
        <v>78</v>
      </c>
      <c r="I54" s="3" t="s">
        <v>540</v>
      </c>
      <c r="J54" s="3" t="s">
        <v>528</v>
      </c>
      <c r="K54" s="3" t="s">
        <v>41</v>
      </c>
      <c r="L54" s="3" t="s">
        <v>541</v>
      </c>
      <c r="M54" s="3" t="s">
        <v>542</v>
      </c>
      <c r="N54" s="3" t="s">
        <v>79</v>
      </c>
      <c r="O54" s="3" t="s">
        <v>543</v>
      </c>
      <c r="P54" s="3" t="s">
        <v>544</v>
      </c>
      <c r="Q54" s="3" t="s">
        <v>545</v>
      </c>
      <c r="R54" s="3"/>
      <c r="S54" s="3" t="s">
        <v>221</v>
      </c>
      <c r="T54" s="3" t="s">
        <v>37</v>
      </c>
      <c r="U54" s="3" t="s">
        <v>73</v>
      </c>
      <c r="V54" s="3"/>
      <c r="W54" s="3" t="s">
        <v>223</v>
      </c>
      <c r="X54" s="3"/>
      <c r="Y54" s="3"/>
      <c r="Z54" s="3"/>
      <c r="AA54" s="3" t="s">
        <v>79</v>
      </c>
      <c r="AB54" s="3"/>
      <c r="AC54" s="3" t="s">
        <v>546</v>
      </c>
      <c r="AD54" s="14">
        <v>45254</v>
      </c>
      <c r="AE54" s="14">
        <v>45618</v>
      </c>
      <c r="AF54" s="3"/>
    </row>
    <row r="55" spans="1:32" ht="39.6" hidden="1">
      <c r="A55" s="3" t="s">
        <v>547</v>
      </c>
      <c r="B55" s="3" t="s">
        <v>548</v>
      </c>
      <c r="C55" s="3"/>
      <c r="D55" s="3" t="s">
        <v>59</v>
      </c>
      <c r="E55" s="3" t="s">
        <v>36</v>
      </c>
      <c r="F55" s="3" t="s">
        <v>247</v>
      </c>
      <c r="G55" s="3" t="s">
        <v>82</v>
      </c>
      <c r="H55" s="3" t="s">
        <v>49</v>
      </c>
      <c r="I55" s="3" t="s">
        <v>549</v>
      </c>
      <c r="J55" s="3" t="s">
        <v>223</v>
      </c>
      <c r="K55" s="3" t="s">
        <v>41</v>
      </c>
      <c r="L55" s="3" t="s">
        <v>550</v>
      </c>
      <c r="M55" s="3" t="s">
        <v>551</v>
      </c>
      <c r="N55" s="3" t="s">
        <v>53</v>
      </c>
      <c r="O55" s="3" t="s">
        <v>270</v>
      </c>
      <c r="P55" s="3" t="s">
        <v>552</v>
      </c>
      <c r="Q55" s="3" t="s">
        <v>553</v>
      </c>
      <c r="R55" s="3" t="s">
        <v>36</v>
      </c>
      <c r="S55" s="3" t="s">
        <v>247</v>
      </c>
      <c r="T55" s="3" t="s">
        <v>82</v>
      </c>
      <c r="U55" s="3" t="s">
        <v>38</v>
      </c>
      <c r="V55" s="3" t="s">
        <v>554</v>
      </c>
      <c r="W55" s="3" t="s">
        <v>223</v>
      </c>
      <c r="X55" s="3" t="s">
        <v>41</v>
      </c>
      <c r="Y55" s="3" t="s">
        <v>555</v>
      </c>
      <c r="Z55" s="3" t="s">
        <v>556</v>
      </c>
      <c r="AA55" s="3" t="s">
        <v>63</v>
      </c>
      <c r="AB55" s="3" t="s">
        <v>557</v>
      </c>
      <c r="AC55" s="3" t="s">
        <v>558</v>
      </c>
      <c r="AD55" s="14">
        <v>45139</v>
      </c>
      <c r="AE55" s="14">
        <v>45473</v>
      </c>
      <c r="AF55" s="3"/>
    </row>
    <row r="56" spans="1:32" ht="79.150000000000006" hidden="1">
      <c r="A56" s="3" t="s">
        <v>326</v>
      </c>
      <c r="B56" s="3" t="s">
        <v>327</v>
      </c>
      <c r="C56" s="3" t="s">
        <v>559</v>
      </c>
      <c r="D56" s="3" t="s">
        <v>132</v>
      </c>
      <c r="E56" s="3" t="s">
        <v>36</v>
      </c>
      <c r="F56" s="3" t="s">
        <v>274</v>
      </c>
      <c r="G56" s="3" t="s">
        <v>82</v>
      </c>
      <c r="H56" s="3" t="s">
        <v>38</v>
      </c>
      <c r="I56" s="3" t="s">
        <v>328</v>
      </c>
      <c r="J56" s="3" t="s">
        <v>223</v>
      </c>
      <c r="K56" s="3" t="s">
        <v>41</v>
      </c>
      <c r="L56" s="3" t="s">
        <v>329</v>
      </c>
      <c r="M56" s="3" t="s">
        <v>330</v>
      </c>
      <c r="N56" s="3" t="s">
        <v>123</v>
      </c>
      <c r="O56" s="3" t="s">
        <v>64</v>
      </c>
      <c r="P56" s="3" t="s">
        <v>560</v>
      </c>
      <c r="Q56" s="3" t="s">
        <v>561</v>
      </c>
      <c r="R56" s="3" t="s">
        <v>467</v>
      </c>
      <c r="S56" s="3" t="s">
        <v>221</v>
      </c>
      <c r="T56" s="3" t="s">
        <v>82</v>
      </c>
      <c r="U56" s="3" t="s">
        <v>49</v>
      </c>
      <c r="V56" s="3" t="s">
        <v>562</v>
      </c>
      <c r="W56" s="3" t="s">
        <v>223</v>
      </c>
      <c r="X56" s="3" t="s">
        <v>41</v>
      </c>
      <c r="Y56" s="3" t="s">
        <v>563</v>
      </c>
      <c r="Z56" s="3" t="s">
        <v>564</v>
      </c>
      <c r="AA56" s="3" t="s">
        <v>79</v>
      </c>
      <c r="AB56" s="3" t="s">
        <v>64</v>
      </c>
      <c r="AC56" s="3" t="s">
        <v>565</v>
      </c>
      <c r="AD56" s="14">
        <v>45307</v>
      </c>
      <c r="AE56" s="14">
        <v>45639</v>
      </c>
      <c r="AF56" s="3"/>
    </row>
    <row r="57" spans="1:32" ht="39.6" hidden="1">
      <c r="A57" s="3" t="s">
        <v>537</v>
      </c>
      <c r="B57" s="3" t="s">
        <v>538</v>
      </c>
      <c r="C57" s="3"/>
      <c r="D57" s="3" t="s">
        <v>59</v>
      </c>
      <c r="E57" s="3" t="s">
        <v>36</v>
      </c>
      <c r="F57" s="3" t="s">
        <v>526</v>
      </c>
      <c r="G57" s="3" t="s">
        <v>37</v>
      </c>
      <c r="H57" s="3" t="s">
        <v>78</v>
      </c>
      <c r="I57" s="3" t="s">
        <v>540</v>
      </c>
      <c r="J57" s="3" t="s">
        <v>528</v>
      </c>
      <c r="K57" s="3" t="s">
        <v>41</v>
      </c>
      <c r="L57" s="3" t="s">
        <v>541</v>
      </c>
      <c r="M57" s="3" t="s">
        <v>542</v>
      </c>
      <c r="N57" s="3" t="s">
        <v>79</v>
      </c>
      <c r="O57" s="3" t="s">
        <v>543</v>
      </c>
      <c r="P57" s="3" t="s">
        <v>566</v>
      </c>
      <c r="Q57" s="3" t="s">
        <v>567</v>
      </c>
      <c r="R57" s="3" t="s">
        <v>36</v>
      </c>
      <c r="S57" s="3" t="s">
        <v>526</v>
      </c>
      <c r="T57" s="3" t="s">
        <v>37</v>
      </c>
      <c r="U57" s="3" t="s">
        <v>38</v>
      </c>
      <c r="V57" s="3" t="s">
        <v>568</v>
      </c>
      <c r="W57" s="3" t="s">
        <v>528</v>
      </c>
      <c r="X57" s="3" t="s">
        <v>41</v>
      </c>
      <c r="Y57" s="3" t="s">
        <v>569</v>
      </c>
      <c r="Z57" s="3" t="s">
        <v>570</v>
      </c>
      <c r="AA57" s="3" t="s">
        <v>53</v>
      </c>
      <c r="AB57" s="3" t="s">
        <v>571</v>
      </c>
      <c r="AC57" s="3" t="s">
        <v>572</v>
      </c>
      <c r="AD57" s="14">
        <v>45565</v>
      </c>
      <c r="AE57" s="14"/>
      <c r="AF57" s="3"/>
    </row>
    <row r="58" spans="1:32" ht="39.6" hidden="1">
      <c r="A58" s="3" t="s">
        <v>573</v>
      </c>
      <c r="B58" s="3" t="s">
        <v>574</v>
      </c>
      <c r="C58" s="3"/>
      <c r="D58" s="3" t="s">
        <v>35</v>
      </c>
      <c r="E58" s="3" t="s">
        <v>36</v>
      </c>
      <c r="F58" s="3" t="s">
        <v>221</v>
      </c>
      <c r="G58" s="3" t="s">
        <v>82</v>
      </c>
      <c r="H58" s="3" t="s">
        <v>38</v>
      </c>
      <c r="I58" s="3" t="s">
        <v>520</v>
      </c>
      <c r="J58" s="3" t="s">
        <v>223</v>
      </c>
      <c r="K58" s="3" t="s">
        <v>41</v>
      </c>
      <c r="L58" s="3" t="s">
        <v>575</v>
      </c>
      <c r="M58" s="3" t="s">
        <v>320</v>
      </c>
      <c r="N58" s="3" t="s">
        <v>53</v>
      </c>
      <c r="O58" s="3" t="s">
        <v>100</v>
      </c>
      <c r="P58" s="3" t="s">
        <v>576</v>
      </c>
      <c r="Q58" s="3" t="s">
        <v>577</v>
      </c>
      <c r="R58" s="3" t="s">
        <v>467</v>
      </c>
      <c r="S58" s="3" t="s">
        <v>221</v>
      </c>
      <c r="T58" s="3" t="s">
        <v>37</v>
      </c>
      <c r="U58" s="3" t="s">
        <v>49</v>
      </c>
      <c r="V58" s="3" t="s">
        <v>578</v>
      </c>
      <c r="W58" s="3" t="s">
        <v>223</v>
      </c>
      <c r="X58" s="3" t="s">
        <v>41</v>
      </c>
      <c r="Y58" s="3" t="s">
        <v>579</v>
      </c>
      <c r="Z58" s="3" t="s">
        <v>470</v>
      </c>
      <c r="AA58" s="3" t="s">
        <v>79</v>
      </c>
      <c r="AB58" s="3" t="s">
        <v>116</v>
      </c>
      <c r="AC58" s="3" t="s">
        <v>580</v>
      </c>
      <c r="AD58" s="14">
        <v>45307</v>
      </c>
      <c r="AE58" s="14">
        <v>45650</v>
      </c>
      <c r="AF58" s="3"/>
    </row>
    <row r="59" spans="1:32" ht="52.9" hidden="1">
      <c r="A59" s="3" t="s">
        <v>581</v>
      </c>
      <c r="B59" s="3" t="s">
        <v>582</v>
      </c>
      <c r="C59" s="3" t="s">
        <v>583</v>
      </c>
      <c r="D59" s="3" t="s">
        <v>59</v>
      </c>
      <c r="E59" s="3"/>
      <c r="F59" s="3" t="s">
        <v>247</v>
      </c>
      <c r="G59" s="3" t="s">
        <v>82</v>
      </c>
      <c r="H59" s="3" t="s">
        <v>49</v>
      </c>
      <c r="I59" s="3"/>
      <c r="J59" s="3" t="s">
        <v>223</v>
      </c>
      <c r="K59" s="3"/>
      <c r="L59" s="3"/>
      <c r="M59" s="3"/>
      <c r="N59" s="3" t="s">
        <v>53</v>
      </c>
      <c r="O59" s="3"/>
      <c r="P59" s="3" t="s">
        <v>584</v>
      </c>
      <c r="Q59" s="3" t="s">
        <v>585</v>
      </c>
      <c r="R59" s="3" t="s">
        <v>36</v>
      </c>
      <c r="S59" s="3" t="s">
        <v>247</v>
      </c>
      <c r="T59" s="3" t="s">
        <v>82</v>
      </c>
      <c r="U59" s="3" t="s">
        <v>38</v>
      </c>
      <c r="V59" s="3" t="s">
        <v>586</v>
      </c>
      <c r="W59" s="3" t="s">
        <v>223</v>
      </c>
      <c r="X59" s="3" t="s">
        <v>41</v>
      </c>
      <c r="Y59" s="3" t="s">
        <v>587</v>
      </c>
      <c r="Z59" s="3" t="s">
        <v>588</v>
      </c>
      <c r="AA59" s="3" t="s">
        <v>44</v>
      </c>
      <c r="AB59" s="3" t="s">
        <v>100</v>
      </c>
      <c r="AC59" s="3" t="s">
        <v>589</v>
      </c>
      <c r="AD59" s="14">
        <v>45266</v>
      </c>
      <c r="AE59" s="14">
        <v>45266</v>
      </c>
      <c r="AF59" s="3"/>
    </row>
    <row r="60" spans="1:32" ht="39.6" hidden="1">
      <c r="A60" s="3" t="s">
        <v>590</v>
      </c>
      <c r="B60" s="3" t="s">
        <v>591</v>
      </c>
      <c r="C60" s="3" t="s">
        <v>592</v>
      </c>
      <c r="D60" s="3" t="s">
        <v>593</v>
      </c>
      <c r="E60" s="3" t="s">
        <v>36</v>
      </c>
      <c r="F60" s="3" t="s">
        <v>274</v>
      </c>
      <c r="G60" s="3" t="s">
        <v>37</v>
      </c>
      <c r="H60" s="3" t="s">
        <v>78</v>
      </c>
      <c r="I60" s="3" t="s">
        <v>594</v>
      </c>
      <c r="J60" s="3" t="s">
        <v>223</v>
      </c>
      <c r="K60" s="3" t="s">
        <v>41</v>
      </c>
      <c r="L60" s="3" t="s">
        <v>595</v>
      </c>
      <c r="M60" s="3" t="s">
        <v>596</v>
      </c>
      <c r="N60" s="3" t="s">
        <v>53</v>
      </c>
      <c r="O60" s="3" t="s">
        <v>308</v>
      </c>
      <c r="P60" s="3" t="s">
        <v>597</v>
      </c>
      <c r="Q60" s="3" t="s">
        <v>598</v>
      </c>
      <c r="R60" s="3" t="s">
        <v>467</v>
      </c>
      <c r="S60" s="3" t="s">
        <v>221</v>
      </c>
      <c r="T60" s="3" t="s">
        <v>37</v>
      </c>
      <c r="U60" s="3" t="s">
        <v>49</v>
      </c>
      <c r="V60" s="3" t="s">
        <v>599</v>
      </c>
      <c r="W60" s="3" t="s">
        <v>223</v>
      </c>
      <c r="X60" s="3" t="s">
        <v>41</v>
      </c>
      <c r="Y60" s="3" t="s">
        <v>600</v>
      </c>
      <c r="Z60" s="3" t="s">
        <v>470</v>
      </c>
      <c r="AA60" s="3" t="s">
        <v>79</v>
      </c>
      <c r="AB60" s="3" t="s">
        <v>116</v>
      </c>
      <c r="AC60" s="3" t="s">
        <v>601</v>
      </c>
      <c r="AD60" s="14">
        <v>45234</v>
      </c>
      <c r="AE60" s="14"/>
      <c r="AF60" s="3"/>
    </row>
    <row r="61" spans="1:32" ht="52.9" hidden="1">
      <c r="A61" s="3" t="s">
        <v>482</v>
      </c>
      <c r="B61" s="3" t="s">
        <v>483</v>
      </c>
      <c r="C61" s="3"/>
      <c r="D61" s="3" t="s">
        <v>59</v>
      </c>
      <c r="E61" s="3" t="s">
        <v>36</v>
      </c>
      <c r="F61" s="3" t="s">
        <v>221</v>
      </c>
      <c r="G61" s="3" t="s">
        <v>37</v>
      </c>
      <c r="H61" s="3" t="s">
        <v>49</v>
      </c>
      <c r="I61" s="3" t="s">
        <v>484</v>
      </c>
      <c r="J61" s="3" t="s">
        <v>223</v>
      </c>
      <c r="K61" s="3" t="s">
        <v>41</v>
      </c>
      <c r="L61" s="3" t="s">
        <v>485</v>
      </c>
      <c r="M61" s="3" t="s">
        <v>486</v>
      </c>
      <c r="N61" s="3" t="s">
        <v>79</v>
      </c>
      <c r="O61" s="3" t="s">
        <v>100</v>
      </c>
      <c r="P61" s="3" t="s">
        <v>602</v>
      </c>
      <c r="Q61" s="3" t="s">
        <v>603</v>
      </c>
      <c r="R61" s="3"/>
      <c r="S61" s="3" t="s">
        <v>221</v>
      </c>
      <c r="T61" s="3" t="s">
        <v>82</v>
      </c>
      <c r="U61" s="3" t="s">
        <v>49</v>
      </c>
      <c r="V61" s="3"/>
      <c r="W61" s="3" t="s">
        <v>223</v>
      </c>
      <c r="X61" s="3"/>
      <c r="Y61" s="3"/>
      <c r="Z61" s="3"/>
      <c r="AA61" s="3" t="s">
        <v>281</v>
      </c>
      <c r="AB61" s="3"/>
      <c r="AC61" s="3" t="s">
        <v>604</v>
      </c>
      <c r="AD61" s="14">
        <v>45323</v>
      </c>
      <c r="AE61" s="14">
        <v>45351</v>
      </c>
      <c r="AF61" s="3"/>
    </row>
    <row r="62" spans="1:32" ht="39.6" hidden="1">
      <c r="A62" s="3" t="s">
        <v>482</v>
      </c>
      <c r="B62" s="3" t="s">
        <v>483</v>
      </c>
      <c r="C62" s="3"/>
      <c r="D62" s="3" t="s">
        <v>35</v>
      </c>
      <c r="E62" s="3" t="s">
        <v>36</v>
      </c>
      <c r="F62" s="3" t="s">
        <v>221</v>
      </c>
      <c r="G62" s="3" t="s">
        <v>37</v>
      </c>
      <c r="H62" s="3" t="s">
        <v>49</v>
      </c>
      <c r="I62" s="3" t="s">
        <v>484</v>
      </c>
      <c r="J62" s="3" t="s">
        <v>223</v>
      </c>
      <c r="K62" s="3" t="s">
        <v>41</v>
      </c>
      <c r="L62" s="3" t="s">
        <v>485</v>
      </c>
      <c r="M62" s="3" t="s">
        <v>486</v>
      </c>
      <c r="N62" s="3" t="s">
        <v>79</v>
      </c>
      <c r="O62" s="3" t="s">
        <v>100</v>
      </c>
      <c r="P62" s="3" t="s">
        <v>605</v>
      </c>
      <c r="Q62" s="3" t="s">
        <v>606</v>
      </c>
      <c r="R62" s="3" t="s">
        <v>467</v>
      </c>
      <c r="S62" s="3" t="s">
        <v>221</v>
      </c>
      <c r="T62" s="3" t="s">
        <v>37</v>
      </c>
      <c r="U62" s="3" t="s">
        <v>38</v>
      </c>
      <c r="V62" s="3" t="s">
        <v>607</v>
      </c>
      <c r="W62" s="3" t="s">
        <v>223</v>
      </c>
      <c r="X62" s="3" t="s">
        <v>41</v>
      </c>
      <c r="Y62" s="3" t="s">
        <v>608</v>
      </c>
      <c r="Z62" s="3" t="s">
        <v>470</v>
      </c>
      <c r="AA62" s="3" t="s">
        <v>53</v>
      </c>
      <c r="AB62" s="3" t="s">
        <v>116</v>
      </c>
      <c r="AC62" s="3" t="s">
        <v>609</v>
      </c>
      <c r="AD62" s="14">
        <v>45323</v>
      </c>
      <c r="AE62" s="14">
        <v>45413</v>
      </c>
      <c r="AF62" s="3"/>
    </row>
    <row r="63" spans="1:32" ht="92.45" hidden="1">
      <c r="A63" s="3" t="s">
        <v>610</v>
      </c>
      <c r="B63" s="3" t="s">
        <v>611</v>
      </c>
      <c r="C63" s="3" t="s">
        <v>612</v>
      </c>
      <c r="D63" s="3" t="s">
        <v>59</v>
      </c>
      <c r="E63" s="3" t="s">
        <v>36</v>
      </c>
      <c r="F63" s="3" t="s">
        <v>247</v>
      </c>
      <c r="G63" s="3" t="s">
        <v>37</v>
      </c>
      <c r="H63" s="3" t="s">
        <v>49</v>
      </c>
      <c r="I63" s="3" t="s">
        <v>613</v>
      </c>
      <c r="J63" s="3" t="s">
        <v>223</v>
      </c>
      <c r="K63" s="3" t="s">
        <v>41</v>
      </c>
      <c r="L63" s="3" t="s">
        <v>614</v>
      </c>
      <c r="M63" s="3" t="s">
        <v>615</v>
      </c>
      <c r="N63" s="3" t="s">
        <v>53</v>
      </c>
      <c r="O63" s="3" t="s">
        <v>308</v>
      </c>
      <c r="P63" s="3" t="s">
        <v>616</v>
      </c>
      <c r="Q63" s="3" t="s">
        <v>617</v>
      </c>
      <c r="R63" s="3" t="s">
        <v>36</v>
      </c>
      <c r="S63" s="3" t="s">
        <v>221</v>
      </c>
      <c r="T63" s="3" t="s">
        <v>37</v>
      </c>
      <c r="U63" s="3" t="s">
        <v>73</v>
      </c>
      <c r="V63" s="3" t="s">
        <v>618</v>
      </c>
      <c r="W63" s="3" t="s">
        <v>223</v>
      </c>
      <c r="X63" s="3" t="s">
        <v>41</v>
      </c>
      <c r="Y63" s="3" t="s">
        <v>619</v>
      </c>
      <c r="Z63" s="3" t="s">
        <v>556</v>
      </c>
      <c r="AA63" s="3" t="s">
        <v>63</v>
      </c>
      <c r="AB63" s="3" t="s">
        <v>557</v>
      </c>
      <c r="AC63" s="3" t="s">
        <v>620</v>
      </c>
      <c r="AD63" s="14">
        <v>45047</v>
      </c>
      <c r="AE63" s="14">
        <v>45299</v>
      </c>
      <c r="AF63" s="3" t="s">
        <v>109</v>
      </c>
    </row>
    <row r="64" spans="1:32" ht="52.9" hidden="1">
      <c r="A64" s="3" t="s">
        <v>428</v>
      </c>
      <c r="B64" s="3" t="s">
        <v>429</v>
      </c>
      <c r="C64" s="3"/>
      <c r="D64" s="3" t="s">
        <v>35</v>
      </c>
      <c r="E64" s="3" t="s">
        <v>36</v>
      </c>
      <c r="F64" s="3" t="s">
        <v>221</v>
      </c>
      <c r="G64" s="3" t="s">
        <v>82</v>
      </c>
      <c r="H64" s="3" t="s">
        <v>38</v>
      </c>
      <c r="I64" s="3" t="s">
        <v>430</v>
      </c>
      <c r="J64" s="3" t="s">
        <v>223</v>
      </c>
      <c r="K64" s="3" t="s">
        <v>356</v>
      </c>
      <c r="L64" s="3" t="s">
        <v>431</v>
      </c>
      <c r="M64" s="3" t="s">
        <v>432</v>
      </c>
      <c r="N64" s="3" t="s">
        <v>53</v>
      </c>
      <c r="O64" s="3" t="s">
        <v>270</v>
      </c>
      <c r="P64" s="3" t="s">
        <v>621</v>
      </c>
      <c r="Q64" s="3" t="s">
        <v>622</v>
      </c>
      <c r="R64" s="3"/>
      <c r="S64" s="3" t="s">
        <v>221</v>
      </c>
      <c r="T64" s="3" t="s">
        <v>37</v>
      </c>
      <c r="U64" s="3" t="s">
        <v>49</v>
      </c>
      <c r="V64" s="3"/>
      <c r="W64" s="3" t="s">
        <v>223</v>
      </c>
      <c r="X64" s="3"/>
      <c r="Y64" s="3"/>
      <c r="Z64" s="3"/>
      <c r="AA64" s="3" t="s">
        <v>285</v>
      </c>
      <c r="AB64" s="3"/>
      <c r="AC64" s="3" t="s">
        <v>623</v>
      </c>
      <c r="AD64" s="14">
        <v>45078</v>
      </c>
      <c r="AE64" s="14">
        <v>45444</v>
      </c>
      <c r="AF64" s="3"/>
    </row>
    <row r="65" spans="1:32" ht="118.9" hidden="1">
      <c r="A65" s="3" t="s">
        <v>624</v>
      </c>
      <c r="B65" s="3" t="s">
        <v>625</v>
      </c>
      <c r="C65" s="3"/>
      <c r="D65" s="3" t="s">
        <v>132</v>
      </c>
      <c r="E65" s="3" t="s">
        <v>36</v>
      </c>
      <c r="F65" s="3" t="s">
        <v>247</v>
      </c>
      <c r="G65" s="3" t="s">
        <v>82</v>
      </c>
      <c r="H65" s="3" t="s">
        <v>49</v>
      </c>
      <c r="I65" s="3" t="s">
        <v>626</v>
      </c>
      <c r="J65" s="3" t="s">
        <v>223</v>
      </c>
      <c r="K65" s="3" t="s">
        <v>356</v>
      </c>
      <c r="L65" s="3" t="s">
        <v>627</v>
      </c>
      <c r="M65" s="3" t="s">
        <v>628</v>
      </c>
      <c r="N65" s="3" t="s">
        <v>53</v>
      </c>
      <c r="O65" s="3" t="s">
        <v>278</v>
      </c>
      <c r="P65" s="3" t="s">
        <v>629</v>
      </c>
      <c r="Q65" s="3" t="s">
        <v>630</v>
      </c>
      <c r="R65" s="3"/>
      <c r="S65" s="3" t="s">
        <v>247</v>
      </c>
      <c r="T65" s="3" t="s">
        <v>37</v>
      </c>
      <c r="U65" s="3" t="s">
        <v>78</v>
      </c>
      <c r="V65" s="3"/>
      <c r="W65" s="3" t="s">
        <v>223</v>
      </c>
      <c r="X65" s="3"/>
      <c r="Y65" s="3"/>
      <c r="Z65" s="3"/>
      <c r="AA65" s="3" t="s">
        <v>44</v>
      </c>
      <c r="AB65" s="3"/>
      <c r="AC65" s="3" t="s">
        <v>631</v>
      </c>
      <c r="AD65" s="14">
        <v>45267</v>
      </c>
      <c r="AE65" s="14">
        <v>45281</v>
      </c>
      <c r="AF65" s="3" t="s">
        <v>632</v>
      </c>
    </row>
    <row r="66" spans="1:32" ht="52.9" hidden="1">
      <c r="A66" s="3" t="s">
        <v>581</v>
      </c>
      <c r="B66" s="3" t="s">
        <v>582</v>
      </c>
      <c r="C66" s="3" t="s">
        <v>633</v>
      </c>
      <c r="D66" s="3" t="s">
        <v>59</v>
      </c>
      <c r="E66" s="3"/>
      <c r="F66" s="3" t="s">
        <v>247</v>
      </c>
      <c r="G66" s="3" t="s">
        <v>82</v>
      </c>
      <c r="H66" s="3" t="s">
        <v>49</v>
      </c>
      <c r="I66" s="3"/>
      <c r="J66" s="3" t="s">
        <v>223</v>
      </c>
      <c r="K66" s="3"/>
      <c r="L66" s="3"/>
      <c r="M66" s="3"/>
      <c r="N66" s="3" t="s">
        <v>53</v>
      </c>
      <c r="O66" s="3"/>
      <c r="P66" s="3" t="s">
        <v>634</v>
      </c>
      <c r="Q66" s="3" t="s">
        <v>635</v>
      </c>
      <c r="R66" s="3" t="s">
        <v>36</v>
      </c>
      <c r="S66" s="3" t="s">
        <v>247</v>
      </c>
      <c r="T66" s="3" t="s">
        <v>82</v>
      </c>
      <c r="U66" s="3" t="s">
        <v>78</v>
      </c>
      <c r="V66" s="3" t="s">
        <v>586</v>
      </c>
      <c r="W66" s="3" t="s">
        <v>223</v>
      </c>
      <c r="X66" s="3" t="s">
        <v>41</v>
      </c>
      <c r="Y66" s="3" t="s">
        <v>587</v>
      </c>
      <c r="Z66" s="3" t="s">
        <v>588</v>
      </c>
      <c r="AA66" s="3" t="s">
        <v>123</v>
      </c>
      <c r="AB66" s="3" t="s">
        <v>100</v>
      </c>
      <c r="AC66" s="3" t="s">
        <v>636</v>
      </c>
      <c r="AD66" s="14">
        <v>45261</v>
      </c>
      <c r="AE66" s="14">
        <v>45412</v>
      </c>
      <c r="AF66" s="3"/>
    </row>
    <row r="67" spans="1:32" ht="39.6" hidden="1">
      <c r="A67" s="3" t="s">
        <v>637</v>
      </c>
      <c r="B67" s="3" t="s">
        <v>638</v>
      </c>
      <c r="C67" s="3" t="s">
        <v>639</v>
      </c>
      <c r="D67" s="3" t="s">
        <v>132</v>
      </c>
      <c r="E67" s="3" t="s">
        <v>36</v>
      </c>
      <c r="F67" s="3" t="s">
        <v>221</v>
      </c>
      <c r="G67" s="3" t="s">
        <v>37</v>
      </c>
      <c r="H67" s="3" t="s">
        <v>38</v>
      </c>
      <c r="I67" s="3" t="s">
        <v>640</v>
      </c>
      <c r="J67" s="3" t="s">
        <v>223</v>
      </c>
      <c r="K67" s="3" t="s">
        <v>41</v>
      </c>
      <c r="L67" s="3" t="s">
        <v>641</v>
      </c>
      <c r="M67" s="3" t="s">
        <v>642</v>
      </c>
      <c r="N67" s="3" t="s">
        <v>53</v>
      </c>
      <c r="O67" s="3" t="s">
        <v>643</v>
      </c>
      <c r="P67" s="3" t="s">
        <v>644</v>
      </c>
      <c r="Q67" s="3" t="s">
        <v>645</v>
      </c>
      <c r="R67" s="3" t="s">
        <v>36</v>
      </c>
      <c r="S67" s="3" t="s">
        <v>221</v>
      </c>
      <c r="T67" s="3" t="s">
        <v>37</v>
      </c>
      <c r="U67" s="3" t="s">
        <v>49</v>
      </c>
      <c r="V67" s="3" t="s">
        <v>646</v>
      </c>
      <c r="W67" s="3" t="s">
        <v>223</v>
      </c>
      <c r="X67" s="3" t="s">
        <v>41</v>
      </c>
      <c r="Y67" s="3" t="s">
        <v>647</v>
      </c>
      <c r="Z67" s="3" t="s">
        <v>648</v>
      </c>
      <c r="AA67" s="3" t="s">
        <v>79</v>
      </c>
      <c r="AB67" s="3" t="s">
        <v>116</v>
      </c>
      <c r="AC67" s="3" t="s">
        <v>649</v>
      </c>
      <c r="AD67" s="14">
        <v>44835</v>
      </c>
      <c r="AE67" s="14">
        <v>45230</v>
      </c>
      <c r="AF67" s="3"/>
    </row>
    <row r="68" spans="1:32" ht="264" hidden="1">
      <c r="A68" s="3" t="s">
        <v>581</v>
      </c>
      <c r="B68" s="3" t="s">
        <v>582</v>
      </c>
      <c r="C68" s="3" t="s">
        <v>650</v>
      </c>
      <c r="D68" s="3" t="s">
        <v>35</v>
      </c>
      <c r="E68" s="3"/>
      <c r="F68" s="3" t="s">
        <v>247</v>
      </c>
      <c r="G68" s="3" t="s">
        <v>82</v>
      </c>
      <c r="H68" s="3" t="s">
        <v>49</v>
      </c>
      <c r="I68" s="3"/>
      <c r="J68" s="3" t="s">
        <v>223</v>
      </c>
      <c r="K68" s="3"/>
      <c r="L68" s="3"/>
      <c r="M68" s="3"/>
      <c r="N68" s="3" t="s">
        <v>53</v>
      </c>
      <c r="O68" s="3"/>
      <c r="P68" s="3" t="s">
        <v>584</v>
      </c>
      <c r="Q68" s="3" t="s">
        <v>585</v>
      </c>
      <c r="R68" s="3" t="s">
        <v>36</v>
      </c>
      <c r="S68" s="3" t="s">
        <v>247</v>
      </c>
      <c r="T68" s="3" t="s">
        <v>82</v>
      </c>
      <c r="U68" s="3" t="s">
        <v>38</v>
      </c>
      <c r="V68" s="3" t="s">
        <v>586</v>
      </c>
      <c r="W68" s="3" t="s">
        <v>223</v>
      </c>
      <c r="X68" s="3" t="s">
        <v>41</v>
      </c>
      <c r="Y68" s="3" t="s">
        <v>587</v>
      </c>
      <c r="Z68" s="3" t="s">
        <v>588</v>
      </c>
      <c r="AA68" s="3" t="s">
        <v>44</v>
      </c>
      <c r="AB68" s="3" t="s">
        <v>100</v>
      </c>
      <c r="AC68" s="3" t="s">
        <v>589</v>
      </c>
      <c r="AD68" s="14">
        <v>45266</v>
      </c>
      <c r="AE68" s="14">
        <v>45266</v>
      </c>
      <c r="AF68" s="3"/>
    </row>
    <row r="69" spans="1:32" ht="52.9" hidden="1">
      <c r="A69" s="3" t="s">
        <v>581</v>
      </c>
      <c r="B69" s="3" t="s">
        <v>582</v>
      </c>
      <c r="C69" s="3" t="s">
        <v>651</v>
      </c>
      <c r="D69" s="3" t="s">
        <v>35</v>
      </c>
      <c r="E69" s="3"/>
      <c r="F69" s="3" t="s">
        <v>247</v>
      </c>
      <c r="G69" s="3" t="s">
        <v>82</v>
      </c>
      <c r="H69" s="3" t="s">
        <v>49</v>
      </c>
      <c r="I69" s="3"/>
      <c r="J69" s="3" t="s">
        <v>223</v>
      </c>
      <c r="K69" s="3"/>
      <c r="L69" s="3"/>
      <c r="M69" s="3"/>
      <c r="N69" s="3" t="s">
        <v>53</v>
      </c>
      <c r="O69" s="3"/>
      <c r="P69" s="3" t="s">
        <v>634</v>
      </c>
      <c r="Q69" s="3" t="s">
        <v>635</v>
      </c>
      <c r="R69" s="3" t="s">
        <v>36</v>
      </c>
      <c r="S69" s="3" t="s">
        <v>247</v>
      </c>
      <c r="T69" s="3" t="s">
        <v>82</v>
      </c>
      <c r="U69" s="3" t="s">
        <v>78</v>
      </c>
      <c r="V69" s="3" t="s">
        <v>586</v>
      </c>
      <c r="W69" s="3" t="s">
        <v>223</v>
      </c>
      <c r="X69" s="3" t="s">
        <v>41</v>
      </c>
      <c r="Y69" s="3" t="s">
        <v>587</v>
      </c>
      <c r="Z69" s="3" t="s">
        <v>588</v>
      </c>
      <c r="AA69" s="3" t="s">
        <v>123</v>
      </c>
      <c r="AB69" s="3" t="s">
        <v>100</v>
      </c>
      <c r="AC69" s="3" t="s">
        <v>636</v>
      </c>
      <c r="AD69" s="14">
        <v>45314</v>
      </c>
      <c r="AE69" s="14">
        <v>45471</v>
      </c>
      <c r="AF69" s="3"/>
    </row>
    <row r="70" spans="1:32" ht="92.45" hidden="1">
      <c r="A70" s="3" t="s">
        <v>652</v>
      </c>
      <c r="B70" s="3" t="s">
        <v>653</v>
      </c>
      <c r="C70" s="3" t="s">
        <v>654</v>
      </c>
      <c r="D70" s="3" t="s">
        <v>35</v>
      </c>
      <c r="E70" s="3" t="s">
        <v>36</v>
      </c>
      <c r="F70" s="3" t="s">
        <v>221</v>
      </c>
      <c r="G70" s="3" t="s">
        <v>37</v>
      </c>
      <c r="H70" s="3" t="s">
        <v>38</v>
      </c>
      <c r="I70" s="3" t="s">
        <v>655</v>
      </c>
      <c r="J70" s="3" t="s">
        <v>223</v>
      </c>
      <c r="K70" s="3" t="s">
        <v>41</v>
      </c>
      <c r="L70" s="3" t="s">
        <v>656</v>
      </c>
      <c r="M70" s="3" t="s">
        <v>657</v>
      </c>
      <c r="N70" s="3" t="s">
        <v>79</v>
      </c>
      <c r="O70" s="3" t="s">
        <v>658</v>
      </c>
      <c r="P70" s="3" t="s">
        <v>659</v>
      </c>
      <c r="Q70" s="3" t="s">
        <v>660</v>
      </c>
      <c r="R70" s="3" t="s">
        <v>36</v>
      </c>
      <c r="S70" s="3" t="s">
        <v>274</v>
      </c>
      <c r="T70" s="3" t="s">
        <v>37</v>
      </c>
      <c r="U70" s="3" t="s">
        <v>49</v>
      </c>
      <c r="V70" s="3" t="s">
        <v>661</v>
      </c>
      <c r="W70" s="3" t="s">
        <v>223</v>
      </c>
      <c r="X70" s="3" t="s">
        <v>41</v>
      </c>
      <c r="Y70" s="3" t="s">
        <v>662</v>
      </c>
      <c r="Z70" s="3" t="s">
        <v>663</v>
      </c>
      <c r="AA70" s="3" t="s">
        <v>79</v>
      </c>
      <c r="AB70" s="3" t="s">
        <v>251</v>
      </c>
      <c r="AC70" s="3" t="s">
        <v>664</v>
      </c>
      <c r="AD70" s="14">
        <v>44578</v>
      </c>
      <c r="AE70" s="14">
        <v>44890</v>
      </c>
      <c r="AF70" s="3" t="s">
        <v>56</v>
      </c>
    </row>
    <row r="71" spans="1:32" ht="52.9" hidden="1">
      <c r="A71" s="3" t="s">
        <v>665</v>
      </c>
      <c r="B71" s="3" t="s">
        <v>666</v>
      </c>
      <c r="C71" s="3"/>
      <c r="D71" s="3" t="s">
        <v>35</v>
      </c>
      <c r="E71" s="3" t="s">
        <v>36</v>
      </c>
      <c r="F71" s="3" t="s">
        <v>221</v>
      </c>
      <c r="G71" s="3" t="s">
        <v>37</v>
      </c>
      <c r="H71" s="3" t="s">
        <v>78</v>
      </c>
      <c r="I71" s="3" t="s">
        <v>667</v>
      </c>
      <c r="J71" s="3" t="s">
        <v>223</v>
      </c>
      <c r="K71" s="3" t="s">
        <v>41</v>
      </c>
      <c r="L71" s="3" t="s">
        <v>668</v>
      </c>
      <c r="M71" s="3" t="s">
        <v>669</v>
      </c>
      <c r="N71" s="3" t="s">
        <v>123</v>
      </c>
      <c r="O71" s="3" t="s">
        <v>270</v>
      </c>
      <c r="P71" s="3" t="s">
        <v>670</v>
      </c>
      <c r="Q71" s="3" t="s">
        <v>671</v>
      </c>
      <c r="R71" s="3"/>
      <c r="S71" s="3" t="s">
        <v>221</v>
      </c>
      <c r="T71" s="3" t="s">
        <v>37</v>
      </c>
      <c r="U71" s="3" t="s">
        <v>49</v>
      </c>
      <c r="V71" s="3"/>
      <c r="W71" s="3" t="s">
        <v>223</v>
      </c>
      <c r="X71" s="3"/>
      <c r="Y71" s="3"/>
      <c r="Z71" s="3"/>
      <c r="AA71" s="3" t="s">
        <v>79</v>
      </c>
      <c r="AB71" s="3"/>
      <c r="AC71" s="3" t="s">
        <v>672</v>
      </c>
      <c r="AD71" s="14">
        <v>45293</v>
      </c>
      <c r="AE71" s="14">
        <v>45322</v>
      </c>
      <c r="AF71" s="3"/>
    </row>
    <row r="72" spans="1:32" ht="39.6" hidden="1">
      <c r="A72" s="3" t="s">
        <v>482</v>
      </c>
      <c r="B72" s="3" t="s">
        <v>483</v>
      </c>
      <c r="C72" s="3"/>
      <c r="D72" s="3" t="s">
        <v>59</v>
      </c>
      <c r="E72" s="3" t="s">
        <v>36</v>
      </c>
      <c r="F72" s="3" t="s">
        <v>221</v>
      </c>
      <c r="G72" s="3" t="s">
        <v>37</v>
      </c>
      <c r="H72" s="3" t="s">
        <v>49</v>
      </c>
      <c r="I72" s="3" t="s">
        <v>484</v>
      </c>
      <c r="J72" s="3" t="s">
        <v>223</v>
      </c>
      <c r="K72" s="3" t="s">
        <v>41</v>
      </c>
      <c r="L72" s="3" t="s">
        <v>485</v>
      </c>
      <c r="M72" s="3" t="s">
        <v>486</v>
      </c>
      <c r="N72" s="3" t="s">
        <v>79</v>
      </c>
      <c r="O72" s="3" t="s">
        <v>100</v>
      </c>
      <c r="P72" s="3" t="s">
        <v>673</v>
      </c>
      <c r="Q72" s="3" t="s">
        <v>674</v>
      </c>
      <c r="R72" s="3" t="s">
        <v>36</v>
      </c>
      <c r="S72" s="3" t="s">
        <v>221</v>
      </c>
      <c r="T72" s="3" t="s">
        <v>82</v>
      </c>
      <c r="U72" s="3" t="s">
        <v>49</v>
      </c>
      <c r="V72" s="3" t="s">
        <v>675</v>
      </c>
      <c r="W72" s="3" t="s">
        <v>223</v>
      </c>
      <c r="X72" s="3" t="s">
        <v>41</v>
      </c>
      <c r="Y72" s="3" t="s">
        <v>608</v>
      </c>
      <c r="Z72" s="3" t="s">
        <v>139</v>
      </c>
      <c r="AA72" s="3" t="s">
        <v>53</v>
      </c>
      <c r="AB72" s="3" t="s">
        <v>64</v>
      </c>
      <c r="AC72" s="3" t="s">
        <v>676</v>
      </c>
      <c r="AD72" s="14">
        <v>45323</v>
      </c>
      <c r="AE72" s="14">
        <v>45382</v>
      </c>
      <c r="AF72" s="3"/>
    </row>
    <row r="73" spans="1:32" ht="52.9" hidden="1">
      <c r="A73" s="3" t="s">
        <v>482</v>
      </c>
      <c r="B73" s="3" t="s">
        <v>483</v>
      </c>
      <c r="C73" s="3"/>
      <c r="D73" s="3" t="s">
        <v>35</v>
      </c>
      <c r="E73" s="3" t="s">
        <v>36</v>
      </c>
      <c r="F73" s="3" t="s">
        <v>221</v>
      </c>
      <c r="G73" s="3" t="s">
        <v>37</v>
      </c>
      <c r="H73" s="3" t="s">
        <v>49</v>
      </c>
      <c r="I73" s="3" t="s">
        <v>484</v>
      </c>
      <c r="J73" s="3" t="s">
        <v>223</v>
      </c>
      <c r="K73" s="3" t="s">
        <v>41</v>
      </c>
      <c r="L73" s="3" t="s">
        <v>485</v>
      </c>
      <c r="M73" s="3" t="s">
        <v>486</v>
      </c>
      <c r="N73" s="3" t="s">
        <v>79</v>
      </c>
      <c r="O73" s="3" t="s">
        <v>100</v>
      </c>
      <c r="P73" s="3" t="s">
        <v>677</v>
      </c>
      <c r="Q73" s="3" t="s">
        <v>678</v>
      </c>
      <c r="R73" s="3" t="s">
        <v>36</v>
      </c>
      <c r="S73" s="3" t="s">
        <v>221</v>
      </c>
      <c r="T73" s="3" t="s">
        <v>37</v>
      </c>
      <c r="U73" s="3" t="s">
        <v>38</v>
      </c>
      <c r="V73" s="3" t="s">
        <v>484</v>
      </c>
      <c r="W73" s="3" t="s">
        <v>223</v>
      </c>
      <c r="X73" s="3" t="s">
        <v>41</v>
      </c>
      <c r="Y73" s="3" t="s">
        <v>608</v>
      </c>
      <c r="Z73" s="3" t="s">
        <v>320</v>
      </c>
      <c r="AA73" s="3" t="s">
        <v>79</v>
      </c>
      <c r="AB73" s="3" t="s">
        <v>100</v>
      </c>
      <c r="AC73" s="3" t="s">
        <v>679</v>
      </c>
      <c r="AD73" s="14">
        <v>45292</v>
      </c>
      <c r="AE73" s="14">
        <v>45535</v>
      </c>
      <c r="AF73" s="3"/>
    </row>
    <row r="74" spans="1:32" ht="52.9" hidden="1">
      <c r="A74" s="3" t="s">
        <v>234</v>
      </c>
      <c r="B74" s="3" t="s">
        <v>235</v>
      </c>
      <c r="C74" s="3"/>
      <c r="D74" s="3" t="s">
        <v>35</v>
      </c>
      <c r="E74" s="3" t="s">
        <v>36</v>
      </c>
      <c r="F74" s="3" t="s">
        <v>221</v>
      </c>
      <c r="G74" s="3" t="s">
        <v>37</v>
      </c>
      <c r="H74" s="3" t="s">
        <v>49</v>
      </c>
      <c r="I74" s="3" t="s">
        <v>237</v>
      </c>
      <c r="J74" s="3" t="s">
        <v>223</v>
      </c>
      <c r="K74" s="3" t="s">
        <v>41</v>
      </c>
      <c r="L74" s="3" t="s">
        <v>238</v>
      </c>
      <c r="M74" s="3" t="s">
        <v>239</v>
      </c>
      <c r="N74" s="3" t="s">
        <v>63</v>
      </c>
      <c r="O74" s="3" t="s">
        <v>240</v>
      </c>
      <c r="P74" s="3" t="s">
        <v>680</v>
      </c>
      <c r="Q74" s="3" t="s">
        <v>681</v>
      </c>
      <c r="R74" s="3" t="s">
        <v>36</v>
      </c>
      <c r="S74" s="3" t="s">
        <v>221</v>
      </c>
      <c r="T74" s="3" t="s">
        <v>37</v>
      </c>
      <c r="U74" s="3" t="s">
        <v>49</v>
      </c>
      <c r="V74" s="3" t="s">
        <v>682</v>
      </c>
      <c r="W74" s="3" t="s">
        <v>223</v>
      </c>
      <c r="X74" s="3" t="s">
        <v>41</v>
      </c>
      <c r="Y74" s="3" t="s">
        <v>683</v>
      </c>
      <c r="Z74" s="3" t="s">
        <v>684</v>
      </c>
      <c r="AA74" s="3" t="s">
        <v>53</v>
      </c>
      <c r="AB74" s="3" t="s">
        <v>54</v>
      </c>
      <c r="AC74" s="3" t="s">
        <v>685</v>
      </c>
      <c r="AD74" s="14">
        <v>45269</v>
      </c>
      <c r="AE74" s="14">
        <v>45382</v>
      </c>
      <c r="AF74" s="3"/>
    </row>
    <row r="75" spans="1:32" ht="39.6" hidden="1">
      <c r="A75" s="3" t="s">
        <v>417</v>
      </c>
      <c r="B75" s="3" t="s">
        <v>418</v>
      </c>
      <c r="C75" s="3" t="s">
        <v>686</v>
      </c>
      <c r="D75" s="3" t="s">
        <v>687</v>
      </c>
      <c r="E75" s="3" t="s">
        <v>36</v>
      </c>
      <c r="F75" s="3" t="s">
        <v>247</v>
      </c>
      <c r="G75" s="3" t="s">
        <v>82</v>
      </c>
      <c r="H75" s="3" t="s">
        <v>38</v>
      </c>
      <c r="I75" s="3" t="s">
        <v>419</v>
      </c>
      <c r="J75" s="3" t="s">
        <v>223</v>
      </c>
      <c r="K75" s="3" t="s">
        <v>41</v>
      </c>
      <c r="L75" s="3" t="s">
        <v>420</v>
      </c>
      <c r="M75" s="3" t="s">
        <v>421</v>
      </c>
      <c r="N75" s="3" t="s">
        <v>44</v>
      </c>
      <c r="O75" s="3" t="s">
        <v>270</v>
      </c>
      <c r="P75" s="3" t="s">
        <v>688</v>
      </c>
      <c r="Q75" s="3" t="s">
        <v>689</v>
      </c>
      <c r="R75" s="3" t="s">
        <v>36</v>
      </c>
      <c r="S75" s="3" t="s">
        <v>221</v>
      </c>
      <c r="T75" s="3" t="s">
        <v>37</v>
      </c>
      <c r="U75" s="3" t="s">
        <v>73</v>
      </c>
      <c r="V75" s="3" t="s">
        <v>690</v>
      </c>
      <c r="W75" s="3" t="s">
        <v>223</v>
      </c>
      <c r="X75" s="3" t="s">
        <v>41</v>
      </c>
      <c r="Y75" s="3" t="s">
        <v>691</v>
      </c>
      <c r="Z75" s="3" t="s">
        <v>692</v>
      </c>
      <c r="AA75" s="3" t="s">
        <v>63</v>
      </c>
      <c r="AB75" s="3" t="s">
        <v>658</v>
      </c>
      <c r="AC75" s="3" t="s">
        <v>693</v>
      </c>
      <c r="AD75" s="14">
        <v>45139</v>
      </c>
      <c r="AE75" s="14">
        <v>45535</v>
      </c>
      <c r="AF75" s="3"/>
    </row>
    <row r="76" spans="1:32" ht="39.6" hidden="1">
      <c r="A76" s="3" t="s">
        <v>694</v>
      </c>
      <c r="B76" s="3" t="s">
        <v>695</v>
      </c>
      <c r="C76" s="3"/>
      <c r="D76" s="3" t="s">
        <v>35</v>
      </c>
      <c r="E76" s="3" t="s">
        <v>36</v>
      </c>
      <c r="F76" s="3" t="s">
        <v>221</v>
      </c>
      <c r="G76" s="3" t="s">
        <v>37</v>
      </c>
      <c r="H76" s="3" t="s">
        <v>38</v>
      </c>
      <c r="I76" s="3" t="s">
        <v>696</v>
      </c>
      <c r="J76" s="3" t="s">
        <v>223</v>
      </c>
      <c r="K76" s="3" t="s">
        <v>41</v>
      </c>
      <c r="L76" s="3" t="s">
        <v>697</v>
      </c>
      <c r="M76" s="3" t="s">
        <v>698</v>
      </c>
      <c r="N76" s="3" t="s">
        <v>44</v>
      </c>
      <c r="O76" s="3" t="s">
        <v>699</v>
      </c>
      <c r="P76" s="3" t="s">
        <v>700</v>
      </c>
      <c r="Q76" s="3" t="s">
        <v>701</v>
      </c>
      <c r="R76" s="3" t="s">
        <v>36</v>
      </c>
      <c r="S76" s="3" t="s">
        <v>221</v>
      </c>
      <c r="T76" s="3" t="s">
        <v>82</v>
      </c>
      <c r="U76" s="3" t="s">
        <v>38</v>
      </c>
      <c r="V76" s="3" t="s">
        <v>702</v>
      </c>
      <c r="W76" s="3" t="s">
        <v>223</v>
      </c>
      <c r="X76" s="3" t="s">
        <v>41</v>
      </c>
      <c r="Y76" s="3" t="s">
        <v>703</v>
      </c>
      <c r="Z76" s="3" t="s">
        <v>139</v>
      </c>
      <c r="AA76" s="3" t="s">
        <v>44</v>
      </c>
      <c r="AB76" s="3" t="s">
        <v>64</v>
      </c>
      <c r="AC76" s="3" t="s">
        <v>704</v>
      </c>
      <c r="AD76" s="14">
        <v>45272</v>
      </c>
      <c r="AE76" s="14">
        <v>45272</v>
      </c>
      <c r="AF76" s="3"/>
    </row>
    <row r="77" spans="1:32" ht="118.9" hidden="1">
      <c r="A77" s="3" t="s">
        <v>705</v>
      </c>
      <c r="B77" s="3" t="s">
        <v>706</v>
      </c>
      <c r="C77" s="3" t="s">
        <v>707</v>
      </c>
      <c r="D77" s="3" t="s">
        <v>59</v>
      </c>
      <c r="E77" s="3" t="s">
        <v>36</v>
      </c>
      <c r="F77" s="3" t="s">
        <v>221</v>
      </c>
      <c r="G77" s="3" t="s">
        <v>37</v>
      </c>
      <c r="H77" s="3" t="s">
        <v>38</v>
      </c>
      <c r="I77" s="3" t="s">
        <v>708</v>
      </c>
      <c r="J77" s="3" t="s">
        <v>223</v>
      </c>
      <c r="K77" s="3" t="s">
        <v>41</v>
      </c>
      <c r="L77" s="3" t="s">
        <v>709</v>
      </c>
      <c r="M77" s="3" t="s">
        <v>710</v>
      </c>
      <c r="N77" s="3" t="s">
        <v>53</v>
      </c>
      <c r="O77" s="3" t="s">
        <v>100</v>
      </c>
      <c r="P77" s="3" t="s">
        <v>711</v>
      </c>
      <c r="Q77" s="3" t="s">
        <v>712</v>
      </c>
      <c r="R77" s="3" t="s">
        <v>36</v>
      </c>
      <c r="S77" s="3" t="s">
        <v>221</v>
      </c>
      <c r="T77" s="3" t="s">
        <v>37</v>
      </c>
      <c r="U77" s="3" t="s">
        <v>49</v>
      </c>
      <c r="V77" s="3" t="s">
        <v>713</v>
      </c>
      <c r="W77" s="3" t="s">
        <v>223</v>
      </c>
      <c r="X77" s="3" t="s">
        <v>41</v>
      </c>
      <c r="Y77" s="3" t="s">
        <v>709</v>
      </c>
      <c r="Z77" s="3" t="s">
        <v>402</v>
      </c>
      <c r="AA77" s="3" t="s">
        <v>53</v>
      </c>
      <c r="AB77" s="3" t="s">
        <v>116</v>
      </c>
      <c r="AC77" s="3" t="s">
        <v>714</v>
      </c>
      <c r="AD77" s="14">
        <v>45313</v>
      </c>
      <c r="AE77" s="14">
        <v>45471</v>
      </c>
      <c r="AF77" s="3"/>
    </row>
    <row r="78" spans="1:32" ht="39.6" hidden="1">
      <c r="A78" s="3" t="s">
        <v>715</v>
      </c>
      <c r="B78" s="3" t="s">
        <v>716</v>
      </c>
      <c r="C78" s="3" t="s">
        <v>717</v>
      </c>
      <c r="D78" s="3" t="s">
        <v>59</v>
      </c>
      <c r="E78" s="3" t="s">
        <v>36</v>
      </c>
      <c r="F78" s="3" t="s">
        <v>221</v>
      </c>
      <c r="G78" s="3" t="s">
        <v>37</v>
      </c>
      <c r="H78" s="3" t="s">
        <v>38</v>
      </c>
      <c r="I78" s="3" t="s">
        <v>718</v>
      </c>
      <c r="J78" s="3" t="s">
        <v>223</v>
      </c>
      <c r="K78" s="3" t="s">
        <v>41</v>
      </c>
      <c r="L78" s="3" t="s">
        <v>719</v>
      </c>
      <c r="M78" s="3" t="s">
        <v>720</v>
      </c>
      <c r="N78" s="3" t="s">
        <v>44</v>
      </c>
      <c r="O78" s="3" t="s">
        <v>721</v>
      </c>
      <c r="P78" s="3" t="s">
        <v>722</v>
      </c>
      <c r="Q78" s="3" t="s">
        <v>723</v>
      </c>
      <c r="R78" s="3" t="s">
        <v>36</v>
      </c>
      <c r="S78" s="3" t="s">
        <v>221</v>
      </c>
      <c r="T78" s="3" t="s">
        <v>82</v>
      </c>
      <c r="U78" s="3" t="s">
        <v>49</v>
      </c>
      <c r="V78" s="3" t="s">
        <v>724</v>
      </c>
      <c r="W78" s="3" t="s">
        <v>223</v>
      </c>
      <c r="X78" s="3" t="s">
        <v>41</v>
      </c>
      <c r="Y78" s="3" t="s">
        <v>725</v>
      </c>
      <c r="Z78" s="3" t="s">
        <v>684</v>
      </c>
      <c r="AA78" s="3" t="s">
        <v>79</v>
      </c>
      <c r="AB78" s="3" t="s">
        <v>54</v>
      </c>
      <c r="AC78" s="3" t="s">
        <v>726</v>
      </c>
      <c r="AD78" s="14">
        <v>45272</v>
      </c>
      <c r="AE78" s="14">
        <v>45272</v>
      </c>
      <c r="AF78" s="3"/>
    </row>
    <row r="79" spans="1:32" ht="39.6" hidden="1">
      <c r="A79" s="3" t="s">
        <v>727</v>
      </c>
      <c r="B79" s="3" t="s">
        <v>728</v>
      </c>
      <c r="C79" s="3" t="s">
        <v>686</v>
      </c>
      <c r="D79" s="3" t="s">
        <v>687</v>
      </c>
      <c r="E79" s="3" t="s">
        <v>36</v>
      </c>
      <c r="F79" s="3" t="s">
        <v>274</v>
      </c>
      <c r="G79" s="3" t="s">
        <v>37</v>
      </c>
      <c r="H79" s="3" t="s">
        <v>49</v>
      </c>
      <c r="I79" s="3" t="s">
        <v>729</v>
      </c>
      <c r="J79" s="3" t="s">
        <v>223</v>
      </c>
      <c r="K79" s="3" t="s">
        <v>41</v>
      </c>
      <c r="L79" s="3" t="s">
        <v>730</v>
      </c>
      <c r="M79" s="3" t="s">
        <v>731</v>
      </c>
      <c r="N79" s="3" t="s">
        <v>53</v>
      </c>
      <c r="O79" s="3" t="s">
        <v>658</v>
      </c>
      <c r="P79" s="3" t="s">
        <v>732</v>
      </c>
      <c r="Q79" s="3" t="s">
        <v>733</v>
      </c>
      <c r="R79" s="3" t="s">
        <v>36</v>
      </c>
      <c r="S79" s="3" t="s">
        <v>247</v>
      </c>
      <c r="T79" s="3" t="s">
        <v>37</v>
      </c>
      <c r="U79" s="3" t="s">
        <v>73</v>
      </c>
      <c r="V79" s="3" t="s">
        <v>734</v>
      </c>
      <c r="W79" s="3" t="s">
        <v>223</v>
      </c>
      <c r="X79" s="3" t="s">
        <v>356</v>
      </c>
      <c r="Y79" s="3" t="s">
        <v>735</v>
      </c>
      <c r="Z79" s="3" t="s">
        <v>736</v>
      </c>
      <c r="AA79" s="3" t="s">
        <v>63</v>
      </c>
      <c r="AB79" s="3" t="s">
        <v>658</v>
      </c>
      <c r="AC79" s="3" t="s">
        <v>737</v>
      </c>
      <c r="AD79" s="14">
        <v>45139</v>
      </c>
      <c r="AE79" s="14">
        <v>45535</v>
      </c>
      <c r="AF79" s="3"/>
    </row>
    <row r="80" spans="1:32" ht="52.9" hidden="1">
      <c r="A80" s="3" t="s">
        <v>738</v>
      </c>
      <c r="B80" s="3" t="s">
        <v>739</v>
      </c>
      <c r="C80" s="3" t="s">
        <v>686</v>
      </c>
      <c r="D80" s="3" t="s">
        <v>687</v>
      </c>
      <c r="E80" s="3" t="s">
        <v>36</v>
      </c>
      <c r="F80" s="3" t="s">
        <v>274</v>
      </c>
      <c r="G80" s="3" t="s">
        <v>82</v>
      </c>
      <c r="H80" s="3" t="s">
        <v>49</v>
      </c>
      <c r="I80" s="3" t="s">
        <v>740</v>
      </c>
      <c r="J80" s="3" t="s">
        <v>223</v>
      </c>
      <c r="K80" s="3" t="s">
        <v>356</v>
      </c>
      <c r="L80" s="3" t="s">
        <v>741</v>
      </c>
      <c r="M80" s="3" t="s">
        <v>742</v>
      </c>
      <c r="N80" s="3" t="s">
        <v>53</v>
      </c>
      <c r="O80" s="3" t="s">
        <v>743</v>
      </c>
      <c r="P80" s="3" t="s">
        <v>744</v>
      </c>
      <c r="Q80" s="3" t="s">
        <v>745</v>
      </c>
      <c r="R80" s="3"/>
      <c r="S80" s="3" t="s">
        <v>274</v>
      </c>
      <c r="T80" s="3" t="s">
        <v>82</v>
      </c>
      <c r="U80" s="3" t="s">
        <v>73</v>
      </c>
      <c r="V80" s="3"/>
      <c r="W80" s="3" t="s">
        <v>223</v>
      </c>
      <c r="X80" s="3"/>
      <c r="Y80" s="3"/>
      <c r="Z80" s="3"/>
      <c r="AA80" s="3" t="s">
        <v>285</v>
      </c>
      <c r="AB80" s="3"/>
      <c r="AC80" s="3" t="s">
        <v>746</v>
      </c>
      <c r="AD80" s="14">
        <v>45139</v>
      </c>
      <c r="AE80" s="14">
        <v>45535</v>
      </c>
      <c r="AF80" s="3"/>
    </row>
    <row r="81" spans="1:32" ht="52.9" hidden="1">
      <c r="A81" s="3" t="s">
        <v>747</v>
      </c>
      <c r="B81" s="3" t="s">
        <v>748</v>
      </c>
      <c r="C81" s="3" t="s">
        <v>686</v>
      </c>
      <c r="D81" s="3" t="s">
        <v>687</v>
      </c>
      <c r="E81" s="3" t="s">
        <v>36</v>
      </c>
      <c r="F81" s="3" t="s">
        <v>247</v>
      </c>
      <c r="G81" s="3" t="s">
        <v>82</v>
      </c>
      <c r="H81" s="3" t="s">
        <v>38</v>
      </c>
      <c r="I81" s="3" t="s">
        <v>749</v>
      </c>
      <c r="J81" s="3" t="s">
        <v>223</v>
      </c>
      <c r="K81" s="3" t="s">
        <v>356</v>
      </c>
      <c r="L81" s="3" t="s">
        <v>750</v>
      </c>
      <c r="M81" s="3" t="s">
        <v>751</v>
      </c>
      <c r="N81" s="3" t="s">
        <v>53</v>
      </c>
      <c r="O81" s="3" t="s">
        <v>752</v>
      </c>
      <c r="P81" s="3" t="s">
        <v>753</v>
      </c>
      <c r="Q81" s="3" t="s">
        <v>754</v>
      </c>
      <c r="R81" s="3"/>
      <c r="S81" s="3" t="s">
        <v>247</v>
      </c>
      <c r="T81" s="3" t="s">
        <v>82</v>
      </c>
      <c r="U81" s="3" t="s">
        <v>73</v>
      </c>
      <c r="V81" s="3"/>
      <c r="W81" s="3" t="s">
        <v>223</v>
      </c>
      <c r="X81" s="3"/>
      <c r="Y81" s="3"/>
      <c r="Z81" s="3"/>
      <c r="AA81" s="3" t="s">
        <v>285</v>
      </c>
      <c r="AB81" s="3"/>
      <c r="AC81" s="3" t="s">
        <v>755</v>
      </c>
      <c r="AD81" s="14">
        <v>45139</v>
      </c>
      <c r="AE81" s="14">
        <v>45535</v>
      </c>
      <c r="AF81" s="3"/>
    </row>
    <row r="82" spans="1:32" ht="39.6" hidden="1">
      <c r="A82" s="3" t="s">
        <v>756</v>
      </c>
      <c r="B82" s="3" t="s">
        <v>757</v>
      </c>
      <c r="C82" s="3" t="s">
        <v>758</v>
      </c>
      <c r="D82" s="3" t="s">
        <v>59</v>
      </c>
      <c r="E82" s="3" t="s">
        <v>467</v>
      </c>
      <c r="F82" s="3" t="s">
        <v>221</v>
      </c>
      <c r="G82" s="3" t="s">
        <v>82</v>
      </c>
      <c r="H82" s="3" t="s">
        <v>49</v>
      </c>
      <c r="I82" s="3" t="s">
        <v>759</v>
      </c>
      <c r="J82" s="3" t="s">
        <v>223</v>
      </c>
      <c r="K82" s="3" t="s">
        <v>41</v>
      </c>
      <c r="L82" s="3" t="s">
        <v>760</v>
      </c>
      <c r="M82" s="3" t="s">
        <v>470</v>
      </c>
      <c r="N82" s="3" t="s">
        <v>79</v>
      </c>
      <c r="O82" s="3" t="s">
        <v>116</v>
      </c>
      <c r="P82" s="3" t="s">
        <v>761</v>
      </c>
      <c r="Q82" s="3" t="s">
        <v>762</v>
      </c>
      <c r="R82" s="3" t="s">
        <v>467</v>
      </c>
      <c r="S82" s="3" t="s">
        <v>221</v>
      </c>
      <c r="T82" s="3" t="s">
        <v>82</v>
      </c>
      <c r="U82" s="3" t="s">
        <v>73</v>
      </c>
      <c r="V82" s="3" t="s">
        <v>724</v>
      </c>
      <c r="W82" s="3" t="s">
        <v>223</v>
      </c>
      <c r="X82" s="3" t="s">
        <v>41</v>
      </c>
      <c r="Y82" s="3" t="s">
        <v>760</v>
      </c>
      <c r="Z82" s="3" t="s">
        <v>470</v>
      </c>
      <c r="AA82" s="3" t="s">
        <v>285</v>
      </c>
      <c r="AB82" s="3" t="s">
        <v>116</v>
      </c>
      <c r="AC82" s="3" t="s">
        <v>763</v>
      </c>
      <c r="AD82" s="14">
        <v>45272</v>
      </c>
      <c r="AE82" s="14">
        <v>45455</v>
      </c>
      <c r="AF82" s="3"/>
    </row>
    <row r="83" spans="1:32" ht="52.9" hidden="1">
      <c r="A83" s="3" t="s">
        <v>764</v>
      </c>
      <c r="B83" s="3" t="s">
        <v>765</v>
      </c>
      <c r="C83" s="3"/>
      <c r="D83" s="3" t="s">
        <v>348</v>
      </c>
      <c r="E83" s="3"/>
      <c r="F83" s="3" t="s">
        <v>221</v>
      </c>
      <c r="G83" s="3" t="s">
        <v>82</v>
      </c>
      <c r="H83" s="3" t="s">
        <v>49</v>
      </c>
      <c r="I83" s="3"/>
      <c r="J83" s="3" t="s">
        <v>223</v>
      </c>
      <c r="K83" s="3"/>
      <c r="L83" s="3"/>
      <c r="M83" s="3"/>
      <c r="N83" s="3" t="s">
        <v>53</v>
      </c>
      <c r="O83" s="3"/>
      <c r="P83" s="3" t="s">
        <v>766</v>
      </c>
      <c r="Q83" s="3" t="s">
        <v>767</v>
      </c>
      <c r="R83" s="3" t="s">
        <v>467</v>
      </c>
      <c r="S83" s="3" t="s">
        <v>221</v>
      </c>
      <c r="T83" s="3" t="s">
        <v>82</v>
      </c>
      <c r="U83" s="3" t="s">
        <v>49</v>
      </c>
      <c r="V83" s="3" t="s">
        <v>768</v>
      </c>
      <c r="W83" s="3" t="s">
        <v>223</v>
      </c>
      <c r="X83" s="3" t="s">
        <v>41</v>
      </c>
      <c r="Y83" s="3" t="s">
        <v>769</v>
      </c>
      <c r="Z83" s="3" t="s">
        <v>470</v>
      </c>
      <c r="AA83" s="3" t="s">
        <v>79</v>
      </c>
      <c r="AB83" s="3" t="s">
        <v>116</v>
      </c>
      <c r="AC83" s="3" t="s">
        <v>770</v>
      </c>
      <c r="AD83" s="14">
        <v>45273</v>
      </c>
      <c r="AE83" s="14">
        <v>45657</v>
      </c>
      <c r="AF83" s="3"/>
    </row>
    <row r="84" spans="1:32" ht="39.6" hidden="1">
      <c r="A84" s="3" t="s">
        <v>771</v>
      </c>
      <c r="B84" s="3" t="s">
        <v>772</v>
      </c>
      <c r="C84" s="3" t="s">
        <v>686</v>
      </c>
      <c r="D84" s="3" t="s">
        <v>687</v>
      </c>
      <c r="E84" s="3" t="s">
        <v>36</v>
      </c>
      <c r="F84" s="3" t="s">
        <v>274</v>
      </c>
      <c r="G84" s="3" t="s">
        <v>82</v>
      </c>
      <c r="H84" s="3" t="s">
        <v>49</v>
      </c>
      <c r="I84" s="3" t="s">
        <v>773</v>
      </c>
      <c r="J84" s="3" t="s">
        <v>223</v>
      </c>
      <c r="K84" s="3" t="s">
        <v>41</v>
      </c>
      <c r="L84" s="3" t="s">
        <v>774</v>
      </c>
      <c r="M84" s="3" t="s">
        <v>775</v>
      </c>
      <c r="N84" s="3" t="s">
        <v>79</v>
      </c>
      <c r="O84" s="3" t="s">
        <v>776</v>
      </c>
      <c r="P84" s="3" t="s">
        <v>777</v>
      </c>
      <c r="Q84" s="3" t="s">
        <v>778</v>
      </c>
      <c r="R84" s="3" t="s">
        <v>36</v>
      </c>
      <c r="S84" s="3" t="s">
        <v>274</v>
      </c>
      <c r="T84" s="3" t="s">
        <v>82</v>
      </c>
      <c r="U84" s="3" t="s">
        <v>73</v>
      </c>
      <c r="V84" s="3" t="s">
        <v>779</v>
      </c>
      <c r="W84" s="3" t="s">
        <v>223</v>
      </c>
      <c r="X84" s="3" t="s">
        <v>780</v>
      </c>
      <c r="Y84" s="3" t="s">
        <v>781</v>
      </c>
      <c r="Z84" s="3" t="s">
        <v>782</v>
      </c>
      <c r="AA84" s="3" t="s">
        <v>63</v>
      </c>
      <c r="AB84" s="3" t="s">
        <v>45</v>
      </c>
      <c r="AC84" s="3" t="s">
        <v>783</v>
      </c>
      <c r="AD84" s="14">
        <v>45139</v>
      </c>
      <c r="AE84" s="14">
        <v>45535</v>
      </c>
      <c r="AF84" s="3"/>
    </row>
    <row r="85" spans="1:32" ht="52.9" hidden="1">
      <c r="A85" s="3" t="s">
        <v>784</v>
      </c>
      <c r="B85" s="3" t="s">
        <v>785</v>
      </c>
      <c r="C85" s="3" t="s">
        <v>686</v>
      </c>
      <c r="D85" s="3" t="s">
        <v>687</v>
      </c>
      <c r="E85" s="3" t="s">
        <v>36</v>
      </c>
      <c r="F85" s="3" t="s">
        <v>254</v>
      </c>
      <c r="G85" s="3" t="s">
        <v>82</v>
      </c>
      <c r="H85" s="3" t="s">
        <v>49</v>
      </c>
      <c r="I85" s="3" t="s">
        <v>786</v>
      </c>
      <c r="J85" s="3" t="s">
        <v>223</v>
      </c>
      <c r="K85" s="3" t="s">
        <v>356</v>
      </c>
      <c r="L85" s="3" t="s">
        <v>787</v>
      </c>
      <c r="M85" s="3" t="s">
        <v>788</v>
      </c>
      <c r="N85" s="3" t="s">
        <v>53</v>
      </c>
      <c r="O85" s="3" t="s">
        <v>45</v>
      </c>
      <c r="P85" s="3" t="s">
        <v>789</v>
      </c>
      <c r="Q85" s="3" t="s">
        <v>790</v>
      </c>
      <c r="R85" s="3"/>
      <c r="S85" s="3" t="s">
        <v>274</v>
      </c>
      <c r="T85" s="3" t="s">
        <v>82</v>
      </c>
      <c r="U85" s="3" t="s">
        <v>73</v>
      </c>
      <c r="V85" s="3"/>
      <c r="W85" s="3" t="s">
        <v>223</v>
      </c>
      <c r="X85" s="3"/>
      <c r="Y85" s="3"/>
      <c r="Z85" s="3"/>
      <c r="AA85" s="3" t="s">
        <v>63</v>
      </c>
      <c r="AB85" s="3"/>
      <c r="AC85" s="3" t="s">
        <v>791</v>
      </c>
      <c r="AD85" s="14">
        <v>45139</v>
      </c>
      <c r="AE85" s="14">
        <v>45535</v>
      </c>
      <c r="AF85" s="3"/>
    </row>
    <row r="86" spans="1:32" ht="39.6" hidden="1">
      <c r="A86" s="3" t="s">
        <v>303</v>
      </c>
      <c r="B86" s="3" t="s">
        <v>304</v>
      </c>
      <c r="C86" s="3"/>
      <c r="D86" s="3" t="s">
        <v>59</v>
      </c>
      <c r="E86" s="3" t="s">
        <v>36</v>
      </c>
      <c r="F86" s="3" t="s">
        <v>254</v>
      </c>
      <c r="G86" s="3" t="s">
        <v>82</v>
      </c>
      <c r="H86" s="3" t="s">
        <v>38</v>
      </c>
      <c r="I86" s="3" t="s">
        <v>305</v>
      </c>
      <c r="J86" s="3" t="s">
        <v>223</v>
      </c>
      <c r="K86" s="3" t="s">
        <v>41</v>
      </c>
      <c r="L86" s="3" t="s">
        <v>306</v>
      </c>
      <c r="M86" s="3" t="s">
        <v>307</v>
      </c>
      <c r="N86" s="3" t="s">
        <v>63</v>
      </c>
      <c r="O86" s="3" t="s">
        <v>308</v>
      </c>
      <c r="P86" s="3" t="s">
        <v>792</v>
      </c>
      <c r="Q86" s="3" t="s">
        <v>793</v>
      </c>
      <c r="R86" s="3" t="s">
        <v>36</v>
      </c>
      <c r="S86" s="3" t="s">
        <v>221</v>
      </c>
      <c r="T86" s="3" t="s">
        <v>37</v>
      </c>
      <c r="U86" s="3" t="s">
        <v>38</v>
      </c>
      <c r="V86" s="3" t="s">
        <v>794</v>
      </c>
      <c r="W86" s="3" t="s">
        <v>223</v>
      </c>
      <c r="X86" s="3" t="s">
        <v>41</v>
      </c>
      <c r="Y86" s="3" t="s">
        <v>795</v>
      </c>
      <c r="Z86" s="3" t="s">
        <v>796</v>
      </c>
      <c r="AA86" s="3" t="s">
        <v>63</v>
      </c>
      <c r="AB86" s="3" t="s">
        <v>699</v>
      </c>
      <c r="AC86" s="3" t="s">
        <v>797</v>
      </c>
      <c r="AD86" s="14">
        <v>45271</v>
      </c>
      <c r="AE86" s="14"/>
      <c r="AF86" s="3"/>
    </row>
    <row r="87" spans="1:32" ht="52.9" hidden="1">
      <c r="A87" s="3" t="s">
        <v>234</v>
      </c>
      <c r="B87" s="3" t="s">
        <v>235</v>
      </c>
      <c r="C87" s="3"/>
      <c r="D87" s="3" t="s">
        <v>59</v>
      </c>
      <c r="E87" s="3" t="s">
        <v>36</v>
      </c>
      <c r="F87" s="3" t="s">
        <v>221</v>
      </c>
      <c r="G87" s="3" t="s">
        <v>37</v>
      </c>
      <c r="H87" s="3" t="s">
        <v>49</v>
      </c>
      <c r="I87" s="3" t="s">
        <v>237</v>
      </c>
      <c r="J87" s="3" t="s">
        <v>223</v>
      </c>
      <c r="K87" s="3" t="s">
        <v>41</v>
      </c>
      <c r="L87" s="3" t="s">
        <v>238</v>
      </c>
      <c r="M87" s="3" t="s">
        <v>239</v>
      </c>
      <c r="N87" s="3" t="s">
        <v>63</v>
      </c>
      <c r="O87" s="3" t="s">
        <v>240</v>
      </c>
      <c r="P87" s="3" t="s">
        <v>798</v>
      </c>
      <c r="Q87" s="3" t="s">
        <v>799</v>
      </c>
      <c r="R87" s="3" t="s">
        <v>467</v>
      </c>
      <c r="S87" s="3" t="s">
        <v>221</v>
      </c>
      <c r="T87" s="3" t="s">
        <v>37</v>
      </c>
      <c r="U87" s="3" t="s">
        <v>49</v>
      </c>
      <c r="V87" s="3" t="s">
        <v>800</v>
      </c>
      <c r="W87" s="3" t="s">
        <v>223</v>
      </c>
      <c r="X87" s="3" t="s">
        <v>41</v>
      </c>
      <c r="Y87" s="3" t="s">
        <v>683</v>
      </c>
      <c r="Z87" s="3" t="s">
        <v>470</v>
      </c>
      <c r="AA87" s="3" t="s">
        <v>63</v>
      </c>
      <c r="AB87" s="3" t="s">
        <v>116</v>
      </c>
      <c r="AC87" s="3" t="s">
        <v>801</v>
      </c>
      <c r="AD87" s="14">
        <v>45271</v>
      </c>
      <c r="AE87" s="14">
        <v>45382</v>
      </c>
      <c r="AF87" s="3"/>
    </row>
    <row r="88" spans="1:32" ht="52.9" hidden="1">
      <c r="A88" s="3" t="s">
        <v>234</v>
      </c>
      <c r="B88" s="3" t="s">
        <v>235</v>
      </c>
      <c r="C88" s="3"/>
      <c r="D88" s="3" t="s">
        <v>35</v>
      </c>
      <c r="E88" s="3" t="s">
        <v>36</v>
      </c>
      <c r="F88" s="3" t="s">
        <v>221</v>
      </c>
      <c r="G88" s="3" t="s">
        <v>37</v>
      </c>
      <c r="H88" s="3" t="s">
        <v>49</v>
      </c>
      <c r="I88" s="3" t="s">
        <v>237</v>
      </c>
      <c r="J88" s="3" t="s">
        <v>223</v>
      </c>
      <c r="K88" s="3" t="s">
        <v>41</v>
      </c>
      <c r="L88" s="3" t="s">
        <v>238</v>
      </c>
      <c r="M88" s="3" t="s">
        <v>239</v>
      </c>
      <c r="N88" s="3" t="s">
        <v>63</v>
      </c>
      <c r="O88" s="3" t="s">
        <v>240</v>
      </c>
      <c r="P88" s="3" t="s">
        <v>802</v>
      </c>
      <c r="Q88" s="3" t="s">
        <v>803</v>
      </c>
      <c r="R88" s="3" t="s">
        <v>467</v>
      </c>
      <c r="S88" s="3" t="s">
        <v>221</v>
      </c>
      <c r="T88" s="3" t="s">
        <v>37</v>
      </c>
      <c r="U88" s="3" t="s">
        <v>49</v>
      </c>
      <c r="V88" s="3" t="s">
        <v>800</v>
      </c>
      <c r="W88" s="3" t="s">
        <v>223</v>
      </c>
      <c r="X88" s="3" t="s">
        <v>41</v>
      </c>
      <c r="Y88" s="3" t="s">
        <v>683</v>
      </c>
      <c r="Z88" s="3" t="s">
        <v>470</v>
      </c>
      <c r="AA88" s="3" t="s">
        <v>79</v>
      </c>
      <c r="AB88" s="3" t="s">
        <v>116</v>
      </c>
      <c r="AC88" s="3" t="s">
        <v>804</v>
      </c>
      <c r="AD88" s="14">
        <v>45271</v>
      </c>
      <c r="AE88" s="14">
        <v>45352</v>
      </c>
      <c r="AF88" s="3"/>
    </row>
    <row r="89" spans="1:32" ht="39.6" hidden="1">
      <c r="A89" s="3" t="s">
        <v>805</v>
      </c>
      <c r="B89" s="3" t="s">
        <v>806</v>
      </c>
      <c r="C89" s="3" t="s">
        <v>807</v>
      </c>
      <c r="D89" s="3" t="s">
        <v>35</v>
      </c>
      <c r="E89" s="3" t="s">
        <v>36</v>
      </c>
      <c r="F89" s="3" t="s">
        <v>221</v>
      </c>
      <c r="G89" s="3" t="s">
        <v>37</v>
      </c>
      <c r="H89" s="3" t="s">
        <v>49</v>
      </c>
      <c r="I89" s="3" t="s">
        <v>808</v>
      </c>
      <c r="J89" s="3" t="s">
        <v>223</v>
      </c>
      <c r="K89" s="3" t="s">
        <v>41</v>
      </c>
      <c r="L89" s="3" t="s">
        <v>809</v>
      </c>
      <c r="M89" s="3" t="s">
        <v>810</v>
      </c>
      <c r="N89" s="3" t="s">
        <v>44</v>
      </c>
      <c r="O89" s="3" t="s">
        <v>811</v>
      </c>
      <c r="P89" s="3" t="s">
        <v>812</v>
      </c>
      <c r="Q89" s="3" t="s">
        <v>813</v>
      </c>
      <c r="R89" s="3" t="s">
        <v>36</v>
      </c>
      <c r="S89" s="3" t="s">
        <v>221</v>
      </c>
      <c r="T89" s="3" t="s">
        <v>37</v>
      </c>
      <c r="U89" s="3" t="s">
        <v>38</v>
      </c>
      <c r="V89" s="3" t="s">
        <v>814</v>
      </c>
      <c r="W89" s="3" t="s">
        <v>223</v>
      </c>
      <c r="X89" s="3" t="s">
        <v>41</v>
      </c>
      <c r="Y89" s="3" t="s">
        <v>815</v>
      </c>
      <c r="Z89" s="3" t="s">
        <v>372</v>
      </c>
      <c r="AA89" s="3" t="s">
        <v>53</v>
      </c>
      <c r="AB89" s="3" t="s">
        <v>201</v>
      </c>
      <c r="AC89" s="3" t="s">
        <v>816</v>
      </c>
      <c r="AD89" s="14">
        <v>45272</v>
      </c>
      <c r="AE89" s="14">
        <v>45638</v>
      </c>
      <c r="AF89" s="3"/>
    </row>
    <row r="90" spans="1:32" ht="52.9" hidden="1">
      <c r="A90" s="3" t="s">
        <v>817</v>
      </c>
      <c r="B90" s="3" t="s">
        <v>818</v>
      </c>
      <c r="C90" s="3" t="s">
        <v>819</v>
      </c>
      <c r="D90" s="3" t="s">
        <v>35</v>
      </c>
      <c r="E90" s="3" t="s">
        <v>36</v>
      </c>
      <c r="F90" s="3" t="s">
        <v>221</v>
      </c>
      <c r="G90" s="3" t="s">
        <v>82</v>
      </c>
      <c r="H90" s="3" t="s">
        <v>38</v>
      </c>
      <c r="I90" s="3" t="s">
        <v>820</v>
      </c>
      <c r="J90" s="3" t="s">
        <v>223</v>
      </c>
      <c r="K90" s="3" t="s">
        <v>41</v>
      </c>
      <c r="L90" s="3" t="s">
        <v>821</v>
      </c>
      <c r="M90" s="3" t="s">
        <v>486</v>
      </c>
      <c r="N90" s="3" t="s">
        <v>44</v>
      </c>
      <c r="O90" s="3" t="s">
        <v>100</v>
      </c>
      <c r="P90" s="3" t="s">
        <v>822</v>
      </c>
      <c r="Q90" s="3" t="s">
        <v>823</v>
      </c>
      <c r="R90" s="3" t="s">
        <v>36</v>
      </c>
      <c r="S90" s="3" t="s">
        <v>221</v>
      </c>
      <c r="T90" s="3" t="s">
        <v>82</v>
      </c>
      <c r="U90" s="3" t="s">
        <v>38</v>
      </c>
      <c r="V90" s="3" t="s">
        <v>820</v>
      </c>
      <c r="W90" s="3" t="s">
        <v>223</v>
      </c>
      <c r="X90" s="3" t="s">
        <v>41</v>
      </c>
      <c r="Y90" s="3" t="s">
        <v>824</v>
      </c>
      <c r="Z90" s="3" t="s">
        <v>320</v>
      </c>
      <c r="AA90" s="3" t="s">
        <v>44</v>
      </c>
      <c r="AB90" s="3" t="s">
        <v>100</v>
      </c>
      <c r="AC90" s="3" t="s">
        <v>825</v>
      </c>
      <c r="AD90" s="14">
        <v>45271</v>
      </c>
      <c r="AE90" s="14">
        <v>45565</v>
      </c>
      <c r="AF90" s="3"/>
    </row>
    <row r="91" spans="1:32" ht="66" hidden="1">
      <c r="A91" s="3" t="s">
        <v>826</v>
      </c>
      <c r="B91" s="3" t="s">
        <v>827</v>
      </c>
      <c r="C91" s="3" t="s">
        <v>828</v>
      </c>
      <c r="D91" s="3" t="s">
        <v>59</v>
      </c>
      <c r="E91" s="3" t="s">
        <v>36</v>
      </c>
      <c r="F91" s="3" t="s">
        <v>221</v>
      </c>
      <c r="G91" s="3" t="s">
        <v>37</v>
      </c>
      <c r="H91" s="3" t="s">
        <v>38</v>
      </c>
      <c r="I91" s="3" t="s">
        <v>829</v>
      </c>
      <c r="J91" s="3" t="s">
        <v>223</v>
      </c>
      <c r="K91" s="3" t="s">
        <v>41</v>
      </c>
      <c r="L91" s="3" t="s">
        <v>830</v>
      </c>
      <c r="M91" s="3" t="s">
        <v>200</v>
      </c>
      <c r="N91" s="3" t="s">
        <v>44</v>
      </c>
      <c r="O91" s="3" t="s">
        <v>201</v>
      </c>
      <c r="P91" s="3" t="s">
        <v>831</v>
      </c>
      <c r="Q91" s="3" t="s">
        <v>832</v>
      </c>
      <c r="R91" s="3" t="s">
        <v>36</v>
      </c>
      <c r="S91" s="3" t="s">
        <v>221</v>
      </c>
      <c r="T91" s="3" t="s">
        <v>37</v>
      </c>
      <c r="U91" s="3" t="s">
        <v>49</v>
      </c>
      <c r="V91" s="3" t="s">
        <v>833</v>
      </c>
      <c r="W91" s="3" t="s">
        <v>223</v>
      </c>
      <c r="X91" s="3" t="s">
        <v>41</v>
      </c>
      <c r="Y91" s="3" t="s">
        <v>725</v>
      </c>
      <c r="Z91" s="3" t="s">
        <v>372</v>
      </c>
      <c r="AA91" s="3" t="s">
        <v>53</v>
      </c>
      <c r="AB91" s="3" t="s">
        <v>201</v>
      </c>
      <c r="AC91" s="3" t="s">
        <v>834</v>
      </c>
      <c r="AD91" s="14">
        <v>45279</v>
      </c>
      <c r="AE91" s="14">
        <v>45645</v>
      </c>
      <c r="AF91" s="3"/>
    </row>
    <row r="92" spans="1:32" ht="39.6" hidden="1">
      <c r="A92" s="3" t="s">
        <v>835</v>
      </c>
      <c r="B92" s="3" t="s">
        <v>836</v>
      </c>
      <c r="C92" s="3"/>
      <c r="D92" s="3" t="s">
        <v>35</v>
      </c>
      <c r="E92" s="3" t="s">
        <v>36</v>
      </c>
      <c r="F92" s="3" t="s">
        <v>247</v>
      </c>
      <c r="G92" s="3" t="s">
        <v>37</v>
      </c>
      <c r="H92" s="3" t="s">
        <v>78</v>
      </c>
      <c r="I92" s="3" t="s">
        <v>837</v>
      </c>
      <c r="J92" s="3" t="s">
        <v>223</v>
      </c>
      <c r="K92" s="3" t="s">
        <v>41</v>
      </c>
      <c r="L92" s="3" t="s">
        <v>838</v>
      </c>
      <c r="M92" s="3" t="s">
        <v>486</v>
      </c>
      <c r="N92" s="3" t="s">
        <v>123</v>
      </c>
      <c r="O92" s="3" t="s">
        <v>100</v>
      </c>
      <c r="P92" s="3" t="s">
        <v>839</v>
      </c>
      <c r="Q92" s="3" t="s">
        <v>840</v>
      </c>
      <c r="R92" s="3" t="s">
        <v>36</v>
      </c>
      <c r="S92" s="3" t="s">
        <v>247</v>
      </c>
      <c r="T92" s="3" t="s">
        <v>37</v>
      </c>
      <c r="U92" s="3" t="s">
        <v>78</v>
      </c>
      <c r="V92" s="3" t="s">
        <v>841</v>
      </c>
      <c r="W92" s="3" t="s">
        <v>223</v>
      </c>
      <c r="X92" s="3" t="s">
        <v>41</v>
      </c>
      <c r="Y92" s="3" t="s">
        <v>842</v>
      </c>
      <c r="Z92" s="3" t="s">
        <v>320</v>
      </c>
      <c r="AA92" s="3" t="s">
        <v>123</v>
      </c>
      <c r="AB92" s="3" t="s">
        <v>100</v>
      </c>
      <c r="AC92" s="3" t="s">
        <v>843</v>
      </c>
      <c r="AD92" s="14">
        <v>45267</v>
      </c>
      <c r="AE92" s="14">
        <v>45267</v>
      </c>
      <c r="AF92" s="3"/>
    </row>
    <row r="93" spans="1:32" ht="39.6" hidden="1">
      <c r="A93" s="3" t="s">
        <v>844</v>
      </c>
      <c r="B93" s="3" t="s">
        <v>845</v>
      </c>
      <c r="C93" s="3"/>
      <c r="D93" s="3" t="s">
        <v>35</v>
      </c>
      <c r="E93" s="3" t="s">
        <v>36</v>
      </c>
      <c r="F93" s="3" t="s">
        <v>221</v>
      </c>
      <c r="G93" s="3" t="s">
        <v>37</v>
      </c>
      <c r="H93" s="3" t="s">
        <v>38</v>
      </c>
      <c r="I93" s="3" t="s">
        <v>520</v>
      </c>
      <c r="J93" s="3" t="s">
        <v>223</v>
      </c>
      <c r="K93" s="3" t="s">
        <v>41</v>
      </c>
      <c r="L93" s="3" t="s">
        <v>846</v>
      </c>
      <c r="M93" s="3" t="s">
        <v>320</v>
      </c>
      <c r="N93" s="3" t="s">
        <v>44</v>
      </c>
      <c r="O93" s="3" t="s">
        <v>100</v>
      </c>
      <c r="P93" s="3" t="s">
        <v>847</v>
      </c>
      <c r="Q93" s="3" t="s">
        <v>848</v>
      </c>
      <c r="R93" s="3" t="s">
        <v>467</v>
      </c>
      <c r="S93" s="3" t="s">
        <v>221</v>
      </c>
      <c r="T93" s="3" t="s">
        <v>37</v>
      </c>
      <c r="U93" s="3" t="s">
        <v>49</v>
      </c>
      <c r="V93" s="3" t="s">
        <v>849</v>
      </c>
      <c r="W93" s="3" t="s">
        <v>223</v>
      </c>
      <c r="X93" s="3" t="s">
        <v>41</v>
      </c>
      <c r="Y93" s="3" t="s">
        <v>850</v>
      </c>
      <c r="Z93" s="3" t="s">
        <v>470</v>
      </c>
      <c r="AA93" s="3" t="s">
        <v>63</v>
      </c>
      <c r="AB93" s="3" t="s">
        <v>116</v>
      </c>
      <c r="AC93" s="3" t="s">
        <v>851</v>
      </c>
      <c r="AD93" s="14">
        <v>45295</v>
      </c>
      <c r="AE93" s="14">
        <v>45322</v>
      </c>
      <c r="AF93" s="3"/>
    </row>
    <row r="94" spans="1:32" ht="39.6" hidden="1">
      <c r="A94" s="3" t="s">
        <v>835</v>
      </c>
      <c r="B94" s="3" t="s">
        <v>836</v>
      </c>
      <c r="C94" s="3"/>
      <c r="D94" s="3" t="s">
        <v>35</v>
      </c>
      <c r="E94" s="3" t="s">
        <v>36</v>
      </c>
      <c r="F94" s="3" t="s">
        <v>247</v>
      </c>
      <c r="G94" s="3" t="s">
        <v>37</v>
      </c>
      <c r="H94" s="3" t="s">
        <v>78</v>
      </c>
      <c r="I94" s="3" t="s">
        <v>837</v>
      </c>
      <c r="J94" s="3" t="s">
        <v>223</v>
      </c>
      <c r="K94" s="3" t="s">
        <v>41</v>
      </c>
      <c r="L94" s="3" t="s">
        <v>838</v>
      </c>
      <c r="M94" s="3" t="s">
        <v>486</v>
      </c>
      <c r="N94" s="3" t="s">
        <v>123</v>
      </c>
      <c r="O94" s="3" t="s">
        <v>100</v>
      </c>
      <c r="P94" s="3" t="s">
        <v>852</v>
      </c>
      <c r="Q94" s="3" t="s">
        <v>853</v>
      </c>
      <c r="R94" s="3" t="s">
        <v>36</v>
      </c>
      <c r="S94" s="3" t="s">
        <v>221</v>
      </c>
      <c r="T94" s="3" t="s">
        <v>37</v>
      </c>
      <c r="U94" s="3" t="s">
        <v>49</v>
      </c>
      <c r="V94" s="3" t="s">
        <v>854</v>
      </c>
      <c r="W94" s="3" t="s">
        <v>223</v>
      </c>
      <c r="X94" s="3" t="s">
        <v>41</v>
      </c>
      <c r="Y94" s="3" t="s">
        <v>855</v>
      </c>
      <c r="Z94" s="3" t="s">
        <v>684</v>
      </c>
      <c r="AA94" s="3" t="s">
        <v>63</v>
      </c>
      <c r="AB94" s="3" t="s">
        <v>54</v>
      </c>
      <c r="AC94" s="3" t="s">
        <v>856</v>
      </c>
      <c r="AD94" s="14">
        <v>45322</v>
      </c>
      <c r="AE94" s="14">
        <v>45657</v>
      </c>
      <c r="AF94" s="3"/>
    </row>
    <row r="95" spans="1:32" ht="39.6" hidden="1">
      <c r="A95" s="3" t="s">
        <v>857</v>
      </c>
      <c r="B95" s="3" t="s">
        <v>858</v>
      </c>
      <c r="C95" s="3" t="s">
        <v>859</v>
      </c>
      <c r="D95" s="3" t="s">
        <v>35</v>
      </c>
      <c r="E95" s="3" t="s">
        <v>36</v>
      </c>
      <c r="F95" s="3" t="s">
        <v>274</v>
      </c>
      <c r="G95" s="3" t="s">
        <v>82</v>
      </c>
      <c r="H95" s="3" t="s">
        <v>49</v>
      </c>
      <c r="I95" s="3" t="s">
        <v>860</v>
      </c>
      <c r="J95" s="3" t="s">
        <v>223</v>
      </c>
      <c r="K95" s="3" t="s">
        <v>41</v>
      </c>
      <c r="L95" s="3" t="s">
        <v>861</v>
      </c>
      <c r="M95" s="3" t="s">
        <v>862</v>
      </c>
      <c r="N95" s="3" t="s">
        <v>44</v>
      </c>
      <c r="O95" s="3" t="s">
        <v>45</v>
      </c>
      <c r="P95" s="3" t="s">
        <v>863</v>
      </c>
      <c r="Q95" s="3" t="s">
        <v>864</v>
      </c>
      <c r="R95" s="3" t="s">
        <v>36</v>
      </c>
      <c r="S95" s="3" t="s">
        <v>274</v>
      </c>
      <c r="T95" s="3" t="s">
        <v>37</v>
      </c>
      <c r="U95" s="3" t="s">
        <v>38</v>
      </c>
      <c r="V95" s="3" t="s">
        <v>578</v>
      </c>
      <c r="W95" s="3" t="s">
        <v>223</v>
      </c>
      <c r="X95" s="3" t="s">
        <v>41</v>
      </c>
      <c r="Y95" s="3" t="s">
        <v>579</v>
      </c>
      <c r="Z95" s="3" t="s">
        <v>139</v>
      </c>
      <c r="AA95" s="3" t="s">
        <v>123</v>
      </c>
      <c r="AB95" s="3" t="s">
        <v>64</v>
      </c>
      <c r="AC95" s="3" t="s">
        <v>865</v>
      </c>
      <c r="AD95" s="14">
        <v>45292</v>
      </c>
      <c r="AE95" s="14">
        <v>45382</v>
      </c>
      <c r="AF95" s="3"/>
    </row>
    <row r="96" spans="1:32" ht="52.9" hidden="1">
      <c r="A96" s="3" t="s">
        <v>866</v>
      </c>
      <c r="B96" s="3" t="s">
        <v>867</v>
      </c>
      <c r="C96" s="3"/>
      <c r="D96" s="3" t="s">
        <v>35</v>
      </c>
      <c r="E96" s="3"/>
      <c r="F96" s="3" t="s">
        <v>221</v>
      </c>
      <c r="G96" s="3" t="s">
        <v>37</v>
      </c>
      <c r="H96" s="3" t="s">
        <v>49</v>
      </c>
      <c r="I96" s="3"/>
      <c r="J96" s="3" t="s">
        <v>223</v>
      </c>
      <c r="K96" s="3"/>
      <c r="L96" s="3"/>
      <c r="M96" s="3"/>
      <c r="N96" s="3" t="s">
        <v>79</v>
      </c>
      <c r="O96" s="3"/>
      <c r="P96" s="3" t="s">
        <v>868</v>
      </c>
      <c r="Q96" s="3" t="s">
        <v>869</v>
      </c>
      <c r="R96" s="3" t="s">
        <v>467</v>
      </c>
      <c r="S96" s="3" t="s">
        <v>221</v>
      </c>
      <c r="T96" s="3" t="s">
        <v>37</v>
      </c>
      <c r="U96" s="3" t="s">
        <v>49</v>
      </c>
      <c r="V96" s="3" t="s">
        <v>870</v>
      </c>
      <c r="W96" s="3" t="s">
        <v>223</v>
      </c>
      <c r="X96" s="3" t="s">
        <v>41</v>
      </c>
      <c r="Y96" s="3" t="s">
        <v>871</v>
      </c>
      <c r="Z96" s="3" t="s">
        <v>470</v>
      </c>
      <c r="AA96" s="3" t="s">
        <v>79</v>
      </c>
      <c r="AB96" s="3" t="s">
        <v>116</v>
      </c>
      <c r="AC96" s="3" t="s">
        <v>872</v>
      </c>
      <c r="AD96" s="14">
        <v>45308</v>
      </c>
      <c r="AE96" s="14"/>
      <c r="AF96" s="3"/>
    </row>
    <row r="97" spans="1:32" ht="39.6" hidden="1">
      <c r="A97" s="3" t="s">
        <v>873</v>
      </c>
      <c r="B97" s="3" t="s">
        <v>874</v>
      </c>
      <c r="C97" s="3"/>
      <c r="D97" s="3" t="s">
        <v>35</v>
      </c>
      <c r="E97" s="3" t="s">
        <v>36</v>
      </c>
      <c r="F97" s="3" t="s">
        <v>221</v>
      </c>
      <c r="G97" s="3" t="s">
        <v>82</v>
      </c>
      <c r="H97" s="3" t="s">
        <v>49</v>
      </c>
      <c r="I97" s="3" t="s">
        <v>875</v>
      </c>
      <c r="J97" s="3" t="s">
        <v>223</v>
      </c>
      <c r="K97" s="3" t="s">
        <v>41</v>
      </c>
      <c r="L97" s="3" t="s">
        <v>876</v>
      </c>
      <c r="M97" s="3" t="s">
        <v>372</v>
      </c>
      <c r="N97" s="3" t="s">
        <v>79</v>
      </c>
      <c r="O97" s="3" t="s">
        <v>201</v>
      </c>
      <c r="P97" s="3" t="s">
        <v>877</v>
      </c>
      <c r="Q97" s="3" t="s">
        <v>878</v>
      </c>
      <c r="R97" s="3" t="s">
        <v>467</v>
      </c>
      <c r="S97" s="3" t="s">
        <v>221</v>
      </c>
      <c r="T97" s="3" t="s">
        <v>82</v>
      </c>
      <c r="U97" s="3" t="s">
        <v>38</v>
      </c>
      <c r="V97" s="3" t="s">
        <v>879</v>
      </c>
      <c r="W97" s="3" t="s">
        <v>223</v>
      </c>
      <c r="X97" s="3" t="s">
        <v>41</v>
      </c>
      <c r="Y97" s="3" t="s">
        <v>880</v>
      </c>
      <c r="Z97" s="3" t="s">
        <v>470</v>
      </c>
      <c r="AA97" s="3" t="s">
        <v>53</v>
      </c>
      <c r="AB97" s="3" t="s">
        <v>116</v>
      </c>
      <c r="AC97" s="3" t="s">
        <v>881</v>
      </c>
      <c r="AD97" s="14">
        <v>45313</v>
      </c>
      <c r="AE97" s="14">
        <v>45639</v>
      </c>
      <c r="AF97" s="3"/>
    </row>
    <row r="98" spans="1:32" ht="39.6" hidden="1">
      <c r="A98" s="3" t="s">
        <v>882</v>
      </c>
      <c r="B98" s="3" t="s">
        <v>883</v>
      </c>
      <c r="C98" s="3"/>
      <c r="D98" s="3" t="s">
        <v>59</v>
      </c>
      <c r="E98" s="3" t="s">
        <v>36</v>
      </c>
      <c r="F98" s="3" t="s">
        <v>221</v>
      </c>
      <c r="G98" s="3" t="s">
        <v>82</v>
      </c>
      <c r="H98" s="3" t="s">
        <v>38</v>
      </c>
      <c r="I98" s="3" t="s">
        <v>884</v>
      </c>
      <c r="J98" s="3" t="s">
        <v>223</v>
      </c>
      <c r="K98" s="3" t="s">
        <v>41</v>
      </c>
      <c r="L98" s="3" t="s">
        <v>885</v>
      </c>
      <c r="M98" s="3" t="s">
        <v>886</v>
      </c>
      <c r="N98" s="3" t="s">
        <v>123</v>
      </c>
      <c r="O98" s="3" t="s">
        <v>116</v>
      </c>
      <c r="P98" s="3" t="s">
        <v>887</v>
      </c>
      <c r="Q98" s="3" t="s">
        <v>888</v>
      </c>
      <c r="R98" s="3" t="s">
        <v>36</v>
      </c>
      <c r="S98" s="3" t="s">
        <v>221</v>
      </c>
      <c r="T98" s="3" t="s">
        <v>82</v>
      </c>
      <c r="U98" s="3" t="s">
        <v>49</v>
      </c>
      <c r="V98" s="3" t="s">
        <v>586</v>
      </c>
      <c r="W98" s="3" t="s">
        <v>223</v>
      </c>
      <c r="X98" s="3" t="s">
        <v>41</v>
      </c>
      <c r="Y98" s="3" t="s">
        <v>587</v>
      </c>
      <c r="Z98" s="3" t="s">
        <v>588</v>
      </c>
      <c r="AA98" s="3" t="s">
        <v>53</v>
      </c>
      <c r="AB98" s="3" t="s">
        <v>100</v>
      </c>
      <c r="AC98" s="3" t="s">
        <v>889</v>
      </c>
      <c r="AD98" s="14">
        <v>45271</v>
      </c>
      <c r="AE98" s="14">
        <v>45474</v>
      </c>
      <c r="AF98" s="3"/>
    </row>
    <row r="99" spans="1:32" ht="39.6" hidden="1">
      <c r="A99" s="3" t="s">
        <v>890</v>
      </c>
      <c r="B99" s="3" t="s">
        <v>891</v>
      </c>
      <c r="C99" s="3" t="s">
        <v>892</v>
      </c>
      <c r="D99" s="3" t="s">
        <v>35</v>
      </c>
      <c r="E99" s="3" t="s">
        <v>36</v>
      </c>
      <c r="F99" s="3" t="s">
        <v>247</v>
      </c>
      <c r="G99" s="3" t="s">
        <v>82</v>
      </c>
      <c r="H99" s="3" t="s">
        <v>49</v>
      </c>
      <c r="I99" s="3" t="s">
        <v>893</v>
      </c>
      <c r="J99" s="3" t="s">
        <v>223</v>
      </c>
      <c r="K99" s="3" t="s">
        <v>41</v>
      </c>
      <c r="L99" s="3" t="s">
        <v>894</v>
      </c>
      <c r="M99" s="3" t="s">
        <v>486</v>
      </c>
      <c r="N99" s="3" t="s">
        <v>53</v>
      </c>
      <c r="O99" s="3" t="s">
        <v>100</v>
      </c>
      <c r="P99" s="3" t="s">
        <v>895</v>
      </c>
      <c r="Q99" s="3" t="s">
        <v>896</v>
      </c>
      <c r="R99" s="3" t="s">
        <v>36</v>
      </c>
      <c r="S99" s="3" t="s">
        <v>247</v>
      </c>
      <c r="T99" s="3" t="s">
        <v>37</v>
      </c>
      <c r="U99" s="3" t="s">
        <v>78</v>
      </c>
      <c r="V99" s="3" t="s">
        <v>897</v>
      </c>
      <c r="W99" s="3" t="s">
        <v>223</v>
      </c>
      <c r="X99" s="3" t="s">
        <v>41</v>
      </c>
      <c r="Y99" s="3" t="s">
        <v>898</v>
      </c>
      <c r="Z99" s="3" t="s">
        <v>200</v>
      </c>
      <c r="AA99" s="3" t="s">
        <v>123</v>
      </c>
      <c r="AB99" s="3" t="s">
        <v>201</v>
      </c>
      <c r="AC99" s="3" t="s">
        <v>899</v>
      </c>
      <c r="AD99" s="14">
        <v>45139</v>
      </c>
      <c r="AE99" s="14">
        <v>45657</v>
      </c>
      <c r="AF99" s="3"/>
    </row>
    <row r="100" spans="1:32" ht="39.6" hidden="1">
      <c r="A100" s="3" t="s">
        <v>900</v>
      </c>
      <c r="B100" s="3" t="s">
        <v>901</v>
      </c>
      <c r="C100" s="3" t="s">
        <v>902</v>
      </c>
      <c r="D100" s="3" t="s">
        <v>35</v>
      </c>
      <c r="E100" s="3" t="s">
        <v>36</v>
      </c>
      <c r="F100" s="3" t="s">
        <v>221</v>
      </c>
      <c r="G100" s="3" t="s">
        <v>82</v>
      </c>
      <c r="H100" s="3" t="s">
        <v>49</v>
      </c>
      <c r="I100" s="3" t="s">
        <v>893</v>
      </c>
      <c r="J100" s="3" t="s">
        <v>223</v>
      </c>
      <c r="K100" s="3" t="s">
        <v>41</v>
      </c>
      <c r="L100" s="3" t="s">
        <v>903</v>
      </c>
      <c r="M100" s="3" t="s">
        <v>486</v>
      </c>
      <c r="N100" s="3" t="s">
        <v>53</v>
      </c>
      <c r="O100" s="3" t="s">
        <v>100</v>
      </c>
      <c r="P100" s="3" t="s">
        <v>904</v>
      </c>
      <c r="Q100" s="3" t="s">
        <v>905</v>
      </c>
      <c r="R100" s="3" t="s">
        <v>36</v>
      </c>
      <c r="S100" s="3" t="s">
        <v>247</v>
      </c>
      <c r="T100" s="3" t="s">
        <v>82</v>
      </c>
      <c r="U100" s="3" t="s">
        <v>38</v>
      </c>
      <c r="V100" s="3" t="s">
        <v>906</v>
      </c>
      <c r="W100" s="3" t="s">
        <v>223</v>
      </c>
      <c r="X100" s="3" t="s">
        <v>41</v>
      </c>
      <c r="Y100" s="3" t="s">
        <v>907</v>
      </c>
      <c r="Z100" s="3" t="s">
        <v>200</v>
      </c>
      <c r="AA100" s="3" t="s">
        <v>123</v>
      </c>
      <c r="AB100" s="3" t="s">
        <v>201</v>
      </c>
      <c r="AC100" s="3" t="s">
        <v>908</v>
      </c>
      <c r="AD100" s="14">
        <v>45299</v>
      </c>
      <c r="AE100" s="14">
        <v>45473</v>
      </c>
      <c r="AF100" s="3"/>
    </row>
    <row r="101" spans="1:32" ht="52.9" hidden="1">
      <c r="A101" s="3" t="s">
        <v>909</v>
      </c>
      <c r="B101" s="3" t="s">
        <v>910</v>
      </c>
      <c r="C101" s="3"/>
      <c r="D101" s="3" t="s">
        <v>35</v>
      </c>
      <c r="E101" s="3" t="s">
        <v>36</v>
      </c>
      <c r="F101" s="3" t="s">
        <v>274</v>
      </c>
      <c r="G101" s="3" t="s">
        <v>37</v>
      </c>
      <c r="H101" s="3" t="s">
        <v>38</v>
      </c>
      <c r="I101" s="3" t="s">
        <v>718</v>
      </c>
      <c r="J101" s="3" t="s">
        <v>223</v>
      </c>
      <c r="K101" s="3" t="s">
        <v>41</v>
      </c>
      <c r="L101" s="3" t="s">
        <v>719</v>
      </c>
      <c r="M101" s="3" t="s">
        <v>911</v>
      </c>
      <c r="N101" s="3" t="s">
        <v>53</v>
      </c>
      <c r="O101" s="3" t="s">
        <v>721</v>
      </c>
      <c r="P101" s="3" t="s">
        <v>912</v>
      </c>
      <c r="Q101" s="3" t="s">
        <v>913</v>
      </c>
      <c r="R101" s="3"/>
      <c r="S101" s="3" t="s">
        <v>221</v>
      </c>
      <c r="T101" s="3" t="s">
        <v>37</v>
      </c>
      <c r="U101" s="3" t="s">
        <v>38</v>
      </c>
      <c r="V101" s="3"/>
      <c r="W101" s="3" t="s">
        <v>223</v>
      </c>
      <c r="X101" s="3"/>
      <c r="Y101" s="3"/>
      <c r="Z101" s="3"/>
      <c r="AA101" s="3" t="s">
        <v>44</v>
      </c>
      <c r="AB101" s="3"/>
      <c r="AC101" s="3" t="s">
        <v>914</v>
      </c>
      <c r="AD101" s="14">
        <v>45274</v>
      </c>
      <c r="AE101" s="14">
        <v>45473</v>
      </c>
      <c r="AF101" s="3"/>
    </row>
    <row r="102" spans="1:32" ht="39.6" hidden="1">
      <c r="A102" s="3" t="s">
        <v>915</v>
      </c>
      <c r="B102" s="3" t="s">
        <v>916</v>
      </c>
      <c r="C102" s="3" t="s">
        <v>917</v>
      </c>
      <c r="D102" s="3" t="s">
        <v>59</v>
      </c>
      <c r="E102" s="3" t="s">
        <v>36</v>
      </c>
      <c r="F102" s="3" t="s">
        <v>48</v>
      </c>
      <c r="G102" s="3" t="s">
        <v>37</v>
      </c>
      <c r="H102" s="3" t="s">
        <v>49</v>
      </c>
      <c r="I102" s="3" t="s">
        <v>154</v>
      </c>
      <c r="J102" s="3" t="s">
        <v>40</v>
      </c>
      <c r="K102" s="3" t="s">
        <v>41</v>
      </c>
      <c r="L102" s="3" t="s">
        <v>918</v>
      </c>
      <c r="M102" s="3" t="s">
        <v>919</v>
      </c>
      <c r="N102" s="3" t="s">
        <v>79</v>
      </c>
      <c r="O102" s="3" t="s">
        <v>920</v>
      </c>
      <c r="P102" s="3" t="s">
        <v>921</v>
      </c>
      <c r="Q102" s="3" t="s">
        <v>922</v>
      </c>
      <c r="R102" s="3" t="s">
        <v>36</v>
      </c>
      <c r="S102" s="3" t="s">
        <v>48</v>
      </c>
      <c r="T102" s="3" t="s">
        <v>37</v>
      </c>
      <c r="U102" s="3" t="s">
        <v>49</v>
      </c>
      <c r="V102" s="3" t="s">
        <v>166</v>
      </c>
      <c r="W102" s="3" t="s">
        <v>40</v>
      </c>
      <c r="X102" s="3" t="s">
        <v>41</v>
      </c>
      <c r="Y102" s="3" t="s">
        <v>167</v>
      </c>
      <c r="Z102" s="3" t="s">
        <v>52</v>
      </c>
      <c r="AA102" s="3" t="s">
        <v>79</v>
      </c>
      <c r="AB102" s="3" t="s">
        <v>54</v>
      </c>
      <c r="AC102" s="3" t="s">
        <v>923</v>
      </c>
      <c r="AD102" s="14">
        <v>45383</v>
      </c>
      <c r="AE102" s="14">
        <v>45575</v>
      </c>
      <c r="AF102" s="3"/>
    </row>
    <row r="103" spans="1:32" ht="52.9" hidden="1">
      <c r="A103" s="3" t="s">
        <v>866</v>
      </c>
      <c r="B103" s="3" t="s">
        <v>867</v>
      </c>
      <c r="C103" s="3" t="s">
        <v>924</v>
      </c>
      <c r="D103" s="3" t="s">
        <v>35</v>
      </c>
      <c r="E103" s="3"/>
      <c r="F103" s="3" t="s">
        <v>221</v>
      </c>
      <c r="G103" s="3" t="s">
        <v>37</v>
      </c>
      <c r="H103" s="3" t="s">
        <v>49</v>
      </c>
      <c r="I103" s="3"/>
      <c r="J103" s="3" t="s">
        <v>223</v>
      </c>
      <c r="K103" s="3"/>
      <c r="L103" s="3"/>
      <c r="M103" s="3"/>
      <c r="N103" s="3" t="s">
        <v>79</v>
      </c>
      <c r="O103" s="3"/>
      <c r="P103" s="3" t="s">
        <v>925</v>
      </c>
      <c r="Q103" s="3" t="s">
        <v>926</v>
      </c>
      <c r="R103" s="3" t="s">
        <v>467</v>
      </c>
      <c r="S103" s="3" t="s">
        <v>221</v>
      </c>
      <c r="T103" s="3" t="s">
        <v>37</v>
      </c>
      <c r="U103" s="3" t="s">
        <v>49</v>
      </c>
      <c r="V103" s="3" t="s">
        <v>870</v>
      </c>
      <c r="W103" s="3" t="s">
        <v>223</v>
      </c>
      <c r="X103" s="3" t="s">
        <v>41</v>
      </c>
      <c r="Y103" s="3" t="s">
        <v>871</v>
      </c>
      <c r="Z103" s="3" t="s">
        <v>470</v>
      </c>
      <c r="AA103" s="3" t="s">
        <v>79</v>
      </c>
      <c r="AB103" s="3" t="s">
        <v>116</v>
      </c>
      <c r="AC103" s="3" t="s">
        <v>927</v>
      </c>
      <c r="AD103" s="14">
        <v>45280</v>
      </c>
      <c r="AE103" s="14">
        <v>45657</v>
      </c>
      <c r="AF103" s="3"/>
    </row>
    <row r="104" spans="1:32" ht="52.9" hidden="1">
      <c r="A104" s="3" t="s">
        <v>928</v>
      </c>
      <c r="B104" s="3" t="s">
        <v>929</v>
      </c>
      <c r="C104" s="3"/>
      <c r="D104" s="3" t="s">
        <v>59</v>
      </c>
      <c r="E104" s="3"/>
      <c r="F104" s="3" t="s">
        <v>274</v>
      </c>
      <c r="G104" s="3" t="s">
        <v>37</v>
      </c>
      <c r="H104" s="3" t="s">
        <v>49</v>
      </c>
      <c r="I104" s="3"/>
      <c r="J104" s="3" t="s">
        <v>223</v>
      </c>
      <c r="K104" s="3"/>
      <c r="L104" s="3"/>
      <c r="M104" s="3"/>
      <c r="N104" s="3" t="s">
        <v>53</v>
      </c>
      <c r="O104" s="3"/>
      <c r="P104" s="3" t="s">
        <v>930</v>
      </c>
      <c r="Q104" s="3" t="s">
        <v>931</v>
      </c>
      <c r="R104" s="3" t="s">
        <v>36</v>
      </c>
      <c r="S104" s="3" t="s">
        <v>274</v>
      </c>
      <c r="T104" s="3" t="s">
        <v>37</v>
      </c>
      <c r="U104" s="3" t="s">
        <v>49</v>
      </c>
      <c r="V104" s="3" t="s">
        <v>932</v>
      </c>
      <c r="W104" s="3" t="s">
        <v>223</v>
      </c>
      <c r="X104" s="3" t="s">
        <v>41</v>
      </c>
      <c r="Y104" s="3" t="s">
        <v>933</v>
      </c>
      <c r="Z104" s="3" t="s">
        <v>337</v>
      </c>
      <c r="AA104" s="3" t="s">
        <v>79</v>
      </c>
      <c r="AB104" s="3" t="s">
        <v>338</v>
      </c>
      <c r="AC104" s="3" t="s">
        <v>934</v>
      </c>
      <c r="AD104" s="14">
        <v>45253</v>
      </c>
      <c r="AE104" s="14">
        <v>45657</v>
      </c>
      <c r="AF104" s="3"/>
    </row>
    <row r="105" spans="1:32" ht="39.6" hidden="1">
      <c r="A105" s="3" t="s">
        <v>935</v>
      </c>
      <c r="B105" s="3" t="s">
        <v>936</v>
      </c>
      <c r="C105" s="3" t="s">
        <v>937</v>
      </c>
      <c r="D105" s="3" t="s">
        <v>59</v>
      </c>
      <c r="E105" s="3" t="s">
        <v>36</v>
      </c>
      <c r="F105" s="3"/>
      <c r="G105" s="3" t="s">
        <v>82</v>
      </c>
      <c r="H105" s="3" t="s">
        <v>49</v>
      </c>
      <c r="I105" s="3" t="s">
        <v>938</v>
      </c>
      <c r="J105" s="3" t="s">
        <v>40</v>
      </c>
      <c r="K105" s="3" t="s">
        <v>41</v>
      </c>
      <c r="L105" s="3" t="s">
        <v>106</v>
      </c>
      <c r="M105" s="3" t="s">
        <v>939</v>
      </c>
      <c r="N105" s="3" t="s">
        <v>53</v>
      </c>
      <c r="O105" s="3" t="s">
        <v>54</v>
      </c>
      <c r="P105" s="3" t="s">
        <v>921</v>
      </c>
      <c r="Q105" s="3" t="s">
        <v>922</v>
      </c>
      <c r="R105" s="3" t="s">
        <v>36</v>
      </c>
      <c r="S105" s="3" t="s">
        <v>48</v>
      </c>
      <c r="T105" s="3" t="s">
        <v>37</v>
      </c>
      <c r="U105" s="3" t="s">
        <v>49</v>
      </c>
      <c r="V105" s="3" t="s">
        <v>166</v>
      </c>
      <c r="W105" s="3" t="s">
        <v>40</v>
      </c>
      <c r="X105" s="3" t="s">
        <v>41</v>
      </c>
      <c r="Y105" s="3" t="s">
        <v>167</v>
      </c>
      <c r="Z105" s="3" t="s">
        <v>52</v>
      </c>
      <c r="AA105" s="3" t="s">
        <v>79</v>
      </c>
      <c r="AB105" s="3" t="s">
        <v>54</v>
      </c>
      <c r="AC105" s="3" t="s">
        <v>940</v>
      </c>
      <c r="AD105" s="14">
        <v>45413</v>
      </c>
      <c r="AE105" s="14">
        <v>45996</v>
      </c>
      <c r="AF105" s="3"/>
    </row>
    <row r="106" spans="1:32" ht="52.9" hidden="1">
      <c r="A106" s="3" t="s">
        <v>866</v>
      </c>
      <c r="B106" s="3" t="s">
        <v>867</v>
      </c>
      <c r="C106" s="3" t="s">
        <v>941</v>
      </c>
      <c r="D106" s="3" t="s">
        <v>35</v>
      </c>
      <c r="E106" s="3"/>
      <c r="F106" s="3" t="s">
        <v>221</v>
      </c>
      <c r="G106" s="3" t="s">
        <v>37</v>
      </c>
      <c r="H106" s="3" t="s">
        <v>49</v>
      </c>
      <c r="I106" s="3"/>
      <c r="J106" s="3" t="s">
        <v>223</v>
      </c>
      <c r="K106" s="3"/>
      <c r="L106" s="3"/>
      <c r="M106" s="3"/>
      <c r="N106" s="3" t="s">
        <v>79</v>
      </c>
      <c r="O106" s="3"/>
      <c r="P106" s="3" t="s">
        <v>942</v>
      </c>
      <c r="Q106" s="3" t="s">
        <v>943</v>
      </c>
      <c r="R106" s="3" t="s">
        <v>467</v>
      </c>
      <c r="S106" s="3" t="s">
        <v>221</v>
      </c>
      <c r="T106" s="3" t="s">
        <v>37</v>
      </c>
      <c r="U106" s="3" t="s">
        <v>49</v>
      </c>
      <c r="V106" s="3" t="s">
        <v>944</v>
      </c>
      <c r="W106" s="3" t="s">
        <v>223</v>
      </c>
      <c r="X106" s="3" t="s">
        <v>41</v>
      </c>
      <c r="Y106" s="3" t="s">
        <v>945</v>
      </c>
      <c r="Z106" s="3" t="s">
        <v>470</v>
      </c>
      <c r="AA106" s="3" t="s">
        <v>53</v>
      </c>
      <c r="AB106" s="3" t="s">
        <v>116</v>
      </c>
      <c r="AC106" s="3" t="s">
        <v>946</v>
      </c>
      <c r="AD106" s="14">
        <v>45293</v>
      </c>
      <c r="AE106" s="14">
        <v>45659</v>
      </c>
      <c r="AF106" s="3"/>
    </row>
    <row r="107" spans="1:32" ht="52.9" hidden="1">
      <c r="A107" s="3" t="s">
        <v>947</v>
      </c>
      <c r="B107" s="3" t="s">
        <v>948</v>
      </c>
      <c r="C107" s="3"/>
      <c r="D107" s="3" t="s">
        <v>35</v>
      </c>
      <c r="E107" s="3" t="s">
        <v>36</v>
      </c>
      <c r="F107" s="3" t="s">
        <v>247</v>
      </c>
      <c r="G107" s="3" t="s">
        <v>82</v>
      </c>
      <c r="H107" s="3" t="s">
        <v>49</v>
      </c>
      <c r="I107" s="3" t="s">
        <v>949</v>
      </c>
      <c r="J107" s="3" t="s">
        <v>223</v>
      </c>
      <c r="K107" s="3" t="s">
        <v>41</v>
      </c>
      <c r="L107" s="3" t="s">
        <v>950</v>
      </c>
      <c r="M107" s="3" t="s">
        <v>951</v>
      </c>
      <c r="N107" s="3" t="s">
        <v>79</v>
      </c>
      <c r="O107" s="3" t="s">
        <v>295</v>
      </c>
      <c r="P107" s="3" t="s">
        <v>952</v>
      </c>
      <c r="Q107" s="3" t="s">
        <v>953</v>
      </c>
      <c r="R107" s="3"/>
      <c r="S107" s="3" t="s">
        <v>221</v>
      </c>
      <c r="T107" s="3" t="s">
        <v>82</v>
      </c>
      <c r="U107" s="3" t="s">
        <v>49</v>
      </c>
      <c r="V107" s="3"/>
      <c r="W107" s="3" t="s">
        <v>223</v>
      </c>
      <c r="X107" s="3"/>
      <c r="Y107" s="3"/>
      <c r="Z107" s="3"/>
      <c r="AA107" s="3" t="s">
        <v>285</v>
      </c>
      <c r="AB107" s="3"/>
      <c r="AC107" s="3" t="s">
        <v>954</v>
      </c>
      <c r="AD107" s="14">
        <v>45295</v>
      </c>
      <c r="AE107" s="14"/>
      <c r="AF107" s="3"/>
    </row>
    <row r="108" spans="1:32" ht="52.9" hidden="1">
      <c r="A108" s="3" t="s">
        <v>955</v>
      </c>
      <c r="B108" s="3" t="s">
        <v>956</v>
      </c>
      <c r="C108" s="3"/>
      <c r="D108" s="3" t="s">
        <v>59</v>
      </c>
      <c r="E108" s="3" t="s">
        <v>36</v>
      </c>
      <c r="F108" s="3" t="s">
        <v>274</v>
      </c>
      <c r="G108" s="3" t="s">
        <v>82</v>
      </c>
      <c r="H108" s="3" t="s">
        <v>49</v>
      </c>
      <c r="I108" s="3" t="s">
        <v>957</v>
      </c>
      <c r="J108" s="3" t="s">
        <v>223</v>
      </c>
      <c r="K108" s="3" t="s">
        <v>41</v>
      </c>
      <c r="L108" s="3" t="s">
        <v>958</v>
      </c>
      <c r="M108" s="3" t="s">
        <v>731</v>
      </c>
      <c r="N108" s="3" t="s">
        <v>53</v>
      </c>
      <c r="O108" s="3" t="s">
        <v>658</v>
      </c>
      <c r="P108" s="3" t="s">
        <v>959</v>
      </c>
      <c r="Q108" s="3" t="s">
        <v>960</v>
      </c>
      <c r="R108" s="3"/>
      <c r="S108" s="3" t="s">
        <v>274</v>
      </c>
      <c r="T108" s="3" t="s">
        <v>82</v>
      </c>
      <c r="U108" s="3" t="s">
        <v>73</v>
      </c>
      <c r="V108" s="3"/>
      <c r="W108" s="3" t="s">
        <v>223</v>
      </c>
      <c r="X108" s="3"/>
      <c r="Y108" s="3"/>
      <c r="Z108" s="3"/>
      <c r="AA108" s="3" t="s">
        <v>281</v>
      </c>
      <c r="AB108" s="3"/>
      <c r="AC108" s="3" t="s">
        <v>961</v>
      </c>
      <c r="AD108" s="14">
        <v>45139</v>
      </c>
      <c r="AE108" s="14">
        <v>45535</v>
      </c>
      <c r="AF108" s="3"/>
    </row>
    <row r="109" spans="1:32" ht="39.6" hidden="1">
      <c r="A109" s="3" t="s">
        <v>962</v>
      </c>
      <c r="B109" s="3" t="s">
        <v>963</v>
      </c>
      <c r="C109" s="3"/>
      <c r="D109" s="3" t="s">
        <v>35</v>
      </c>
      <c r="E109" s="3" t="s">
        <v>36</v>
      </c>
      <c r="F109" s="3" t="s">
        <v>221</v>
      </c>
      <c r="G109" s="3" t="s">
        <v>37</v>
      </c>
      <c r="H109" s="3" t="s">
        <v>49</v>
      </c>
      <c r="I109" s="3" t="s">
        <v>964</v>
      </c>
      <c r="J109" s="3" t="s">
        <v>223</v>
      </c>
      <c r="K109" s="3" t="s">
        <v>41</v>
      </c>
      <c r="L109" s="3" t="s">
        <v>587</v>
      </c>
      <c r="M109" s="3" t="s">
        <v>965</v>
      </c>
      <c r="N109" s="3" t="s">
        <v>63</v>
      </c>
      <c r="O109" s="3" t="s">
        <v>116</v>
      </c>
      <c r="P109" s="3" t="s">
        <v>966</v>
      </c>
      <c r="Q109" s="3" t="s">
        <v>967</v>
      </c>
      <c r="R109" s="3" t="s">
        <v>36</v>
      </c>
      <c r="S109" s="3" t="s">
        <v>274</v>
      </c>
      <c r="T109" s="3" t="s">
        <v>37</v>
      </c>
      <c r="U109" s="3" t="s">
        <v>78</v>
      </c>
      <c r="V109" s="3" t="s">
        <v>968</v>
      </c>
      <c r="W109" s="3" t="s">
        <v>223</v>
      </c>
      <c r="X109" s="3" t="s">
        <v>41</v>
      </c>
      <c r="Y109" s="3" t="s">
        <v>969</v>
      </c>
      <c r="Z109" s="3" t="s">
        <v>684</v>
      </c>
      <c r="AA109" s="3" t="s">
        <v>123</v>
      </c>
      <c r="AB109" s="3" t="s">
        <v>54</v>
      </c>
      <c r="AC109" s="3" t="s">
        <v>970</v>
      </c>
      <c r="AD109" s="14">
        <v>45301</v>
      </c>
      <c r="AE109" s="14">
        <v>45667</v>
      </c>
      <c r="AF109" s="3"/>
    </row>
    <row r="110" spans="1:32" ht="52.9" hidden="1">
      <c r="A110" s="3" t="s">
        <v>971</v>
      </c>
      <c r="B110" s="3" t="s">
        <v>972</v>
      </c>
      <c r="C110" s="3" t="s">
        <v>973</v>
      </c>
      <c r="D110" s="3" t="s">
        <v>59</v>
      </c>
      <c r="E110" s="3"/>
      <c r="F110" s="3" t="s">
        <v>221</v>
      </c>
      <c r="G110" s="3" t="s">
        <v>82</v>
      </c>
      <c r="H110" s="3" t="s">
        <v>38</v>
      </c>
      <c r="I110" s="3"/>
      <c r="J110" s="3" t="s">
        <v>223</v>
      </c>
      <c r="K110" s="3"/>
      <c r="L110" s="3"/>
      <c r="M110" s="3"/>
      <c r="N110" s="3" t="s">
        <v>53</v>
      </c>
      <c r="O110" s="3"/>
      <c r="P110" s="3" t="s">
        <v>974</v>
      </c>
      <c r="Q110" s="3" t="s">
        <v>975</v>
      </c>
      <c r="R110" s="3" t="s">
        <v>36</v>
      </c>
      <c r="S110" s="3" t="s">
        <v>221</v>
      </c>
      <c r="T110" s="3" t="s">
        <v>37</v>
      </c>
      <c r="U110" s="3" t="s">
        <v>38</v>
      </c>
      <c r="V110" s="3" t="s">
        <v>586</v>
      </c>
      <c r="W110" s="3" t="s">
        <v>223</v>
      </c>
      <c r="X110" s="3" t="s">
        <v>41</v>
      </c>
      <c r="Y110" s="3" t="s">
        <v>587</v>
      </c>
      <c r="Z110" s="3" t="s">
        <v>588</v>
      </c>
      <c r="AA110" s="3" t="s">
        <v>123</v>
      </c>
      <c r="AB110" s="3" t="s">
        <v>100</v>
      </c>
      <c r="AC110" s="3" t="s">
        <v>976</v>
      </c>
      <c r="AD110" s="14">
        <v>45279</v>
      </c>
      <c r="AE110" s="14">
        <v>45291</v>
      </c>
      <c r="AF110" s="3"/>
    </row>
    <row r="111" spans="1:32" ht="52.9" hidden="1">
      <c r="A111" s="3" t="s">
        <v>977</v>
      </c>
      <c r="B111" s="3" t="s">
        <v>978</v>
      </c>
      <c r="C111" s="3" t="s">
        <v>686</v>
      </c>
      <c r="D111" s="3" t="s">
        <v>59</v>
      </c>
      <c r="E111" s="3"/>
      <c r="F111" s="3" t="s">
        <v>274</v>
      </c>
      <c r="G111" s="3" t="s">
        <v>82</v>
      </c>
      <c r="H111" s="3" t="s">
        <v>38</v>
      </c>
      <c r="I111" s="3"/>
      <c r="J111" s="3" t="s">
        <v>223</v>
      </c>
      <c r="K111" s="3"/>
      <c r="L111" s="3"/>
      <c r="M111" s="3"/>
      <c r="N111" s="3" t="s">
        <v>44</v>
      </c>
      <c r="O111" s="3"/>
      <c r="P111" s="3" t="s">
        <v>979</v>
      </c>
      <c r="Q111" s="3" t="s">
        <v>980</v>
      </c>
      <c r="R111" s="3" t="s">
        <v>36</v>
      </c>
      <c r="S111" s="3" t="s">
        <v>274</v>
      </c>
      <c r="T111" s="3" t="s">
        <v>82</v>
      </c>
      <c r="U111" s="3" t="s">
        <v>73</v>
      </c>
      <c r="V111" s="3" t="s">
        <v>981</v>
      </c>
      <c r="W111" s="3" t="s">
        <v>223</v>
      </c>
      <c r="X111" s="3" t="s">
        <v>41</v>
      </c>
      <c r="Y111" s="3" t="s">
        <v>982</v>
      </c>
      <c r="Z111" s="3" t="s">
        <v>692</v>
      </c>
      <c r="AA111" s="3" t="s">
        <v>63</v>
      </c>
      <c r="AB111" s="3" t="s">
        <v>658</v>
      </c>
      <c r="AC111" s="3" t="s">
        <v>983</v>
      </c>
      <c r="AD111" s="14">
        <v>45139</v>
      </c>
      <c r="AE111" s="14">
        <v>45535</v>
      </c>
      <c r="AF111" s="3"/>
    </row>
    <row r="112" spans="1:32" ht="382.9" hidden="1">
      <c r="A112" s="3" t="s">
        <v>984</v>
      </c>
      <c r="B112" s="3" t="s">
        <v>985</v>
      </c>
      <c r="C112" s="3" t="s">
        <v>986</v>
      </c>
      <c r="D112" s="3" t="s">
        <v>59</v>
      </c>
      <c r="E112" s="3" t="s">
        <v>36</v>
      </c>
      <c r="F112" s="3" t="s">
        <v>274</v>
      </c>
      <c r="G112" s="3" t="s">
        <v>82</v>
      </c>
      <c r="H112" s="3" t="s">
        <v>78</v>
      </c>
      <c r="I112" s="3" t="s">
        <v>335</v>
      </c>
      <c r="J112" s="3" t="s">
        <v>223</v>
      </c>
      <c r="K112" s="3" t="s">
        <v>41</v>
      </c>
      <c r="L112" s="3" t="s">
        <v>336</v>
      </c>
      <c r="M112" s="3" t="s">
        <v>987</v>
      </c>
      <c r="N112" s="3" t="s">
        <v>123</v>
      </c>
      <c r="O112" s="3" t="s">
        <v>270</v>
      </c>
      <c r="P112" s="3" t="s">
        <v>988</v>
      </c>
      <c r="Q112" s="3" t="s">
        <v>989</v>
      </c>
      <c r="R112" s="3" t="s">
        <v>36</v>
      </c>
      <c r="S112" s="3" t="s">
        <v>221</v>
      </c>
      <c r="T112" s="3" t="s">
        <v>82</v>
      </c>
      <c r="U112" s="3" t="s">
        <v>49</v>
      </c>
      <c r="V112" s="3" t="s">
        <v>990</v>
      </c>
      <c r="W112" s="3" t="s">
        <v>223</v>
      </c>
      <c r="X112" s="3" t="s">
        <v>41</v>
      </c>
      <c r="Y112" s="3" t="s">
        <v>230</v>
      </c>
      <c r="Z112" s="3" t="s">
        <v>231</v>
      </c>
      <c r="AA112" s="3" t="s">
        <v>63</v>
      </c>
      <c r="AB112" s="3" t="s">
        <v>100</v>
      </c>
      <c r="AC112" s="3" t="s">
        <v>991</v>
      </c>
      <c r="AD112" s="14">
        <v>45301</v>
      </c>
      <c r="AE112" s="14">
        <v>47848</v>
      </c>
      <c r="AF112" s="3"/>
    </row>
    <row r="113" spans="1:32" ht="92.45" hidden="1">
      <c r="A113" s="3" t="s">
        <v>992</v>
      </c>
      <c r="B113" s="3" t="s">
        <v>993</v>
      </c>
      <c r="C113" s="3"/>
      <c r="D113" s="3" t="s">
        <v>348</v>
      </c>
      <c r="E113" s="3" t="s">
        <v>36</v>
      </c>
      <c r="F113" s="3" t="s">
        <v>221</v>
      </c>
      <c r="G113" s="3" t="s">
        <v>82</v>
      </c>
      <c r="H113" s="3" t="s">
        <v>38</v>
      </c>
      <c r="I113" s="3" t="s">
        <v>994</v>
      </c>
      <c r="J113" s="3" t="s">
        <v>223</v>
      </c>
      <c r="K113" s="3" t="s">
        <v>41</v>
      </c>
      <c r="L113" s="3" t="s">
        <v>995</v>
      </c>
      <c r="M113" s="3" t="s">
        <v>996</v>
      </c>
      <c r="N113" s="3" t="s">
        <v>79</v>
      </c>
      <c r="O113" s="3" t="s">
        <v>308</v>
      </c>
      <c r="P113" s="3" t="s">
        <v>997</v>
      </c>
      <c r="Q113" s="3" t="s">
        <v>998</v>
      </c>
      <c r="R113" s="3" t="s">
        <v>36</v>
      </c>
      <c r="S113" s="3" t="s">
        <v>221</v>
      </c>
      <c r="T113" s="3" t="s">
        <v>82</v>
      </c>
      <c r="U113" s="3" t="s">
        <v>38</v>
      </c>
      <c r="V113" s="3" t="s">
        <v>999</v>
      </c>
      <c r="W113" s="3" t="s">
        <v>223</v>
      </c>
      <c r="X113" s="3" t="s">
        <v>41</v>
      </c>
      <c r="Y113" s="3" t="s">
        <v>995</v>
      </c>
      <c r="Z113" s="3" t="s">
        <v>1000</v>
      </c>
      <c r="AA113" s="3" t="s">
        <v>53</v>
      </c>
      <c r="AB113" s="3" t="s">
        <v>308</v>
      </c>
      <c r="AC113" s="3" t="s">
        <v>1001</v>
      </c>
      <c r="AD113" s="14">
        <v>44594</v>
      </c>
      <c r="AE113" s="14">
        <v>45427</v>
      </c>
      <c r="AF113" s="3" t="s">
        <v>632</v>
      </c>
    </row>
    <row r="114" spans="1:32" ht="52.9" hidden="1">
      <c r="A114" s="3" t="s">
        <v>1002</v>
      </c>
      <c r="B114" s="3" t="s">
        <v>1003</v>
      </c>
      <c r="C114" s="3" t="s">
        <v>1004</v>
      </c>
      <c r="D114" s="3" t="s">
        <v>35</v>
      </c>
      <c r="E114" s="3" t="s">
        <v>36</v>
      </c>
      <c r="F114" s="3" t="s">
        <v>221</v>
      </c>
      <c r="G114" s="3" t="s">
        <v>37</v>
      </c>
      <c r="H114" s="3" t="s">
        <v>49</v>
      </c>
      <c r="I114" s="3" t="s">
        <v>1005</v>
      </c>
      <c r="J114" s="3" t="s">
        <v>223</v>
      </c>
      <c r="K114" s="3" t="s">
        <v>356</v>
      </c>
      <c r="L114" s="3" t="s">
        <v>1006</v>
      </c>
      <c r="M114" s="3" t="s">
        <v>1007</v>
      </c>
      <c r="N114" s="3" t="s">
        <v>53</v>
      </c>
      <c r="O114" s="3" t="s">
        <v>240</v>
      </c>
      <c r="P114" s="3" t="s">
        <v>1008</v>
      </c>
      <c r="Q114" s="3" t="s">
        <v>1009</v>
      </c>
      <c r="R114" s="3" t="s">
        <v>36</v>
      </c>
      <c r="S114" s="3" t="s">
        <v>221</v>
      </c>
      <c r="T114" s="3" t="s">
        <v>37</v>
      </c>
      <c r="U114" s="3" t="s">
        <v>73</v>
      </c>
      <c r="V114" s="3" t="s">
        <v>1010</v>
      </c>
      <c r="W114" s="3" t="s">
        <v>223</v>
      </c>
      <c r="X114" s="3" t="s">
        <v>41</v>
      </c>
      <c r="Y114" s="3" t="s">
        <v>1011</v>
      </c>
      <c r="Z114" s="3" t="s">
        <v>1012</v>
      </c>
      <c r="AA114" s="3" t="s">
        <v>63</v>
      </c>
      <c r="AB114" s="3" t="s">
        <v>86</v>
      </c>
      <c r="AC114" s="3" t="s">
        <v>1013</v>
      </c>
      <c r="AD114" s="14">
        <v>45302</v>
      </c>
      <c r="AE114" s="14"/>
      <c r="AF114" s="3"/>
    </row>
    <row r="115" spans="1:32" ht="52.9" hidden="1">
      <c r="A115" s="3" t="s">
        <v>524</v>
      </c>
      <c r="B115" s="3" t="s">
        <v>525</v>
      </c>
      <c r="C115" s="3"/>
      <c r="D115" s="3" t="s">
        <v>59</v>
      </c>
      <c r="E115" s="3" t="s">
        <v>36</v>
      </c>
      <c r="F115" s="3" t="s">
        <v>526</v>
      </c>
      <c r="G115" s="3" t="s">
        <v>37</v>
      </c>
      <c r="H115" s="3" t="s">
        <v>78</v>
      </c>
      <c r="I115" s="3" t="s">
        <v>527</v>
      </c>
      <c r="J115" s="3" t="s">
        <v>528</v>
      </c>
      <c r="K115" s="3" t="s">
        <v>41</v>
      </c>
      <c r="L115" s="3" t="s">
        <v>529</v>
      </c>
      <c r="M115" s="3" t="s">
        <v>530</v>
      </c>
      <c r="N115" s="3" t="s">
        <v>53</v>
      </c>
      <c r="O115" s="3" t="s">
        <v>278</v>
      </c>
      <c r="P115" s="3" t="s">
        <v>1014</v>
      </c>
      <c r="Q115" s="3" t="s">
        <v>1015</v>
      </c>
      <c r="R115" s="3" t="s">
        <v>36</v>
      </c>
      <c r="S115" s="3" t="s">
        <v>526</v>
      </c>
      <c r="T115" s="3" t="s">
        <v>37</v>
      </c>
      <c r="U115" s="3" t="s">
        <v>73</v>
      </c>
      <c r="V115" s="3" t="s">
        <v>1016</v>
      </c>
      <c r="W115" s="3" t="s">
        <v>528</v>
      </c>
      <c r="X115" s="3" t="s">
        <v>41</v>
      </c>
      <c r="Y115" s="3" t="s">
        <v>1017</v>
      </c>
      <c r="Z115" s="3" t="s">
        <v>1018</v>
      </c>
      <c r="AA115" s="3" t="s">
        <v>281</v>
      </c>
      <c r="AB115" s="3" t="s">
        <v>54</v>
      </c>
      <c r="AC115" s="3" t="s">
        <v>1019</v>
      </c>
      <c r="AD115" s="14">
        <v>45307</v>
      </c>
      <c r="AE115" s="14">
        <v>47818</v>
      </c>
      <c r="AF115" s="3"/>
    </row>
    <row r="116" spans="1:32" ht="39.6" hidden="1">
      <c r="A116" s="3" t="s">
        <v>1020</v>
      </c>
      <c r="B116" s="3" t="s">
        <v>1021</v>
      </c>
      <c r="C116" s="3"/>
      <c r="D116" s="3" t="s">
        <v>593</v>
      </c>
      <c r="E116" s="3" t="s">
        <v>36</v>
      </c>
      <c r="F116" s="3" t="s">
        <v>221</v>
      </c>
      <c r="G116" s="3" t="s">
        <v>37</v>
      </c>
      <c r="H116" s="3" t="s">
        <v>38</v>
      </c>
      <c r="I116" s="3" t="s">
        <v>1022</v>
      </c>
      <c r="J116" s="3" t="s">
        <v>223</v>
      </c>
      <c r="K116" s="3" t="s">
        <v>41</v>
      </c>
      <c r="L116" s="3" t="s">
        <v>1023</v>
      </c>
      <c r="M116" s="3" t="s">
        <v>1024</v>
      </c>
      <c r="N116" s="3" t="s">
        <v>53</v>
      </c>
      <c r="O116" s="3" t="s">
        <v>811</v>
      </c>
      <c r="P116" s="3" t="s">
        <v>1025</v>
      </c>
      <c r="Q116" s="3" t="s">
        <v>1026</v>
      </c>
      <c r="R116" s="3" t="s">
        <v>36</v>
      </c>
      <c r="S116" s="3" t="s">
        <v>221</v>
      </c>
      <c r="T116" s="3" t="s">
        <v>82</v>
      </c>
      <c r="U116" s="3" t="s">
        <v>78</v>
      </c>
      <c r="V116" s="3" t="s">
        <v>1027</v>
      </c>
      <c r="W116" s="3" t="s">
        <v>223</v>
      </c>
      <c r="X116" s="3" t="s">
        <v>41</v>
      </c>
      <c r="Y116" s="3" t="s">
        <v>1028</v>
      </c>
      <c r="Z116" s="3" t="s">
        <v>1029</v>
      </c>
      <c r="AA116" s="3" t="s">
        <v>123</v>
      </c>
      <c r="AB116" s="3" t="s">
        <v>54</v>
      </c>
      <c r="AC116" s="3" t="s">
        <v>1030</v>
      </c>
      <c r="AD116" s="14">
        <v>45308</v>
      </c>
      <c r="AE116" s="14">
        <v>45473</v>
      </c>
      <c r="AF116" s="3"/>
    </row>
    <row r="117" spans="1:32" ht="316.89999999999998" hidden="1">
      <c r="A117" s="3" t="s">
        <v>501</v>
      </c>
      <c r="B117" s="3" t="s">
        <v>502</v>
      </c>
      <c r="C117" s="3" t="s">
        <v>1031</v>
      </c>
      <c r="D117" s="3" t="s">
        <v>59</v>
      </c>
      <c r="E117" s="3" t="s">
        <v>36</v>
      </c>
      <c r="F117" s="3" t="s">
        <v>274</v>
      </c>
      <c r="G117" s="3" t="s">
        <v>37</v>
      </c>
      <c r="H117" s="3" t="s">
        <v>78</v>
      </c>
      <c r="I117" s="3" t="s">
        <v>503</v>
      </c>
      <c r="J117" s="3" t="s">
        <v>223</v>
      </c>
      <c r="K117" s="3" t="s">
        <v>41</v>
      </c>
      <c r="L117" s="3" t="s">
        <v>504</v>
      </c>
      <c r="M117" s="3" t="s">
        <v>505</v>
      </c>
      <c r="N117" s="3" t="s">
        <v>53</v>
      </c>
      <c r="O117" s="3" t="s">
        <v>506</v>
      </c>
      <c r="P117" s="3" t="s">
        <v>1032</v>
      </c>
      <c r="Q117" s="3" t="s">
        <v>1033</v>
      </c>
      <c r="R117" s="3"/>
      <c r="S117" s="3" t="s">
        <v>221</v>
      </c>
      <c r="T117" s="3" t="s">
        <v>37</v>
      </c>
      <c r="U117" s="3" t="s">
        <v>73</v>
      </c>
      <c r="V117" s="3"/>
      <c r="W117" s="3" t="s">
        <v>223</v>
      </c>
      <c r="X117" s="3"/>
      <c r="Y117" s="3"/>
      <c r="Z117" s="3"/>
      <c r="AA117" s="3" t="s">
        <v>69</v>
      </c>
      <c r="AB117" s="3"/>
      <c r="AC117" s="3" t="s">
        <v>1034</v>
      </c>
      <c r="AD117" s="14">
        <v>45309</v>
      </c>
      <c r="AE117" s="14">
        <v>45644</v>
      </c>
      <c r="AF117" s="3"/>
    </row>
    <row r="118" spans="1:32" ht="92.45" hidden="1">
      <c r="A118" s="3" t="s">
        <v>537</v>
      </c>
      <c r="B118" s="3" t="s">
        <v>538</v>
      </c>
      <c r="C118" s="3" t="s">
        <v>1035</v>
      </c>
      <c r="D118" s="3" t="s">
        <v>35</v>
      </c>
      <c r="E118" s="3" t="s">
        <v>36</v>
      </c>
      <c r="F118" s="3" t="s">
        <v>526</v>
      </c>
      <c r="G118" s="3" t="s">
        <v>37</v>
      </c>
      <c r="H118" s="3" t="s">
        <v>78</v>
      </c>
      <c r="I118" s="3" t="s">
        <v>540</v>
      </c>
      <c r="J118" s="3" t="s">
        <v>528</v>
      </c>
      <c r="K118" s="3" t="s">
        <v>41</v>
      </c>
      <c r="L118" s="3" t="s">
        <v>541</v>
      </c>
      <c r="M118" s="3" t="s">
        <v>542</v>
      </c>
      <c r="N118" s="3" t="s">
        <v>79</v>
      </c>
      <c r="O118" s="3" t="s">
        <v>543</v>
      </c>
      <c r="P118" s="3" t="s">
        <v>1036</v>
      </c>
      <c r="Q118" s="3" t="s">
        <v>1037</v>
      </c>
      <c r="R118" s="3" t="s">
        <v>36</v>
      </c>
      <c r="S118" s="3" t="s">
        <v>526</v>
      </c>
      <c r="T118" s="3" t="s">
        <v>37</v>
      </c>
      <c r="U118" s="3" t="s">
        <v>49</v>
      </c>
      <c r="V118" s="3" t="s">
        <v>1038</v>
      </c>
      <c r="W118" s="3" t="s">
        <v>528</v>
      </c>
      <c r="X118" s="3" t="s">
        <v>41</v>
      </c>
      <c r="Y118" s="3" t="s">
        <v>569</v>
      </c>
      <c r="Z118" s="3" t="s">
        <v>1039</v>
      </c>
      <c r="AA118" s="3" t="s">
        <v>63</v>
      </c>
      <c r="AB118" s="3" t="s">
        <v>543</v>
      </c>
      <c r="AC118" s="3" t="s">
        <v>1040</v>
      </c>
      <c r="AD118" s="14">
        <v>45352</v>
      </c>
      <c r="AE118" s="14"/>
      <c r="AF118" s="3"/>
    </row>
    <row r="119" spans="1:32" ht="39.6" hidden="1">
      <c r="A119" s="3" t="s">
        <v>428</v>
      </c>
      <c r="B119" s="3" t="s">
        <v>429</v>
      </c>
      <c r="C119" s="3"/>
      <c r="D119" s="3" t="s">
        <v>35</v>
      </c>
      <c r="E119" s="3" t="s">
        <v>36</v>
      </c>
      <c r="F119" s="3" t="s">
        <v>221</v>
      </c>
      <c r="G119" s="3" t="s">
        <v>82</v>
      </c>
      <c r="H119" s="3" t="s">
        <v>38</v>
      </c>
      <c r="I119" s="3" t="s">
        <v>430</v>
      </c>
      <c r="J119" s="3" t="s">
        <v>223</v>
      </c>
      <c r="K119" s="3" t="s">
        <v>356</v>
      </c>
      <c r="L119" s="3" t="s">
        <v>431</v>
      </c>
      <c r="M119" s="3" t="s">
        <v>432</v>
      </c>
      <c r="N119" s="3" t="s">
        <v>53</v>
      </c>
      <c r="O119" s="3" t="s">
        <v>270</v>
      </c>
      <c r="P119" s="3" t="s">
        <v>1041</v>
      </c>
      <c r="Q119" s="3" t="s">
        <v>1042</v>
      </c>
      <c r="R119" s="3" t="s">
        <v>36</v>
      </c>
      <c r="S119" s="3" t="s">
        <v>221</v>
      </c>
      <c r="T119" s="3" t="s">
        <v>82</v>
      </c>
      <c r="U119" s="3" t="s">
        <v>38</v>
      </c>
      <c r="V119" s="3" t="s">
        <v>1043</v>
      </c>
      <c r="W119" s="3" t="s">
        <v>223</v>
      </c>
      <c r="X119" s="3" t="s">
        <v>41</v>
      </c>
      <c r="Y119" s="3" t="s">
        <v>1044</v>
      </c>
      <c r="Z119" s="3" t="s">
        <v>1029</v>
      </c>
      <c r="AA119" s="3" t="s">
        <v>63</v>
      </c>
      <c r="AB119" s="3" t="s">
        <v>54</v>
      </c>
      <c r="AC119" s="3" t="s">
        <v>1045</v>
      </c>
      <c r="AD119" s="14">
        <v>45323</v>
      </c>
      <c r="AE119" s="14"/>
      <c r="AF119" s="3"/>
    </row>
    <row r="120" spans="1:32" ht="39.6" hidden="1">
      <c r="A120" s="3" t="s">
        <v>1046</v>
      </c>
      <c r="B120" s="3" t="s">
        <v>1047</v>
      </c>
      <c r="C120" s="3"/>
      <c r="D120" s="3" t="s">
        <v>35</v>
      </c>
      <c r="E120" s="3" t="s">
        <v>36</v>
      </c>
      <c r="F120" s="3" t="s">
        <v>221</v>
      </c>
      <c r="G120" s="3" t="s">
        <v>37</v>
      </c>
      <c r="H120" s="3" t="s">
        <v>38</v>
      </c>
      <c r="I120" s="3" t="s">
        <v>1048</v>
      </c>
      <c r="J120" s="3" t="s">
        <v>223</v>
      </c>
      <c r="K120" s="3" t="s">
        <v>41</v>
      </c>
      <c r="L120" s="3" t="s">
        <v>1049</v>
      </c>
      <c r="M120" s="3" t="s">
        <v>200</v>
      </c>
      <c r="N120" s="3" t="s">
        <v>44</v>
      </c>
      <c r="O120" s="3" t="s">
        <v>201</v>
      </c>
      <c r="P120" s="3" t="s">
        <v>1050</v>
      </c>
      <c r="Q120" s="3" t="s">
        <v>1051</v>
      </c>
      <c r="R120" s="3" t="s">
        <v>467</v>
      </c>
      <c r="S120" s="3" t="s">
        <v>221</v>
      </c>
      <c r="T120" s="3" t="s">
        <v>37</v>
      </c>
      <c r="U120" s="3" t="s">
        <v>49</v>
      </c>
      <c r="V120" s="3" t="s">
        <v>1052</v>
      </c>
      <c r="W120" s="3" t="s">
        <v>223</v>
      </c>
      <c r="X120" s="3" t="s">
        <v>41</v>
      </c>
      <c r="Y120" s="3" t="s">
        <v>1053</v>
      </c>
      <c r="Z120" s="3" t="s">
        <v>470</v>
      </c>
      <c r="AA120" s="3" t="s">
        <v>79</v>
      </c>
      <c r="AB120" s="3" t="s">
        <v>116</v>
      </c>
      <c r="AC120" s="3" t="s">
        <v>1054</v>
      </c>
      <c r="AD120" s="14">
        <v>45292</v>
      </c>
      <c r="AE120" s="14">
        <v>45657</v>
      </c>
      <c r="AF120" s="3"/>
    </row>
    <row r="121" spans="1:32" ht="39.6" hidden="1">
      <c r="A121" s="3" t="s">
        <v>844</v>
      </c>
      <c r="B121" s="3" t="s">
        <v>845</v>
      </c>
      <c r="C121" s="3" t="s">
        <v>1055</v>
      </c>
      <c r="D121" s="3" t="s">
        <v>59</v>
      </c>
      <c r="E121" s="3" t="s">
        <v>36</v>
      </c>
      <c r="F121" s="3" t="s">
        <v>221</v>
      </c>
      <c r="G121" s="3" t="s">
        <v>37</v>
      </c>
      <c r="H121" s="3" t="s">
        <v>38</v>
      </c>
      <c r="I121" s="3" t="s">
        <v>520</v>
      </c>
      <c r="J121" s="3" t="s">
        <v>223</v>
      </c>
      <c r="K121" s="3" t="s">
        <v>41</v>
      </c>
      <c r="L121" s="3" t="s">
        <v>846</v>
      </c>
      <c r="M121" s="3" t="s">
        <v>320</v>
      </c>
      <c r="N121" s="3" t="s">
        <v>44</v>
      </c>
      <c r="O121" s="3" t="s">
        <v>100</v>
      </c>
      <c r="P121" s="3" t="s">
        <v>1056</v>
      </c>
      <c r="Q121" s="3" t="s">
        <v>1057</v>
      </c>
      <c r="R121" s="3" t="s">
        <v>467</v>
      </c>
      <c r="S121" s="3" t="s">
        <v>221</v>
      </c>
      <c r="T121" s="3" t="s">
        <v>82</v>
      </c>
      <c r="U121" s="3" t="s">
        <v>49</v>
      </c>
      <c r="V121" s="3" t="s">
        <v>1058</v>
      </c>
      <c r="W121" s="3" t="s">
        <v>223</v>
      </c>
      <c r="X121" s="3" t="s">
        <v>41</v>
      </c>
      <c r="Y121" s="3" t="s">
        <v>1059</v>
      </c>
      <c r="Z121" s="3" t="s">
        <v>1060</v>
      </c>
      <c r="AA121" s="3" t="s">
        <v>63</v>
      </c>
      <c r="AB121" s="3" t="s">
        <v>64</v>
      </c>
      <c r="AC121" s="3" t="s">
        <v>1061</v>
      </c>
      <c r="AD121" s="14">
        <v>45303</v>
      </c>
      <c r="AE121" s="14">
        <v>45657</v>
      </c>
      <c r="AF121" s="3"/>
    </row>
    <row r="122" spans="1:32" ht="39.6" hidden="1">
      <c r="A122" s="3" t="s">
        <v>1020</v>
      </c>
      <c r="B122" s="3" t="s">
        <v>1021</v>
      </c>
      <c r="C122" s="3" t="s">
        <v>1062</v>
      </c>
      <c r="D122" s="3" t="s">
        <v>59</v>
      </c>
      <c r="E122" s="3" t="s">
        <v>36</v>
      </c>
      <c r="F122" s="3" t="s">
        <v>221</v>
      </c>
      <c r="G122" s="3" t="s">
        <v>37</v>
      </c>
      <c r="H122" s="3" t="s">
        <v>38</v>
      </c>
      <c r="I122" s="3" t="s">
        <v>1022</v>
      </c>
      <c r="J122" s="3" t="s">
        <v>223</v>
      </c>
      <c r="K122" s="3" t="s">
        <v>41</v>
      </c>
      <c r="L122" s="3" t="s">
        <v>1023</v>
      </c>
      <c r="M122" s="3" t="s">
        <v>1024</v>
      </c>
      <c r="N122" s="3" t="s">
        <v>53</v>
      </c>
      <c r="O122" s="3" t="s">
        <v>811</v>
      </c>
      <c r="P122" s="3" t="s">
        <v>1063</v>
      </c>
      <c r="Q122" s="3" t="s">
        <v>1064</v>
      </c>
      <c r="R122" s="3" t="s">
        <v>467</v>
      </c>
      <c r="S122" s="3" t="s">
        <v>221</v>
      </c>
      <c r="T122" s="3" t="s">
        <v>37</v>
      </c>
      <c r="U122" s="3" t="s">
        <v>49</v>
      </c>
      <c r="V122" s="3" t="s">
        <v>1065</v>
      </c>
      <c r="W122" s="3" t="s">
        <v>223</v>
      </c>
      <c r="X122" s="3" t="s">
        <v>41</v>
      </c>
      <c r="Y122" s="3" t="s">
        <v>1028</v>
      </c>
      <c r="Z122" s="3" t="s">
        <v>470</v>
      </c>
      <c r="AA122" s="3" t="s">
        <v>285</v>
      </c>
      <c r="AB122" s="3" t="s">
        <v>116</v>
      </c>
      <c r="AC122" s="3" t="s">
        <v>1066</v>
      </c>
      <c r="AD122" s="14">
        <v>45306</v>
      </c>
      <c r="AE122" s="14">
        <v>45473</v>
      </c>
      <c r="AF122" s="3"/>
    </row>
    <row r="123" spans="1:32" ht="39.6" hidden="1">
      <c r="A123" s="3" t="s">
        <v>1020</v>
      </c>
      <c r="B123" s="3" t="s">
        <v>1021</v>
      </c>
      <c r="C123" s="3" t="s">
        <v>1067</v>
      </c>
      <c r="D123" s="3" t="s">
        <v>35</v>
      </c>
      <c r="E123" s="3" t="s">
        <v>36</v>
      </c>
      <c r="F123" s="3" t="s">
        <v>221</v>
      </c>
      <c r="G123" s="3" t="s">
        <v>37</v>
      </c>
      <c r="H123" s="3" t="s">
        <v>38</v>
      </c>
      <c r="I123" s="3" t="s">
        <v>1022</v>
      </c>
      <c r="J123" s="3" t="s">
        <v>223</v>
      </c>
      <c r="K123" s="3" t="s">
        <v>41</v>
      </c>
      <c r="L123" s="3" t="s">
        <v>1023</v>
      </c>
      <c r="M123" s="3" t="s">
        <v>1024</v>
      </c>
      <c r="N123" s="3" t="s">
        <v>53</v>
      </c>
      <c r="O123" s="3" t="s">
        <v>811</v>
      </c>
      <c r="P123" s="3" t="s">
        <v>1068</v>
      </c>
      <c r="Q123" s="3" t="s">
        <v>1069</v>
      </c>
      <c r="R123" s="3" t="s">
        <v>36</v>
      </c>
      <c r="S123" s="3" t="s">
        <v>221</v>
      </c>
      <c r="T123" s="3" t="s">
        <v>37</v>
      </c>
      <c r="U123" s="3" t="s">
        <v>49</v>
      </c>
      <c r="V123" s="3" t="s">
        <v>520</v>
      </c>
      <c r="W123" s="3" t="s">
        <v>223</v>
      </c>
      <c r="X123" s="3" t="s">
        <v>41</v>
      </c>
      <c r="Y123" s="3" t="s">
        <v>1070</v>
      </c>
      <c r="Z123" s="3" t="s">
        <v>320</v>
      </c>
      <c r="AA123" s="3" t="s">
        <v>53</v>
      </c>
      <c r="AB123" s="3" t="s">
        <v>100</v>
      </c>
      <c r="AC123" s="3" t="s">
        <v>1071</v>
      </c>
      <c r="AD123" s="14">
        <v>45313</v>
      </c>
      <c r="AE123" s="14">
        <v>45473</v>
      </c>
      <c r="AF123" s="3"/>
    </row>
    <row r="124" spans="1:32" ht="39.6" hidden="1">
      <c r="A124" s="3" t="s">
        <v>962</v>
      </c>
      <c r="B124" s="3" t="s">
        <v>963</v>
      </c>
      <c r="C124" s="3"/>
      <c r="D124" s="3" t="s">
        <v>59</v>
      </c>
      <c r="E124" s="3" t="s">
        <v>36</v>
      </c>
      <c r="F124" s="3" t="s">
        <v>221</v>
      </c>
      <c r="G124" s="3" t="s">
        <v>37</v>
      </c>
      <c r="H124" s="3" t="s">
        <v>49</v>
      </c>
      <c r="I124" s="3" t="s">
        <v>964</v>
      </c>
      <c r="J124" s="3" t="s">
        <v>223</v>
      </c>
      <c r="K124" s="3" t="s">
        <v>41</v>
      </c>
      <c r="L124" s="3" t="s">
        <v>587</v>
      </c>
      <c r="M124" s="3" t="s">
        <v>965</v>
      </c>
      <c r="N124" s="3" t="s">
        <v>63</v>
      </c>
      <c r="O124" s="3" t="s">
        <v>116</v>
      </c>
      <c r="P124" s="3" t="s">
        <v>1072</v>
      </c>
      <c r="Q124" s="3" t="s">
        <v>1073</v>
      </c>
      <c r="R124" s="3" t="s">
        <v>467</v>
      </c>
      <c r="S124" s="3" t="s">
        <v>221</v>
      </c>
      <c r="T124" s="3" t="s">
        <v>37</v>
      </c>
      <c r="U124" s="3" t="s">
        <v>38</v>
      </c>
      <c r="V124" s="3" t="s">
        <v>1074</v>
      </c>
      <c r="W124" s="3" t="s">
        <v>223</v>
      </c>
      <c r="X124" s="3" t="s">
        <v>41</v>
      </c>
      <c r="Y124" s="3" t="s">
        <v>969</v>
      </c>
      <c r="Z124" s="3" t="s">
        <v>470</v>
      </c>
      <c r="AA124" s="3" t="s">
        <v>44</v>
      </c>
      <c r="AB124" s="3" t="s">
        <v>116</v>
      </c>
      <c r="AC124" s="3" t="s">
        <v>1075</v>
      </c>
      <c r="AD124" s="14">
        <v>45301</v>
      </c>
      <c r="AE124" s="14">
        <v>45658</v>
      </c>
      <c r="AF124" s="3"/>
    </row>
    <row r="125" spans="1:32" ht="39.6" hidden="1">
      <c r="A125" s="3" t="s">
        <v>1020</v>
      </c>
      <c r="B125" s="3" t="s">
        <v>1021</v>
      </c>
      <c r="C125" s="3" t="s">
        <v>1076</v>
      </c>
      <c r="D125" s="3" t="s">
        <v>35</v>
      </c>
      <c r="E125" s="3" t="s">
        <v>36</v>
      </c>
      <c r="F125" s="3" t="s">
        <v>221</v>
      </c>
      <c r="G125" s="3" t="s">
        <v>37</v>
      </c>
      <c r="H125" s="3" t="s">
        <v>38</v>
      </c>
      <c r="I125" s="3" t="s">
        <v>1022</v>
      </c>
      <c r="J125" s="3" t="s">
        <v>223</v>
      </c>
      <c r="K125" s="3" t="s">
        <v>41</v>
      </c>
      <c r="L125" s="3" t="s">
        <v>1023</v>
      </c>
      <c r="M125" s="3" t="s">
        <v>1024</v>
      </c>
      <c r="N125" s="3" t="s">
        <v>53</v>
      </c>
      <c r="O125" s="3" t="s">
        <v>811</v>
      </c>
      <c r="P125" s="3" t="s">
        <v>1077</v>
      </c>
      <c r="Q125" s="3" t="s">
        <v>1078</v>
      </c>
      <c r="R125" s="3" t="s">
        <v>467</v>
      </c>
      <c r="S125" s="3" t="s">
        <v>221</v>
      </c>
      <c r="T125" s="3" t="s">
        <v>37</v>
      </c>
      <c r="U125" s="3" t="s">
        <v>49</v>
      </c>
      <c r="V125" s="3" t="s">
        <v>1065</v>
      </c>
      <c r="W125" s="3" t="s">
        <v>223</v>
      </c>
      <c r="X125" s="3" t="s">
        <v>41</v>
      </c>
      <c r="Y125" s="3" t="s">
        <v>1028</v>
      </c>
      <c r="Z125" s="3" t="s">
        <v>470</v>
      </c>
      <c r="AA125" s="3" t="s">
        <v>285</v>
      </c>
      <c r="AB125" s="3" t="s">
        <v>116</v>
      </c>
      <c r="AC125" s="3" t="s">
        <v>1079</v>
      </c>
      <c r="AD125" s="14">
        <v>45308</v>
      </c>
      <c r="AE125" s="14">
        <v>45473</v>
      </c>
      <c r="AF125" s="3"/>
    </row>
    <row r="126" spans="1:32" ht="132" hidden="1">
      <c r="A126" s="3" t="s">
        <v>1080</v>
      </c>
      <c r="B126" s="3" t="s">
        <v>1081</v>
      </c>
      <c r="C126" s="3" t="s">
        <v>1082</v>
      </c>
      <c r="D126" s="3" t="s">
        <v>59</v>
      </c>
      <c r="E126" s="3" t="s">
        <v>36</v>
      </c>
      <c r="F126" s="3" t="s">
        <v>221</v>
      </c>
      <c r="G126" s="3" t="s">
        <v>82</v>
      </c>
      <c r="H126" s="3" t="s">
        <v>49</v>
      </c>
      <c r="I126" s="3" t="s">
        <v>1083</v>
      </c>
      <c r="J126" s="3" t="s">
        <v>223</v>
      </c>
      <c r="K126" s="3" t="s">
        <v>41</v>
      </c>
      <c r="L126" s="3" t="s">
        <v>1084</v>
      </c>
      <c r="M126" s="3" t="s">
        <v>1085</v>
      </c>
      <c r="N126" s="3" t="s">
        <v>79</v>
      </c>
      <c r="O126" s="3" t="s">
        <v>658</v>
      </c>
      <c r="P126" s="3" t="s">
        <v>1086</v>
      </c>
      <c r="Q126" s="3" t="s">
        <v>1087</v>
      </c>
      <c r="R126" s="3" t="s">
        <v>467</v>
      </c>
      <c r="S126" s="3" t="s">
        <v>221</v>
      </c>
      <c r="T126" s="3" t="s">
        <v>82</v>
      </c>
      <c r="U126" s="3" t="s">
        <v>49</v>
      </c>
      <c r="V126" s="3" t="s">
        <v>1088</v>
      </c>
      <c r="W126" s="3" t="s">
        <v>223</v>
      </c>
      <c r="X126" s="3" t="s">
        <v>41</v>
      </c>
      <c r="Y126" s="3" t="s">
        <v>1089</v>
      </c>
      <c r="Z126" s="3" t="s">
        <v>1090</v>
      </c>
      <c r="AA126" s="3" t="s">
        <v>63</v>
      </c>
      <c r="AB126" s="3" t="s">
        <v>64</v>
      </c>
      <c r="AC126" s="3" t="s">
        <v>1091</v>
      </c>
      <c r="AD126" s="14">
        <v>45323</v>
      </c>
      <c r="AE126" s="14">
        <v>45351</v>
      </c>
      <c r="AF126" s="3"/>
    </row>
    <row r="127" spans="1:32" ht="39.6" hidden="1">
      <c r="A127" s="3" t="s">
        <v>1092</v>
      </c>
      <c r="B127" s="3" t="s">
        <v>1093</v>
      </c>
      <c r="C127" s="3" t="s">
        <v>1094</v>
      </c>
      <c r="D127" s="3" t="s">
        <v>35</v>
      </c>
      <c r="E127" s="3" t="s">
        <v>36</v>
      </c>
      <c r="F127" s="3" t="s">
        <v>247</v>
      </c>
      <c r="G127" s="3" t="s">
        <v>37</v>
      </c>
      <c r="H127" s="3" t="s">
        <v>38</v>
      </c>
      <c r="I127" s="3" t="s">
        <v>626</v>
      </c>
      <c r="J127" s="3" t="s">
        <v>223</v>
      </c>
      <c r="K127" s="3" t="s">
        <v>356</v>
      </c>
      <c r="L127" s="3" t="s">
        <v>627</v>
      </c>
      <c r="M127" s="3" t="s">
        <v>1095</v>
      </c>
      <c r="N127" s="3" t="s">
        <v>79</v>
      </c>
      <c r="O127" s="3" t="s">
        <v>278</v>
      </c>
      <c r="P127" s="3" t="s">
        <v>1096</v>
      </c>
      <c r="Q127" s="3" t="s">
        <v>1097</v>
      </c>
      <c r="R127" s="3" t="s">
        <v>36</v>
      </c>
      <c r="S127" s="3"/>
      <c r="T127" s="3" t="s">
        <v>37</v>
      </c>
      <c r="U127" s="3" t="s">
        <v>49</v>
      </c>
      <c r="V127" s="3" t="s">
        <v>1098</v>
      </c>
      <c r="W127" s="3" t="s">
        <v>198</v>
      </c>
      <c r="X127" s="3" t="s">
        <v>41</v>
      </c>
      <c r="Y127" s="3" t="s">
        <v>1099</v>
      </c>
      <c r="Z127" s="3" t="s">
        <v>1100</v>
      </c>
      <c r="AA127" s="3" t="s">
        <v>285</v>
      </c>
      <c r="AB127" s="3" t="s">
        <v>278</v>
      </c>
      <c r="AC127" s="3" t="s">
        <v>1101</v>
      </c>
      <c r="AD127" s="14">
        <v>45310</v>
      </c>
      <c r="AE127" s="14">
        <v>45657</v>
      </c>
      <c r="AF127" s="3"/>
    </row>
    <row r="128" spans="1:32" ht="92.45" hidden="1">
      <c r="A128" s="3" t="s">
        <v>537</v>
      </c>
      <c r="B128" s="3" t="s">
        <v>538</v>
      </c>
      <c r="C128" s="3" t="s">
        <v>1102</v>
      </c>
      <c r="D128" s="3" t="s">
        <v>35</v>
      </c>
      <c r="E128" s="3" t="s">
        <v>36</v>
      </c>
      <c r="F128" s="3" t="s">
        <v>526</v>
      </c>
      <c r="G128" s="3" t="s">
        <v>37</v>
      </c>
      <c r="H128" s="3" t="s">
        <v>78</v>
      </c>
      <c r="I128" s="3" t="s">
        <v>540</v>
      </c>
      <c r="J128" s="3" t="s">
        <v>528</v>
      </c>
      <c r="K128" s="3" t="s">
        <v>41</v>
      </c>
      <c r="L128" s="3" t="s">
        <v>541</v>
      </c>
      <c r="M128" s="3" t="s">
        <v>542</v>
      </c>
      <c r="N128" s="3" t="s">
        <v>79</v>
      </c>
      <c r="O128" s="3" t="s">
        <v>543</v>
      </c>
      <c r="P128" s="3" t="s">
        <v>1103</v>
      </c>
      <c r="Q128" s="3" t="s">
        <v>1104</v>
      </c>
      <c r="R128" s="3"/>
      <c r="S128" s="3" t="s">
        <v>1105</v>
      </c>
      <c r="T128" s="3" t="s">
        <v>82</v>
      </c>
      <c r="U128" s="3" t="s">
        <v>38</v>
      </c>
      <c r="V128" s="3"/>
      <c r="W128" s="3" t="s">
        <v>528</v>
      </c>
      <c r="X128" s="3"/>
      <c r="Y128" s="3"/>
      <c r="Z128" s="3"/>
      <c r="AA128" s="3" t="s">
        <v>44</v>
      </c>
      <c r="AB128" s="3"/>
      <c r="AC128" s="3" t="s">
        <v>1106</v>
      </c>
      <c r="AD128" s="14">
        <v>45352</v>
      </c>
      <c r="AE128" s="14">
        <v>45443</v>
      </c>
      <c r="AF128" s="3"/>
    </row>
    <row r="129" spans="1:32" ht="52.9" hidden="1">
      <c r="A129" s="3" t="s">
        <v>866</v>
      </c>
      <c r="B129" s="3" t="s">
        <v>867</v>
      </c>
      <c r="C129" s="3"/>
      <c r="D129" s="3" t="s">
        <v>35</v>
      </c>
      <c r="E129" s="3"/>
      <c r="F129" s="3" t="s">
        <v>221</v>
      </c>
      <c r="G129" s="3" t="s">
        <v>37</v>
      </c>
      <c r="H129" s="3" t="s">
        <v>49</v>
      </c>
      <c r="I129" s="3"/>
      <c r="J129" s="3" t="s">
        <v>223</v>
      </c>
      <c r="K129" s="3"/>
      <c r="L129" s="3"/>
      <c r="M129" s="3"/>
      <c r="N129" s="3" t="s">
        <v>79</v>
      </c>
      <c r="O129" s="3"/>
      <c r="P129" s="3" t="s">
        <v>1107</v>
      </c>
      <c r="Q129" s="3" t="s">
        <v>1108</v>
      </c>
      <c r="R129" s="3" t="s">
        <v>36</v>
      </c>
      <c r="S129" s="3" t="s">
        <v>221</v>
      </c>
      <c r="T129" s="3" t="s">
        <v>37</v>
      </c>
      <c r="U129" s="3" t="s">
        <v>38</v>
      </c>
      <c r="V129" s="3" t="s">
        <v>1109</v>
      </c>
      <c r="W129" s="3" t="s">
        <v>223</v>
      </c>
      <c r="X129" s="3" t="s">
        <v>41</v>
      </c>
      <c r="Y129" s="3" t="s">
        <v>871</v>
      </c>
      <c r="Z129" s="3" t="s">
        <v>684</v>
      </c>
      <c r="AA129" s="3" t="s">
        <v>44</v>
      </c>
      <c r="AB129" s="3" t="s">
        <v>54</v>
      </c>
      <c r="AC129" s="3" t="s">
        <v>1110</v>
      </c>
      <c r="AD129" s="14">
        <v>45323</v>
      </c>
      <c r="AE129" s="14">
        <v>45412</v>
      </c>
      <c r="AF129" s="3"/>
    </row>
    <row r="130" spans="1:32" ht="52.9" hidden="1">
      <c r="A130" s="3" t="s">
        <v>1111</v>
      </c>
      <c r="B130" s="3" t="s">
        <v>1112</v>
      </c>
      <c r="C130" s="3" t="s">
        <v>1113</v>
      </c>
      <c r="D130" s="3" t="s">
        <v>35</v>
      </c>
      <c r="E130" s="3" t="s">
        <v>36</v>
      </c>
      <c r="F130" s="3" t="s">
        <v>247</v>
      </c>
      <c r="G130" s="3" t="s">
        <v>82</v>
      </c>
      <c r="H130" s="3" t="s">
        <v>49</v>
      </c>
      <c r="I130" s="3" t="s">
        <v>1114</v>
      </c>
      <c r="J130" s="3" t="s">
        <v>223</v>
      </c>
      <c r="K130" s="3" t="s">
        <v>41</v>
      </c>
      <c r="L130" s="3" t="s">
        <v>230</v>
      </c>
      <c r="M130" s="3" t="s">
        <v>1115</v>
      </c>
      <c r="N130" s="3" t="s">
        <v>53</v>
      </c>
      <c r="O130" s="3" t="s">
        <v>270</v>
      </c>
      <c r="P130" s="3" t="s">
        <v>1116</v>
      </c>
      <c r="Q130" s="3" t="s">
        <v>1117</v>
      </c>
      <c r="R130" s="3" t="s">
        <v>36</v>
      </c>
      <c r="S130" s="3" t="s">
        <v>221</v>
      </c>
      <c r="T130" s="3" t="s">
        <v>37</v>
      </c>
      <c r="U130" s="3" t="s">
        <v>38</v>
      </c>
      <c r="V130" s="3" t="s">
        <v>1118</v>
      </c>
      <c r="W130" s="3" t="s">
        <v>223</v>
      </c>
      <c r="X130" s="3" t="s">
        <v>41</v>
      </c>
      <c r="Y130" s="3" t="s">
        <v>1119</v>
      </c>
      <c r="Z130" s="3" t="s">
        <v>1029</v>
      </c>
      <c r="AA130" s="3" t="s">
        <v>44</v>
      </c>
      <c r="AB130" s="3" t="s">
        <v>54</v>
      </c>
      <c r="AC130" s="3" t="s">
        <v>1120</v>
      </c>
      <c r="AD130" s="14">
        <v>45412</v>
      </c>
      <c r="AE130" s="14">
        <v>45653</v>
      </c>
      <c r="AF130" s="3"/>
    </row>
    <row r="131" spans="1:32" ht="52.9" hidden="1">
      <c r="A131" s="3" t="s">
        <v>1121</v>
      </c>
      <c r="B131" s="3" t="s">
        <v>1122</v>
      </c>
      <c r="C131" s="3"/>
      <c r="D131" s="3" t="s">
        <v>35</v>
      </c>
      <c r="E131" s="3" t="s">
        <v>36</v>
      </c>
      <c r="F131" s="3" t="s">
        <v>221</v>
      </c>
      <c r="G131" s="3" t="s">
        <v>37</v>
      </c>
      <c r="H131" s="3" t="s">
        <v>49</v>
      </c>
      <c r="I131" s="3" t="s">
        <v>1123</v>
      </c>
      <c r="J131" s="3" t="s">
        <v>223</v>
      </c>
      <c r="K131" s="3" t="s">
        <v>41</v>
      </c>
      <c r="L131" s="3" t="s">
        <v>1124</v>
      </c>
      <c r="M131" s="3" t="s">
        <v>486</v>
      </c>
      <c r="N131" s="3" t="s">
        <v>53</v>
      </c>
      <c r="O131" s="3" t="s">
        <v>100</v>
      </c>
      <c r="P131" s="3" t="s">
        <v>1125</v>
      </c>
      <c r="Q131" s="3" t="s">
        <v>1126</v>
      </c>
      <c r="R131" s="3" t="s">
        <v>467</v>
      </c>
      <c r="S131" s="3" t="s">
        <v>221</v>
      </c>
      <c r="T131" s="3" t="s">
        <v>82</v>
      </c>
      <c r="U131" s="3" t="s">
        <v>49</v>
      </c>
      <c r="V131" s="3" t="s">
        <v>1127</v>
      </c>
      <c r="W131" s="3" t="s">
        <v>223</v>
      </c>
      <c r="X131" s="3" t="s">
        <v>41</v>
      </c>
      <c r="Y131" s="3" t="s">
        <v>1128</v>
      </c>
      <c r="Z131" s="3" t="s">
        <v>470</v>
      </c>
      <c r="AA131" s="3" t="s">
        <v>63</v>
      </c>
      <c r="AB131" s="3" t="s">
        <v>116</v>
      </c>
      <c r="AC131" s="3" t="s">
        <v>1129</v>
      </c>
      <c r="AD131" s="14">
        <v>45321</v>
      </c>
      <c r="AE131" s="14">
        <v>45562</v>
      </c>
      <c r="AF131" s="3"/>
    </row>
    <row r="132" spans="1:32" ht="92.45" hidden="1">
      <c r="A132" s="3" t="s">
        <v>805</v>
      </c>
      <c r="B132" s="3" t="s">
        <v>806</v>
      </c>
      <c r="C132" s="3" t="s">
        <v>1130</v>
      </c>
      <c r="D132" s="3" t="s">
        <v>59</v>
      </c>
      <c r="E132" s="3" t="s">
        <v>36</v>
      </c>
      <c r="F132" s="3" t="s">
        <v>221</v>
      </c>
      <c r="G132" s="3" t="s">
        <v>37</v>
      </c>
      <c r="H132" s="3" t="s">
        <v>49</v>
      </c>
      <c r="I132" s="3" t="s">
        <v>808</v>
      </c>
      <c r="J132" s="3" t="s">
        <v>223</v>
      </c>
      <c r="K132" s="3" t="s">
        <v>41</v>
      </c>
      <c r="L132" s="3" t="s">
        <v>809</v>
      </c>
      <c r="M132" s="3" t="s">
        <v>810</v>
      </c>
      <c r="N132" s="3" t="s">
        <v>44</v>
      </c>
      <c r="O132" s="3" t="s">
        <v>811</v>
      </c>
      <c r="P132" s="3" t="s">
        <v>1131</v>
      </c>
      <c r="Q132" s="3" t="s">
        <v>1132</v>
      </c>
      <c r="R132" s="3" t="s">
        <v>467</v>
      </c>
      <c r="S132" s="3" t="s">
        <v>221</v>
      </c>
      <c r="T132" s="3" t="s">
        <v>82</v>
      </c>
      <c r="U132" s="3" t="s">
        <v>38</v>
      </c>
      <c r="V132" s="3" t="s">
        <v>1133</v>
      </c>
      <c r="W132" s="3" t="s">
        <v>223</v>
      </c>
      <c r="X132" s="3" t="s">
        <v>41</v>
      </c>
      <c r="Y132" s="3" t="s">
        <v>1134</v>
      </c>
      <c r="Z132" s="3" t="s">
        <v>470</v>
      </c>
      <c r="AA132" s="3" t="s">
        <v>79</v>
      </c>
      <c r="AB132" s="3" t="s">
        <v>116</v>
      </c>
      <c r="AC132" s="3" t="s">
        <v>1135</v>
      </c>
      <c r="AD132" s="14">
        <v>45309</v>
      </c>
      <c r="AE132" s="14">
        <v>45632</v>
      </c>
      <c r="AF132" s="3"/>
    </row>
    <row r="133" spans="1:32" ht="211.15" hidden="1">
      <c r="A133" s="3" t="s">
        <v>1136</v>
      </c>
      <c r="B133" s="3" t="s">
        <v>1137</v>
      </c>
      <c r="C133" s="3" t="s">
        <v>1138</v>
      </c>
      <c r="D133" s="3" t="s">
        <v>59</v>
      </c>
      <c r="E133" s="3" t="s">
        <v>36</v>
      </c>
      <c r="F133" s="3" t="s">
        <v>221</v>
      </c>
      <c r="G133" s="3" t="s">
        <v>37</v>
      </c>
      <c r="H133" s="3" t="s">
        <v>49</v>
      </c>
      <c r="I133" s="3" t="s">
        <v>1139</v>
      </c>
      <c r="J133" s="3" t="s">
        <v>223</v>
      </c>
      <c r="K133" s="3" t="s">
        <v>41</v>
      </c>
      <c r="L133" s="3" t="s">
        <v>1140</v>
      </c>
      <c r="M133" s="3" t="s">
        <v>1141</v>
      </c>
      <c r="N133" s="3" t="s">
        <v>79</v>
      </c>
      <c r="O133" s="3" t="s">
        <v>270</v>
      </c>
      <c r="P133" s="3" t="s">
        <v>1142</v>
      </c>
      <c r="Q133" s="3" t="s">
        <v>1143</v>
      </c>
      <c r="R133" s="3" t="s">
        <v>36</v>
      </c>
      <c r="S133" s="3" t="s">
        <v>221</v>
      </c>
      <c r="T133" s="3" t="s">
        <v>37</v>
      </c>
      <c r="U133" s="3" t="s">
        <v>49</v>
      </c>
      <c r="V133" s="3" t="s">
        <v>1144</v>
      </c>
      <c r="W133" s="3" t="s">
        <v>223</v>
      </c>
      <c r="X133" s="3" t="s">
        <v>41</v>
      </c>
      <c r="Y133" s="3" t="s">
        <v>1145</v>
      </c>
      <c r="Z133" s="3" t="s">
        <v>1146</v>
      </c>
      <c r="AA133" s="3" t="s">
        <v>63</v>
      </c>
      <c r="AB133" s="3" t="s">
        <v>1147</v>
      </c>
      <c r="AC133" s="3" t="s">
        <v>1148</v>
      </c>
      <c r="AD133" s="14">
        <v>45323</v>
      </c>
      <c r="AE133" s="14">
        <v>45626</v>
      </c>
      <c r="AF133" s="3"/>
    </row>
    <row r="134" spans="1:32" ht="52.9" hidden="1">
      <c r="A134" s="3" t="s">
        <v>1149</v>
      </c>
      <c r="B134" s="3" t="s">
        <v>1150</v>
      </c>
      <c r="C134" s="3" t="s">
        <v>1151</v>
      </c>
      <c r="D134" s="3" t="s">
        <v>35</v>
      </c>
      <c r="E134" s="3" t="s">
        <v>36</v>
      </c>
      <c r="F134" s="3" t="s">
        <v>221</v>
      </c>
      <c r="G134" s="3" t="s">
        <v>82</v>
      </c>
      <c r="H134" s="3" t="s">
        <v>49</v>
      </c>
      <c r="I134" s="3" t="s">
        <v>520</v>
      </c>
      <c r="J134" s="3" t="s">
        <v>223</v>
      </c>
      <c r="K134" s="3" t="s">
        <v>41</v>
      </c>
      <c r="L134" s="3" t="s">
        <v>1152</v>
      </c>
      <c r="M134" s="3" t="s">
        <v>320</v>
      </c>
      <c r="N134" s="3" t="s">
        <v>79</v>
      </c>
      <c r="O134" s="3" t="s">
        <v>100</v>
      </c>
      <c r="P134" s="3" t="s">
        <v>1153</v>
      </c>
      <c r="Q134" s="3" t="s">
        <v>1154</v>
      </c>
      <c r="R134" s="3"/>
      <c r="S134" s="3" t="s">
        <v>221</v>
      </c>
      <c r="T134" s="3" t="s">
        <v>37</v>
      </c>
      <c r="U134" s="3" t="s">
        <v>49</v>
      </c>
      <c r="V134" s="3"/>
      <c r="W134" s="3" t="s">
        <v>223</v>
      </c>
      <c r="X134" s="3"/>
      <c r="Y134" s="3"/>
      <c r="Z134" s="3"/>
      <c r="AA134" s="3" t="s">
        <v>79</v>
      </c>
      <c r="AB134" s="3"/>
      <c r="AC134" s="3" t="s">
        <v>1155</v>
      </c>
      <c r="AD134" s="14">
        <v>45156</v>
      </c>
      <c r="AE134" s="14">
        <v>45382</v>
      </c>
      <c r="AF134" s="3"/>
    </row>
    <row r="135" spans="1:32" ht="39.6" hidden="1">
      <c r="A135" s="3" t="s">
        <v>805</v>
      </c>
      <c r="B135" s="3" t="s">
        <v>806</v>
      </c>
      <c r="C135" s="3" t="s">
        <v>1156</v>
      </c>
      <c r="D135" s="3" t="s">
        <v>59</v>
      </c>
      <c r="E135" s="3" t="s">
        <v>36</v>
      </c>
      <c r="F135" s="3" t="s">
        <v>221</v>
      </c>
      <c r="G135" s="3" t="s">
        <v>37</v>
      </c>
      <c r="H135" s="3" t="s">
        <v>49</v>
      </c>
      <c r="I135" s="3" t="s">
        <v>808</v>
      </c>
      <c r="J135" s="3" t="s">
        <v>223</v>
      </c>
      <c r="K135" s="3" t="s">
        <v>41</v>
      </c>
      <c r="L135" s="3" t="s">
        <v>809</v>
      </c>
      <c r="M135" s="3" t="s">
        <v>810</v>
      </c>
      <c r="N135" s="3" t="s">
        <v>44</v>
      </c>
      <c r="O135" s="3" t="s">
        <v>811</v>
      </c>
      <c r="P135" s="3" t="s">
        <v>1157</v>
      </c>
      <c r="Q135" s="3" t="s">
        <v>1158</v>
      </c>
      <c r="R135" s="3" t="s">
        <v>467</v>
      </c>
      <c r="S135" s="3" t="s">
        <v>221</v>
      </c>
      <c r="T135" s="3" t="s">
        <v>82</v>
      </c>
      <c r="U135" s="3" t="s">
        <v>49</v>
      </c>
      <c r="V135" s="3" t="s">
        <v>1159</v>
      </c>
      <c r="W135" s="3" t="s">
        <v>223</v>
      </c>
      <c r="X135" s="3" t="s">
        <v>41</v>
      </c>
      <c r="Y135" s="3" t="s">
        <v>1160</v>
      </c>
      <c r="Z135" s="3" t="s">
        <v>470</v>
      </c>
      <c r="AA135" s="3" t="s">
        <v>63</v>
      </c>
      <c r="AB135" s="3" t="s">
        <v>116</v>
      </c>
      <c r="AC135" s="3" t="s">
        <v>1161</v>
      </c>
      <c r="AD135" s="14">
        <v>45383</v>
      </c>
      <c r="AE135" s="14">
        <v>45474</v>
      </c>
      <c r="AF135" s="3"/>
    </row>
    <row r="136" spans="1:32" ht="52.9" hidden="1">
      <c r="A136" s="3" t="s">
        <v>439</v>
      </c>
      <c r="B136" s="3" t="s">
        <v>440</v>
      </c>
      <c r="C136" s="3" t="s">
        <v>1162</v>
      </c>
      <c r="D136" s="3" t="s">
        <v>35</v>
      </c>
      <c r="E136" s="3" t="s">
        <v>36</v>
      </c>
      <c r="F136" s="3" t="s">
        <v>180</v>
      </c>
      <c r="G136" s="3" t="s">
        <v>37</v>
      </c>
      <c r="H136" s="3" t="s">
        <v>49</v>
      </c>
      <c r="I136" s="3" t="s">
        <v>441</v>
      </c>
      <c r="J136" s="3" t="s">
        <v>182</v>
      </c>
      <c r="K136" s="3" t="s">
        <v>41</v>
      </c>
      <c r="L136" s="3" t="s">
        <v>442</v>
      </c>
      <c r="M136" s="3" t="s">
        <v>443</v>
      </c>
      <c r="N136" s="3" t="s">
        <v>79</v>
      </c>
      <c r="O136" s="3" t="s">
        <v>270</v>
      </c>
      <c r="P136" s="3" t="s">
        <v>1163</v>
      </c>
      <c r="Q136" s="3" t="s">
        <v>1164</v>
      </c>
      <c r="R136" s="3" t="s">
        <v>36</v>
      </c>
      <c r="S136" s="3"/>
      <c r="T136" s="3" t="s">
        <v>37</v>
      </c>
      <c r="U136" s="3" t="s">
        <v>49</v>
      </c>
      <c r="V136" s="3" t="s">
        <v>1165</v>
      </c>
      <c r="W136" s="3" t="s">
        <v>182</v>
      </c>
      <c r="X136" s="3" t="s">
        <v>41</v>
      </c>
      <c r="Y136" s="3" t="s">
        <v>442</v>
      </c>
      <c r="Z136" s="3" t="s">
        <v>1166</v>
      </c>
      <c r="AA136" s="3" t="s">
        <v>63</v>
      </c>
      <c r="AB136" s="3" t="s">
        <v>270</v>
      </c>
      <c r="AC136" s="3" t="s">
        <v>1167</v>
      </c>
      <c r="AD136" s="14">
        <v>45323</v>
      </c>
      <c r="AE136" s="14">
        <v>45443</v>
      </c>
      <c r="AF136" s="3"/>
    </row>
    <row r="137" spans="1:32" ht="52.9" hidden="1">
      <c r="A137" s="3" t="s">
        <v>1168</v>
      </c>
      <c r="B137" s="3" t="s">
        <v>1169</v>
      </c>
      <c r="C137" s="3" t="s">
        <v>1170</v>
      </c>
      <c r="D137" s="3" t="s">
        <v>35</v>
      </c>
      <c r="E137" s="3" t="s">
        <v>36</v>
      </c>
      <c r="F137" s="3" t="s">
        <v>274</v>
      </c>
      <c r="G137" s="3" t="s">
        <v>37</v>
      </c>
      <c r="H137" s="3" t="s">
        <v>78</v>
      </c>
      <c r="I137" s="3" t="s">
        <v>1171</v>
      </c>
      <c r="J137" s="3" t="s">
        <v>223</v>
      </c>
      <c r="K137" s="3" t="s">
        <v>41</v>
      </c>
      <c r="L137" s="3" t="s">
        <v>1172</v>
      </c>
      <c r="M137" s="3" t="s">
        <v>320</v>
      </c>
      <c r="N137" s="3" t="s">
        <v>44</v>
      </c>
      <c r="O137" s="3" t="s">
        <v>100</v>
      </c>
      <c r="P137" s="3" t="s">
        <v>1173</v>
      </c>
      <c r="Q137" s="3" t="s">
        <v>1174</v>
      </c>
      <c r="R137" s="3"/>
      <c r="S137" s="3" t="s">
        <v>221</v>
      </c>
      <c r="T137" s="3" t="s">
        <v>37</v>
      </c>
      <c r="U137" s="3" t="s">
        <v>38</v>
      </c>
      <c r="V137" s="3"/>
      <c r="W137" s="3" t="s">
        <v>223</v>
      </c>
      <c r="X137" s="3"/>
      <c r="Y137" s="3"/>
      <c r="Z137" s="3"/>
      <c r="AA137" s="3" t="s">
        <v>53</v>
      </c>
      <c r="AB137" s="3"/>
      <c r="AC137" s="3" t="s">
        <v>1175</v>
      </c>
      <c r="AD137" s="14">
        <v>45316</v>
      </c>
      <c r="AE137" s="14">
        <v>45504</v>
      </c>
      <c r="AF137" s="3"/>
    </row>
    <row r="138" spans="1:32" ht="39.6" hidden="1">
      <c r="A138" s="3" t="s">
        <v>909</v>
      </c>
      <c r="B138" s="3" t="s">
        <v>910</v>
      </c>
      <c r="C138" s="3"/>
      <c r="D138" s="3" t="s">
        <v>35</v>
      </c>
      <c r="E138" s="3" t="s">
        <v>36</v>
      </c>
      <c r="F138" s="3" t="s">
        <v>274</v>
      </c>
      <c r="G138" s="3" t="s">
        <v>37</v>
      </c>
      <c r="H138" s="3" t="s">
        <v>38</v>
      </c>
      <c r="I138" s="3" t="s">
        <v>718</v>
      </c>
      <c r="J138" s="3" t="s">
        <v>223</v>
      </c>
      <c r="K138" s="3" t="s">
        <v>41</v>
      </c>
      <c r="L138" s="3" t="s">
        <v>719</v>
      </c>
      <c r="M138" s="3" t="s">
        <v>911</v>
      </c>
      <c r="N138" s="3" t="s">
        <v>53</v>
      </c>
      <c r="O138" s="3" t="s">
        <v>721</v>
      </c>
      <c r="P138" s="3" t="s">
        <v>1176</v>
      </c>
      <c r="Q138" s="3" t="s">
        <v>1177</v>
      </c>
      <c r="R138" s="3" t="s">
        <v>36</v>
      </c>
      <c r="S138" s="3" t="s">
        <v>221</v>
      </c>
      <c r="T138" s="3" t="s">
        <v>82</v>
      </c>
      <c r="U138" s="3" t="s">
        <v>38</v>
      </c>
      <c r="V138" s="3" t="s">
        <v>1178</v>
      </c>
      <c r="W138" s="3" t="s">
        <v>223</v>
      </c>
      <c r="X138" s="3" t="s">
        <v>41</v>
      </c>
      <c r="Y138" s="3" t="s">
        <v>1179</v>
      </c>
      <c r="Z138" s="3" t="s">
        <v>1029</v>
      </c>
      <c r="AA138" s="3" t="s">
        <v>44</v>
      </c>
      <c r="AB138" s="3" t="s">
        <v>54</v>
      </c>
      <c r="AC138" s="3" t="s">
        <v>1180</v>
      </c>
      <c r="AD138" s="14">
        <v>45314</v>
      </c>
      <c r="AE138" s="14"/>
      <c r="AF138" s="3"/>
    </row>
    <row r="139" spans="1:32" ht="52.9" hidden="1">
      <c r="A139" s="3" t="s">
        <v>1181</v>
      </c>
      <c r="B139" s="3" t="s">
        <v>1182</v>
      </c>
      <c r="C139" s="3" t="s">
        <v>1183</v>
      </c>
      <c r="D139" s="3" t="s">
        <v>35</v>
      </c>
      <c r="E139" s="3" t="s">
        <v>36</v>
      </c>
      <c r="F139" s="3" t="s">
        <v>221</v>
      </c>
      <c r="G139" s="3" t="s">
        <v>82</v>
      </c>
      <c r="H139" s="3" t="s">
        <v>38</v>
      </c>
      <c r="I139" s="3" t="s">
        <v>1184</v>
      </c>
      <c r="J139" s="3" t="s">
        <v>223</v>
      </c>
      <c r="K139" s="3" t="s">
        <v>41</v>
      </c>
      <c r="L139" s="3" t="s">
        <v>1185</v>
      </c>
      <c r="M139" s="3" t="s">
        <v>1024</v>
      </c>
      <c r="N139" s="3" t="s">
        <v>79</v>
      </c>
      <c r="O139" s="3" t="s">
        <v>811</v>
      </c>
      <c r="P139" s="3" t="s">
        <v>1186</v>
      </c>
      <c r="Q139" s="3" t="s">
        <v>1187</v>
      </c>
      <c r="R139" s="3" t="s">
        <v>36</v>
      </c>
      <c r="S139" s="3" t="s">
        <v>221</v>
      </c>
      <c r="T139" s="3" t="s">
        <v>82</v>
      </c>
      <c r="U139" s="3" t="s">
        <v>49</v>
      </c>
      <c r="V139" s="3" t="s">
        <v>1188</v>
      </c>
      <c r="W139" s="3" t="s">
        <v>223</v>
      </c>
      <c r="X139" s="3" t="s">
        <v>41</v>
      </c>
      <c r="Y139" s="3" t="s">
        <v>1189</v>
      </c>
      <c r="Z139" s="3" t="s">
        <v>372</v>
      </c>
      <c r="AA139" s="3" t="s">
        <v>53</v>
      </c>
      <c r="AB139" s="3" t="s">
        <v>201</v>
      </c>
      <c r="AC139" s="3" t="s">
        <v>1190</v>
      </c>
      <c r="AD139" s="14">
        <v>45334</v>
      </c>
      <c r="AE139" s="14">
        <v>45446</v>
      </c>
      <c r="AF139" s="3"/>
    </row>
    <row r="140" spans="1:32" ht="52.9" hidden="1">
      <c r="A140" s="3" t="s">
        <v>1191</v>
      </c>
      <c r="B140" s="3" t="s">
        <v>1192</v>
      </c>
      <c r="C140" s="3" t="s">
        <v>1193</v>
      </c>
      <c r="D140" s="3" t="s">
        <v>59</v>
      </c>
      <c r="E140" s="3"/>
      <c r="F140" s="3" t="s">
        <v>247</v>
      </c>
      <c r="G140" s="3" t="s">
        <v>37</v>
      </c>
      <c r="H140" s="3" t="s">
        <v>38</v>
      </c>
      <c r="I140" s="3"/>
      <c r="J140" s="3" t="s">
        <v>223</v>
      </c>
      <c r="K140" s="3"/>
      <c r="L140" s="3"/>
      <c r="M140" s="3"/>
      <c r="N140" s="3" t="s">
        <v>53</v>
      </c>
      <c r="O140" s="3"/>
      <c r="P140" s="3" t="s">
        <v>1194</v>
      </c>
      <c r="Q140" s="3" t="s">
        <v>1195</v>
      </c>
      <c r="R140" s="3" t="s">
        <v>36</v>
      </c>
      <c r="S140" s="3" t="s">
        <v>247</v>
      </c>
      <c r="T140" s="3" t="s">
        <v>82</v>
      </c>
      <c r="U140" s="3" t="s">
        <v>38</v>
      </c>
      <c r="V140" s="3" t="s">
        <v>1196</v>
      </c>
      <c r="W140" s="3" t="s">
        <v>223</v>
      </c>
      <c r="X140" s="3" t="s">
        <v>41</v>
      </c>
      <c r="Y140" s="3" t="s">
        <v>1197</v>
      </c>
      <c r="Z140" s="3" t="s">
        <v>372</v>
      </c>
      <c r="AA140" s="3" t="s">
        <v>53</v>
      </c>
      <c r="AB140" s="3" t="s">
        <v>201</v>
      </c>
      <c r="AC140" s="3" t="s">
        <v>1198</v>
      </c>
      <c r="AD140" s="14">
        <v>45317</v>
      </c>
      <c r="AE140" s="14">
        <v>45716</v>
      </c>
      <c r="AF140" s="3"/>
    </row>
    <row r="141" spans="1:32" ht="105.6" hidden="1">
      <c r="A141" s="3" t="s">
        <v>1199</v>
      </c>
      <c r="B141" s="3" t="s">
        <v>1200</v>
      </c>
      <c r="C141" s="3" t="s">
        <v>1201</v>
      </c>
      <c r="D141" s="3" t="s">
        <v>35</v>
      </c>
      <c r="E141" s="3"/>
      <c r="F141" s="3" t="s">
        <v>221</v>
      </c>
      <c r="G141" s="3" t="s">
        <v>82</v>
      </c>
      <c r="H141" s="3" t="s">
        <v>49</v>
      </c>
      <c r="I141" s="3"/>
      <c r="J141" s="3" t="s">
        <v>223</v>
      </c>
      <c r="K141" s="3"/>
      <c r="L141" s="3"/>
      <c r="M141" s="3"/>
      <c r="N141" s="3" t="s">
        <v>63</v>
      </c>
      <c r="O141" s="3"/>
      <c r="P141" s="3" t="s">
        <v>1202</v>
      </c>
      <c r="Q141" s="3" t="s">
        <v>1203</v>
      </c>
      <c r="R141" s="3" t="s">
        <v>36</v>
      </c>
      <c r="S141" s="3" t="s">
        <v>221</v>
      </c>
      <c r="T141" s="3" t="s">
        <v>37</v>
      </c>
      <c r="U141" s="3" t="s">
        <v>38</v>
      </c>
      <c r="V141" s="3" t="s">
        <v>1204</v>
      </c>
      <c r="W141" s="3" t="s">
        <v>223</v>
      </c>
      <c r="X141" s="3" t="s">
        <v>41</v>
      </c>
      <c r="Y141" s="3" t="s">
        <v>1205</v>
      </c>
      <c r="Z141" s="3" t="s">
        <v>1029</v>
      </c>
      <c r="AA141" s="3" t="s">
        <v>44</v>
      </c>
      <c r="AB141" s="3" t="s">
        <v>54</v>
      </c>
      <c r="AC141" s="3" t="s">
        <v>1206</v>
      </c>
      <c r="AD141" s="14">
        <v>45314</v>
      </c>
      <c r="AE141" s="14">
        <v>45314</v>
      </c>
      <c r="AF141" s="3"/>
    </row>
    <row r="142" spans="1:32" ht="118.9" hidden="1">
      <c r="A142" s="3" t="s">
        <v>1207</v>
      </c>
      <c r="B142" s="3" t="s">
        <v>1208</v>
      </c>
      <c r="C142" s="3" t="s">
        <v>1209</v>
      </c>
      <c r="D142" s="3" t="s">
        <v>59</v>
      </c>
      <c r="E142" s="3" t="s">
        <v>36</v>
      </c>
      <c r="F142" s="3" t="s">
        <v>254</v>
      </c>
      <c r="G142" s="3" t="s">
        <v>37</v>
      </c>
      <c r="H142" s="3" t="s">
        <v>38</v>
      </c>
      <c r="I142" s="3" t="s">
        <v>1210</v>
      </c>
      <c r="J142" s="3" t="s">
        <v>223</v>
      </c>
      <c r="K142" s="3" t="s">
        <v>41</v>
      </c>
      <c r="L142" s="3" t="s">
        <v>268</v>
      </c>
      <c r="M142" s="3" t="s">
        <v>269</v>
      </c>
      <c r="N142" s="3" t="s">
        <v>53</v>
      </c>
      <c r="O142" s="3" t="s">
        <v>270</v>
      </c>
      <c r="P142" s="3" t="s">
        <v>1211</v>
      </c>
      <c r="Q142" s="3" t="s">
        <v>1212</v>
      </c>
      <c r="R142" s="3" t="s">
        <v>36</v>
      </c>
      <c r="S142" s="3" t="s">
        <v>254</v>
      </c>
      <c r="T142" s="3" t="s">
        <v>37</v>
      </c>
      <c r="U142" s="3" t="s">
        <v>49</v>
      </c>
      <c r="V142" s="3" t="s">
        <v>1213</v>
      </c>
      <c r="W142" s="3" t="s">
        <v>223</v>
      </c>
      <c r="X142" s="3" t="s">
        <v>41</v>
      </c>
      <c r="Y142" s="3" t="s">
        <v>1214</v>
      </c>
      <c r="Z142" s="3" t="s">
        <v>1215</v>
      </c>
      <c r="AA142" s="3" t="s">
        <v>79</v>
      </c>
      <c r="AB142" s="3" t="s">
        <v>699</v>
      </c>
      <c r="AC142" s="3" t="s">
        <v>1216</v>
      </c>
      <c r="AD142" s="14">
        <v>45189</v>
      </c>
      <c r="AE142" s="14">
        <v>45555</v>
      </c>
      <c r="AF142" s="3"/>
    </row>
    <row r="143" spans="1:32" ht="39.6" hidden="1">
      <c r="A143" s="3" t="s">
        <v>1046</v>
      </c>
      <c r="B143" s="3" t="s">
        <v>1047</v>
      </c>
      <c r="C143" s="3"/>
      <c r="D143" s="3" t="s">
        <v>35</v>
      </c>
      <c r="E143" s="3" t="s">
        <v>36</v>
      </c>
      <c r="F143" s="3" t="s">
        <v>221</v>
      </c>
      <c r="G143" s="3" t="s">
        <v>37</v>
      </c>
      <c r="H143" s="3" t="s">
        <v>38</v>
      </c>
      <c r="I143" s="3" t="s">
        <v>1048</v>
      </c>
      <c r="J143" s="3" t="s">
        <v>223</v>
      </c>
      <c r="K143" s="3" t="s">
        <v>41</v>
      </c>
      <c r="L143" s="3" t="s">
        <v>1049</v>
      </c>
      <c r="M143" s="3" t="s">
        <v>200</v>
      </c>
      <c r="N143" s="3" t="s">
        <v>44</v>
      </c>
      <c r="O143" s="3" t="s">
        <v>201</v>
      </c>
      <c r="P143" s="3" t="s">
        <v>1217</v>
      </c>
      <c r="Q143" s="3" t="s">
        <v>1218</v>
      </c>
      <c r="R143" s="3" t="s">
        <v>36</v>
      </c>
      <c r="S143" s="3" t="s">
        <v>221</v>
      </c>
      <c r="T143" s="3" t="s">
        <v>82</v>
      </c>
      <c r="U143" s="3" t="s">
        <v>38</v>
      </c>
      <c r="V143" s="3" t="s">
        <v>1219</v>
      </c>
      <c r="W143" s="3" t="s">
        <v>223</v>
      </c>
      <c r="X143" s="3" t="s">
        <v>41</v>
      </c>
      <c r="Y143" s="3" t="s">
        <v>1220</v>
      </c>
      <c r="Z143" s="3" t="s">
        <v>200</v>
      </c>
      <c r="AA143" s="3" t="s">
        <v>44</v>
      </c>
      <c r="AB143" s="3" t="s">
        <v>201</v>
      </c>
      <c r="AC143" s="3" t="s">
        <v>1221</v>
      </c>
      <c r="AD143" s="14">
        <v>45320</v>
      </c>
      <c r="AE143" s="14">
        <v>45351</v>
      </c>
      <c r="AF143" s="3"/>
    </row>
    <row r="144" spans="1:32" ht="52.9" hidden="1">
      <c r="A144" s="3" t="s">
        <v>866</v>
      </c>
      <c r="B144" s="3" t="s">
        <v>867</v>
      </c>
      <c r="C144" s="3"/>
      <c r="D144" s="3" t="s">
        <v>59</v>
      </c>
      <c r="E144" s="3"/>
      <c r="F144" s="3" t="s">
        <v>221</v>
      </c>
      <c r="G144" s="3" t="s">
        <v>37</v>
      </c>
      <c r="H144" s="3" t="s">
        <v>49</v>
      </c>
      <c r="I144" s="3"/>
      <c r="J144" s="3" t="s">
        <v>223</v>
      </c>
      <c r="K144" s="3"/>
      <c r="L144" s="3"/>
      <c r="M144" s="3"/>
      <c r="N144" s="3" t="s">
        <v>79</v>
      </c>
      <c r="O144" s="3"/>
      <c r="P144" s="3" t="s">
        <v>1222</v>
      </c>
      <c r="Q144" s="3" t="s">
        <v>1223</v>
      </c>
      <c r="R144" s="3" t="s">
        <v>467</v>
      </c>
      <c r="S144" s="3" t="s">
        <v>221</v>
      </c>
      <c r="T144" s="3" t="s">
        <v>82</v>
      </c>
      <c r="U144" s="3" t="s">
        <v>38</v>
      </c>
      <c r="V144" s="3" t="s">
        <v>1224</v>
      </c>
      <c r="W144" s="3" t="s">
        <v>223</v>
      </c>
      <c r="X144" s="3" t="s">
        <v>41</v>
      </c>
      <c r="Y144" s="3" t="s">
        <v>563</v>
      </c>
      <c r="Z144" s="3" t="s">
        <v>564</v>
      </c>
      <c r="AA144" s="3" t="s">
        <v>79</v>
      </c>
      <c r="AB144" s="3" t="s">
        <v>64</v>
      </c>
      <c r="AC144" s="3" t="s">
        <v>1225</v>
      </c>
      <c r="AD144" s="14">
        <v>45316</v>
      </c>
      <c r="AE144" s="14">
        <v>45657</v>
      </c>
      <c r="AF144" s="3"/>
    </row>
    <row r="145" spans="1:32" ht="52.9" hidden="1">
      <c r="A145" s="3" t="s">
        <v>1226</v>
      </c>
      <c r="B145" s="3" t="s">
        <v>1227</v>
      </c>
      <c r="C145" s="3"/>
      <c r="D145" s="3" t="s">
        <v>593</v>
      </c>
      <c r="E145" s="3" t="s">
        <v>36</v>
      </c>
      <c r="F145" s="3" t="s">
        <v>221</v>
      </c>
      <c r="G145" s="3" t="s">
        <v>82</v>
      </c>
      <c r="H145" s="3" t="s">
        <v>38</v>
      </c>
      <c r="I145" s="3" t="s">
        <v>1228</v>
      </c>
      <c r="J145" s="3" t="s">
        <v>223</v>
      </c>
      <c r="K145" s="3" t="s">
        <v>41</v>
      </c>
      <c r="L145" s="3" t="s">
        <v>1229</v>
      </c>
      <c r="M145" s="3" t="s">
        <v>372</v>
      </c>
      <c r="N145" s="3" t="s">
        <v>79</v>
      </c>
      <c r="O145" s="3" t="s">
        <v>201</v>
      </c>
      <c r="P145" s="3" t="s">
        <v>1230</v>
      </c>
      <c r="Q145" s="3" t="s">
        <v>1231</v>
      </c>
      <c r="R145" s="3"/>
      <c r="S145" s="3" t="s">
        <v>221</v>
      </c>
      <c r="T145" s="3" t="s">
        <v>37</v>
      </c>
      <c r="U145" s="3" t="s">
        <v>78</v>
      </c>
      <c r="V145" s="3"/>
      <c r="W145" s="3" t="s">
        <v>223</v>
      </c>
      <c r="X145" s="3"/>
      <c r="Y145" s="3"/>
      <c r="Z145" s="3"/>
      <c r="AA145" s="3" t="s">
        <v>123</v>
      </c>
      <c r="AB145" s="3"/>
      <c r="AC145" s="3" t="s">
        <v>1232</v>
      </c>
      <c r="AD145" s="14">
        <v>45272</v>
      </c>
      <c r="AE145" s="14">
        <v>45473</v>
      </c>
      <c r="AF145" s="3"/>
    </row>
    <row r="146" spans="1:32" ht="52.9" hidden="1">
      <c r="A146" s="3" t="s">
        <v>1233</v>
      </c>
      <c r="B146" s="3" t="s">
        <v>1234</v>
      </c>
      <c r="C146" s="3" t="s">
        <v>1235</v>
      </c>
      <c r="D146" s="3" t="s">
        <v>35</v>
      </c>
      <c r="E146" s="3" t="s">
        <v>36</v>
      </c>
      <c r="F146" s="3" t="s">
        <v>221</v>
      </c>
      <c r="G146" s="3" t="s">
        <v>82</v>
      </c>
      <c r="H146" s="3" t="s">
        <v>78</v>
      </c>
      <c r="I146" s="3" t="s">
        <v>1236</v>
      </c>
      <c r="J146" s="3" t="s">
        <v>223</v>
      </c>
      <c r="K146" s="3" t="s">
        <v>41</v>
      </c>
      <c r="L146" s="3" t="s">
        <v>1237</v>
      </c>
      <c r="M146" s="3" t="s">
        <v>1238</v>
      </c>
      <c r="N146" s="3" t="s">
        <v>123</v>
      </c>
      <c r="O146" s="3" t="s">
        <v>1239</v>
      </c>
      <c r="P146" s="3" t="s">
        <v>1240</v>
      </c>
      <c r="Q146" s="3" t="s">
        <v>1241</v>
      </c>
      <c r="R146" s="3" t="s">
        <v>36</v>
      </c>
      <c r="S146" s="3" t="s">
        <v>221</v>
      </c>
      <c r="T146" s="3" t="s">
        <v>82</v>
      </c>
      <c r="U146" s="3" t="s">
        <v>78</v>
      </c>
      <c r="V146" s="3" t="s">
        <v>1242</v>
      </c>
      <c r="W146" s="3" t="s">
        <v>223</v>
      </c>
      <c r="X146" s="3" t="s">
        <v>41</v>
      </c>
      <c r="Y146" s="3" t="s">
        <v>1243</v>
      </c>
      <c r="Z146" s="3" t="s">
        <v>1244</v>
      </c>
      <c r="AA146" s="3" t="s">
        <v>123</v>
      </c>
      <c r="AB146" s="3" t="s">
        <v>1245</v>
      </c>
      <c r="AC146" s="3" t="s">
        <v>1246</v>
      </c>
      <c r="AD146" s="14">
        <v>45323</v>
      </c>
      <c r="AE146" s="14">
        <v>45473</v>
      </c>
      <c r="AF146" s="3"/>
    </row>
    <row r="147" spans="1:32" ht="39.6" hidden="1">
      <c r="A147" s="3" t="s">
        <v>962</v>
      </c>
      <c r="B147" s="3" t="s">
        <v>963</v>
      </c>
      <c r="C147" s="3" t="s">
        <v>1247</v>
      </c>
      <c r="D147" s="3" t="s">
        <v>35</v>
      </c>
      <c r="E147" s="3" t="s">
        <v>36</v>
      </c>
      <c r="F147" s="3" t="s">
        <v>221</v>
      </c>
      <c r="G147" s="3" t="s">
        <v>37</v>
      </c>
      <c r="H147" s="3" t="s">
        <v>49</v>
      </c>
      <c r="I147" s="3" t="s">
        <v>964</v>
      </c>
      <c r="J147" s="3" t="s">
        <v>223</v>
      </c>
      <c r="K147" s="3" t="s">
        <v>41</v>
      </c>
      <c r="L147" s="3" t="s">
        <v>587</v>
      </c>
      <c r="M147" s="3" t="s">
        <v>965</v>
      </c>
      <c r="N147" s="3" t="s">
        <v>63</v>
      </c>
      <c r="O147" s="3" t="s">
        <v>116</v>
      </c>
      <c r="P147" s="3" t="s">
        <v>1248</v>
      </c>
      <c r="Q147" s="3" t="s">
        <v>1249</v>
      </c>
      <c r="R147" s="3" t="s">
        <v>36</v>
      </c>
      <c r="S147" s="3" t="s">
        <v>221</v>
      </c>
      <c r="T147" s="3" t="s">
        <v>82</v>
      </c>
      <c r="U147" s="3" t="s">
        <v>38</v>
      </c>
      <c r="V147" s="3" t="s">
        <v>1250</v>
      </c>
      <c r="W147" s="3" t="s">
        <v>223</v>
      </c>
      <c r="X147" s="3" t="s">
        <v>41</v>
      </c>
      <c r="Y147" s="3" t="s">
        <v>1251</v>
      </c>
      <c r="Z147" s="3" t="s">
        <v>1252</v>
      </c>
      <c r="AA147" s="3" t="s">
        <v>53</v>
      </c>
      <c r="AB147" s="3" t="s">
        <v>100</v>
      </c>
      <c r="AC147" s="3" t="s">
        <v>1253</v>
      </c>
      <c r="AD147" s="14">
        <v>45324</v>
      </c>
      <c r="AE147" s="14">
        <v>45565</v>
      </c>
      <c r="AF147" s="3"/>
    </row>
    <row r="148" spans="1:32" ht="132" hidden="1">
      <c r="A148" s="3" t="s">
        <v>1254</v>
      </c>
      <c r="B148" s="3" t="s">
        <v>1255</v>
      </c>
      <c r="C148" s="3" t="s">
        <v>1256</v>
      </c>
      <c r="D148" s="3" t="s">
        <v>59</v>
      </c>
      <c r="E148" s="3"/>
      <c r="F148" s="3" t="s">
        <v>221</v>
      </c>
      <c r="G148" s="3" t="s">
        <v>37</v>
      </c>
      <c r="H148" s="3" t="s">
        <v>38</v>
      </c>
      <c r="I148" s="3"/>
      <c r="J148" s="3" t="s">
        <v>223</v>
      </c>
      <c r="K148" s="3"/>
      <c r="L148" s="3"/>
      <c r="M148" s="3"/>
      <c r="N148" s="3" t="s">
        <v>44</v>
      </c>
      <c r="O148" s="3"/>
      <c r="P148" s="3" t="s">
        <v>1257</v>
      </c>
      <c r="Q148" s="3" t="s">
        <v>1258</v>
      </c>
      <c r="R148" s="3"/>
      <c r="S148" s="3" t="s">
        <v>274</v>
      </c>
      <c r="T148" s="3" t="s">
        <v>37</v>
      </c>
      <c r="U148" s="3" t="s">
        <v>78</v>
      </c>
      <c r="V148" s="3"/>
      <c r="W148" s="3" t="s">
        <v>223</v>
      </c>
      <c r="X148" s="3"/>
      <c r="Y148" s="3"/>
      <c r="Z148" s="3"/>
      <c r="AA148" s="3" t="s">
        <v>53</v>
      </c>
      <c r="AB148" s="3"/>
      <c r="AC148" s="3" t="s">
        <v>1259</v>
      </c>
      <c r="AD148" s="14">
        <v>45323</v>
      </c>
      <c r="AE148" s="14"/>
      <c r="AF148" s="3"/>
    </row>
    <row r="149" spans="1:32" ht="52.9" hidden="1">
      <c r="A149" s="3" t="s">
        <v>900</v>
      </c>
      <c r="B149" s="3" t="s">
        <v>901</v>
      </c>
      <c r="C149" s="3" t="s">
        <v>1260</v>
      </c>
      <c r="D149" s="3" t="s">
        <v>59</v>
      </c>
      <c r="E149" s="3" t="s">
        <v>36</v>
      </c>
      <c r="F149" s="3" t="s">
        <v>221</v>
      </c>
      <c r="G149" s="3" t="s">
        <v>82</v>
      </c>
      <c r="H149" s="3" t="s">
        <v>49</v>
      </c>
      <c r="I149" s="3" t="s">
        <v>893</v>
      </c>
      <c r="J149" s="3" t="s">
        <v>223</v>
      </c>
      <c r="K149" s="3" t="s">
        <v>41</v>
      </c>
      <c r="L149" s="3" t="s">
        <v>903</v>
      </c>
      <c r="M149" s="3" t="s">
        <v>486</v>
      </c>
      <c r="N149" s="3" t="s">
        <v>53</v>
      </c>
      <c r="O149" s="3" t="s">
        <v>100</v>
      </c>
      <c r="P149" s="3" t="s">
        <v>1261</v>
      </c>
      <c r="Q149" s="3" t="s">
        <v>1262</v>
      </c>
      <c r="R149" s="3" t="s">
        <v>36</v>
      </c>
      <c r="S149" s="3" t="s">
        <v>221</v>
      </c>
      <c r="T149" s="3" t="s">
        <v>82</v>
      </c>
      <c r="U149" s="3" t="s">
        <v>49</v>
      </c>
      <c r="V149" s="3" t="s">
        <v>1263</v>
      </c>
      <c r="W149" s="3" t="s">
        <v>223</v>
      </c>
      <c r="X149" s="3" t="s">
        <v>41</v>
      </c>
      <c r="Y149" s="3" t="s">
        <v>1264</v>
      </c>
      <c r="Z149" s="3" t="s">
        <v>372</v>
      </c>
      <c r="AA149" s="3" t="s">
        <v>79</v>
      </c>
      <c r="AB149" s="3" t="s">
        <v>201</v>
      </c>
      <c r="AC149" s="3" t="s">
        <v>1265</v>
      </c>
      <c r="AD149" s="14">
        <v>45328</v>
      </c>
      <c r="AE149" s="14">
        <v>45809</v>
      </c>
      <c r="AF149" s="3"/>
    </row>
    <row r="150" spans="1:32" ht="52.9" hidden="1">
      <c r="A150" s="3" t="s">
        <v>1168</v>
      </c>
      <c r="B150" s="3" t="s">
        <v>1169</v>
      </c>
      <c r="C150" s="3" t="s">
        <v>1266</v>
      </c>
      <c r="D150" s="3" t="s">
        <v>59</v>
      </c>
      <c r="E150" s="3" t="s">
        <v>36</v>
      </c>
      <c r="F150" s="3" t="s">
        <v>274</v>
      </c>
      <c r="G150" s="3" t="s">
        <v>37</v>
      </c>
      <c r="H150" s="3" t="s">
        <v>78</v>
      </c>
      <c r="I150" s="3" t="s">
        <v>1171</v>
      </c>
      <c r="J150" s="3" t="s">
        <v>223</v>
      </c>
      <c r="K150" s="3" t="s">
        <v>41</v>
      </c>
      <c r="L150" s="3" t="s">
        <v>1172</v>
      </c>
      <c r="M150" s="3" t="s">
        <v>320</v>
      </c>
      <c r="N150" s="3" t="s">
        <v>44</v>
      </c>
      <c r="O150" s="3" t="s">
        <v>100</v>
      </c>
      <c r="P150" s="3" t="s">
        <v>1267</v>
      </c>
      <c r="Q150" s="3" t="s">
        <v>1268</v>
      </c>
      <c r="R150" s="3" t="s">
        <v>467</v>
      </c>
      <c r="S150" s="3" t="s">
        <v>221</v>
      </c>
      <c r="T150" s="3" t="s">
        <v>37</v>
      </c>
      <c r="U150" s="3" t="s">
        <v>38</v>
      </c>
      <c r="V150" s="3" t="s">
        <v>562</v>
      </c>
      <c r="W150" s="3" t="s">
        <v>223</v>
      </c>
      <c r="X150" s="3" t="s">
        <v>41</v>
      </c>
      <c r="Y150" s="3" t="s">
        <v>563</v>
      </c>
      <c r="Z150" s="3" t="s">
        <v>564</v>
      </c>
      <c r="AA150" s="3" t="s">
        <v>79</v>
      </c>
      <c r="AB150" s="3" t="s">
        <v>64</v>
      </c>
      <c r="AC150" s="3" t="s">
        <v>1269</v>
      </c>
      <c r="AD150" s="14">
        <v>45321</v>
      </c>
      <c r="AE150" s="14">
        <v>45687</v>
      </c>
      <c r="AF150" s="3"/>
    </row>
    <row r="151" spans="1:32" ht="52.9" hidden="1">
      <c r="A151" s="3" t="s">
        <v>1168</v>
      </c>
      <c r="B151" s="3" t="s">
        <v>1169</v>
      </c>
      <c r="C151" s="3" t="s">
        <v>1270</v>
      </c>
      <c r="D151" s="3" t="s">
        <v>35</v>
      </c>
      <c r="E151" s="3" t="s">
        <v>36</v>
      </c>
      <c r="F151" s="3" t="s">
        <v>274</v>
      </c>
      <c r="G151" s="3" t="s">
        <v>37</v>
      </c>
      <c r="H151" s="3" t="s">
        <v>78</v>
      </c>
      <c r="I151" s="3" t="s">
        <v>1171</v>
      </c>
      <c r="J151" s="3" t="s">
        <v>223</v>
      </c>
      <c r="K151" s="3" t="s">
        <v>41</v>
      </c>
      <c r="L151" s="3" t="s">
        <v>1172</v>
      </c>
      <c r="M151" s="3" t="s">
        <v>320</v>
      </c>
      <c r="N151" s="3" t="s">
        <v>44</v>
      </c>
      <c r="O151" s="3" t="s">
        <v>100</v>
      </c>
      <c r="P151" s="3" t="s">
        <v>1267</v>
      </c>
      <c r="Q151" s="3" t="s">
        <v>1268</v>
      </c>
      <c r="R151" s="3" t="s">
        <v>467</v>
      </c>
      <c r="S151" s="3" t="s">
        <v>221</v>
      </c>
      <c r="T151" s="3" t="s">
        <v>37</v>
      </c>
      <c r="U151" s="3" t="s">
        <v>38</v>
      </c>
      <c r="V151" s="3" t="s">
        <v>562</v>
      </c>
      <c r="W151" s="3" t="s">
        <v>223</v>
      </c>
      <c r="X151" s="3" t="s">
        <v>41</v>
      </c>
      <c r="Y151" s="3" t="s">
        <v>563</v>
      </c>
      <c r="Z151" s="3" t="s">
        <v>564</v>
      </c>
      <c r="AA151" s="3" t="s">
        <v>79</v>
      </c>
      <c r="AB151" s="3" t="s">
        <v>64</v>
      </c>
      <c r="AC151" s="3" t="s">
        <v>1269</v>
      </c>
      <c r="AD151" s="14">
        <v>45321</v>
      </c>
      <c r="AE151" s="14">
        <v>45688</v>
      </c>
      <c r="AF151" s="3"/>
    </row>
    <row r="152" spans="1:32" ht="39.6" hidden="1">
      <c r="A152" s="3" t="s">
        <v>1168</v>
      </c>
      <c r="B152" s="3" t="s">
        <v>1169</v>
      </c>
      <c r="C152" s="3" t="s">
        <v>1271</v>
      </c>
      <c r="D152" s="3" t="s">
        <v>59</v>
      </c>
      <c r="E152" s="3" t="s">
        <v>36</v>
      </c>
      <c r="F152" s="3" t="s">
        <v>274</v>
      </c>
      <c r="G152" s="3" t="s">
        <v>37</v>
      </c>
      <c r="H152" s="3" t="s">
        <v>78</v>
      </c>
      <c r="I152" s="3" t="s">
        <v>1171</v>
      </c>
      <c r="J152" s="3" t="s">
        <v>223</v>
      </c>
      <c r="K152" s="3" t="s">
        <v>41</v>
      </c>
      <c r="L152" s="3" t="s">
        <v>1172</v>
      </c>
      <c r="M152" s="3" t="s">
        <v>320</v>
      </c>
      <c r="N152" s="3" t="s">
        <v>44</v>
      </c>
      <c r="O152" s="3" t="s">
        <v>100</v>
      </c>
      <c r="P152" s="3" t="s">
        <v>1272</v>
      </c>
      <c r="Q152" s="3" t="s">
        <v>1273</v>
      </c>
      <c r="R152" s="3" t="s">
        <v>36</v>
      </c>
      <c r="S152" s="3" t="s">
        <v>254</v>
      </c>
      <c r="T152" s="3" t="s">
        <v>37</v>
      </c>
      <c r="U152" s="3" t="s">
        <v>78</v>
      </c>
      <c r="V152" s="3" t="s">
        <v>1274</v>
      </c>
      <c r="W152" s="3" t="s">
        <v>223</v>
      </c>
      <c r="X152" s="3" t="s">
        <v>41</v>
      </c>
      <c r="Y152" s="3" t="s">
        <v>1275</v>
      </c>
      <c r="Z152" s="3" t="s">
        <v>200</v>
      </c>
      <c r="AA152" s="3" t="s">
        <v>44</v>
      </c>
      <c r="AB152" s="3" t="s">
        <v>201</v>
      </c>
      <c r="AC152" s="3" t="s">
        <v>1276</v>
      </c>
      <c r="AD152" s="14">
        <v>45316</v>
      </c>
      <c r="AE152" s="14">
        <v>45437</v>
      </c>
      <c r="AF152" s="3"/>
    </row>
    <row r="153" spans="1:32" ht="39.6" hidden="1">
      <c r="A153" s="3" t="s">
        <v>1168</v>
      </c>
      <c r="B153" s="3" t="s">
        <v>1169</v>
      </c>
      <c r="C153" s="3"/>
      <c r="D153" s="3" t="s">
        <v>59</v>
      </c>
      <c r="E153" s="3" t="s">
        <v>36</v>
      </c>
      <c r="F153" s="3" t="s">
        <v>274</v>
      </c>
      <c r="G153" s="3" t="s">
        <v>37</v>
      </c>
      <c r="H153" s="3" t="s">
        <v>78</v>
      </c>
      <c r="I153" s="3" t="s">
        <v>1171</v>
      </c>
      <c r="J153" s="3" t="s">
        <v>223</v>
      </c>
      <c r="K153" s="3" t="s">
        <v>41</v>
      </c>
      <c r="L153" s="3" t="s">
        <v>1172</v>
      </c>
      <c r="M153" s="3" t="s">
        <v>320</v>
      </c>
      <c r="N153" s="3" t="s">
        <v>44</v>
      </c>
      <c r="O153" s="3" t="s">
        <v>100</v>
      </c>
      <c r="P153" s="3" t="s">
        <v>1277</v>
      </c>
      <c r="Q153" s="3" t="s">
        <v>1278</v>
      </c>
      <c r="R153" s="3" t="s">
        <v>36</v>
      </c>
      <c r="S153" s="3" t="s">
        <v>221</v>
      </c>
      <c r="T153" s="3" t="s">
        <v>82</v>
      </c>
      <c r="U153" s="3" t="s">
        <v>38</v>
      </c>
      <c r="V153" s="3" t="s">
        <v>1279</v>
      </c>
      <c r="W153" s="3" t="s">
        <v>223</v>
      </c>
      <c r="X153" s="3" t="s">
        <v>41</v>
      </c>
      <c r="Y153" s="3" t="s">
        <v>1280</v>
      </c>
      <c r="Z153" s="3" t="s">
        <v>1281</v>
      </c>
      <c r="AA153" s="3" t="s">
        <v>44</v>
      </c>
      <c r="AB153" s="3" t="s">
        <v>1282</v>
      </c>
      <c r="AC153" s="3" t="s">
        <v>1283</v>
      </c>
      <c r="AD153" s="14">
        <v>45323</v>
      </c>
      <c r="AE153" s="14">
        <v>45535</v>
      </c>
      <c r="AF153" s="3"/>
    </row>
    <row r="154" spans="1:32" ht="39.6" hidden="1">
      <c r="A154" s="3" t="s">
        <v>1284</v>
      </c>
      <c r="B154" s="3" t="s">
        <v>1285</v>
      </c>
      <c r="C154" s="3" t="s">
        <v>1286</v>
      </c>
      <c r="D154" s="3" t="s">
        <v>35</v>
      </c>
      <c r="E154" s="3" t="s">
        <v>36</v>
      </c>
      <c r="F154" s="3" t="s">
        <v>221</v>
      </c>
      <c r="G154" s="3" t="s">
        <v>37</v>
      </c>
      <c r="H154" s="3" t="s">
        <v>38</v>
      </c>
      <c r="I154" s="3" t="s">
        <v>1287</v>
      </c>
      <c r="J154" s="3" t="s">
        <v>223</v>
      </c>
      <c r="K154" s="3" t="s">
        <v>41</v>
      </c>
      <c r="L154" s="3" t="s">
        <v>1288</v>
      </c>
      <c r="M154" s="3" t="s">
        <v>1289</v>
      </c>
      <c r="N154" s="3" t="s">
        <v>44</v>
      </c>
      <c r="O154" s="3" t="s">
        <v>240</v>
      </c>
      <c r="P154" s="3" t="s">
        <v>1290</v>
      </c>
      <c r="Q154" s="3" t="s">
        <v>1291</v>
      </c>
      <c r="R154" s="3" t="s">
        <v>36</v>
      </c>
      <c r="S154" s="3" t="s">
        <v>221</v>
      </c>
      <c r="T154" s="3" t="s">
        <v>37</v>
      </c>
      <c r="U154" s="3" t="s">
        <v>49</v>
      </c>
      <c r="V154" s="3" t="s">
        <v>1292</v>
      </c>
      <c r="W154" s="3" t="s">
        <v>223</v>
      </c>
      <c r="X154" s="3" t="s">
        <v>41</v>
      </c>
      <c r="Y154" s="3" t="s">
        <v>436</v>
      </c>
      <c r="Z154" s="3" t="s">
        <v>511</v>
      </c>
      <c r="AA154" s="3" t="s">
        <v>79</v>
      </c>
      <c r="AB154" s="3" t="s">
        <v>506</v>
      </c>
      <c r="AC154" s="3" t="s">
        <v>1293</v>
      </c>
      <c r="AD154" s="14">
        <v>44662</v>
      </c>
      <c r="AE154" s="14"/>
      <c r="AF154" s="3"/>
    </row>
    <row r="155" spans="1:32" ht="39.6" hidden="1">
      <c r="A155" s="3" t="s">
        <v>1294</v>
      </c>
      <c r="B155" s="3" t="s">
        <v>1295</v>
      </c>
      <c r="C155" s="3"/>
      <c r="D155" s="3" t="s">
        <v>35</v>
      </c>
      <c r="E155" s="3" t="s">
        <v>36</v>
      </c>
      <c r="F155" s="3" t="s">
        <v>247</v>
      </c>
      <c r="G155" s="3" t="s">
        <v>37</v>
      </c>
      <c r="H155" s="3" t="s">
        <v>38</v>
      </c>
      <c r="I155" s="3" t="s">
        <v>1296</v>
      </c>
      <c r="J155" s="3" t="s">
        <v>223</v>
      </c>
      <c r="K155" s="3" t="s">
        <v>41</v>
      </c>
      <c r="L155" s="3" t="s">
        <v>1297</v>
      </c>
      <c r="M155" s="3" t="s">
        <v>1298</v>
      </c>
      <c r="N155" s="3" t="s">
        <v>123</v>
      </c>
      <c r="O155" s="3" t="s">
        <v>752</v>
      </c>
      <c r="P155" s="3" t="s">
        <v>1299</v>
      </c>
      <c r="Q155" s="3" t="s">
        <v>1300</v>
      </c>
      <c r="R155" s="3" t="s">
        <v>36</v>
      </c>
      <c r="S155" s="3" t="s">
        <v>247</v>
      </c>
      <c r="T155" s="3" t="s">
        <v>37</v>
      </c>
      <c r="U155" s="3" t="s">
        <v>38</v>
      </c>
      <c r="V155" s="3" t="s">
        <v>1301</v>
      </c>
      <c r="W155" s="3" t="s">
        <v>223</v>
      </c>
      <c r="X155" s="3" t="s">
        <v>41</v>
      </c>
      <c r="Y155" s="3" t="s">
        <v>1302</v>
      </c>
      <c r="Z155" s="3" t="s">
        <v>1303</v>
      </c>
      <c r="AA155" s="3" t="s">
        <v>79</v>
      </c>
      <c r="AB155" s="3" t="s">
        <v>752</v>
      </c>
      <c r="AC155" s="3" t="s">
        <v>1304</v>
      </c>
      <c r="AD155" s="14">
        <v>44440</v>
      </c>
      <c r="AE155" s="14">
        <v>45657</v>
      </c>
      <c r="AF155" s="3"/>
    </row>
    <row r="156" spans="1:32" ht="39.6" hidden="1">
      <c r="A156" s="3" t="s">
        <v>1305</v>
      </c>
      <c r="B156" s="3" t="s">
        <v>1306</v>
      </c>
      <c r="C156" s="3"/>
      <c r="D156" s="3" t="s">
        <v>59</v>
      </c>
      <c r="E156" s="3" t="s">
        <v>36</v>
      </c>
      <c r="F156" s="3" t="s">
        <v>221</v>
      </c>
      <c r="G156" s="3" t="s">
        <v>37</v>
      </c>
      <c r="H156" s="3" t="s">
        <v>49</v>
      </c>
      <c r="I156" s="3" t="s">
        <v>1307</v>
      </c>
      <c r="J156" s="3" t="s">
        <v>223</v>
      </c>
      <c r="K156" s="3" t="s">
        <v>41</v>
      </c>
      <c r="L156" s="3" t="s">
        <v>1308</v>
      </c>
      <c r="M156" s="3" t="s">
        <v>1309</v>
      </c>
      <c r="N156" s="3" t="s">
        <v>63</v>
      </c>
      <c r="O156" s="3" t="s">
        <v>1310</v>
      </c>
      <c r="P156" s="3" t="s">
        <v>1311</v>
      </c>
      <c r="Q156" s="3" t="s">
        <v>1312</v>
      </c>
      <c r="R156" s="3" t="s">
        <v>36</v>
      </c>
      <c r="S156" s="3" t="s">
        <v>221</v>
      </c>
      <c r="T156" s="3" t="s">
        <v>37</v>
      </c>
      <c r="U156" s="3" t="s">
        <v>38</v>
      </c>
      <c r="V156" s="3" t="s">
        <v>1313</v>
      </c>
      <c r="W156" s="3" t="s">
        <v>223</v>
      </c>
      <c r="X156" s="3" t="s">
        <v>41</v>
      </c>
      <c r="Y156" s="3" t="s">
        <v>1314</v>
      </c>
      <c r="Z156" s="3" t="s">
        <v>684</v>
      </c>
      <c r="AA156" s="3" t="s">
        <v>53</v>
      </c>
      <c r="AB156" s="3" t="s">
        <v>54</v>
      </c>
      <c r="AC156" s="3" t="s">
        <v>1315</v>
      </c>
      <c r="AD156" s="14">
        <v>45324</v>
      </c>
      <c r="AE156" s="14">
        <v>45504</v>
      </c>
      <c r="AF156" s="3"/>
    </row>
    <row r="157" spans="1:32" ht="118.9" hidden="1">
      <c r="A157" s="3" t="s">
        <v>1299</v>
      </c>
      <c r="B157" s="3" t="s">
        <v>1300</v>
      </c>
      <c r="C157" s="3" t="s">
        <v>1316</v>
      </c>
      <c r="D157" s="3" t="s">
        <v>59</v>
      </c>
      <c r="E157" s="3" t="s">
        <v>36</v>
      </c>
      <c r="F157" s="3" t="s">
        <v>247</v>
      </c>
      <c r="G157" s="3" t="s">
        <v>37</v>
      </c>
      <c r="H157" s="3" t="s">
        <v>38</v>
      </c>
      <c r="I157" s="3" t="s">
        <v>1301</v>
      </c>
      <c r="J157" s="3" t="s">
        <v>223</v>
      </c>
      <c r="K157" s="3" t="s">
        <v>41</v>
      </c>
      <c r="L157" s="3" t="s">
        <v>1302</v>
      </c>
      <c r="M157" s="3" t="s">
        <v>1303</v>
      </c>
      <c r="N157" s="3" t="s">
        <v>79</v>
      </c>
      <c r="O157" s="3" t="s">
        <v>752</v>
      </c>
      <c r="P157" s="3" t="s">
        <v>1317</v>
      </c>
      <c r="Q157" s="3" t="s">
        <v>1318</v>
      </c>
      <c r="R157" s="3"/>
      <c r="S157" s="3" t="s">
        <v>247</v>
      </c>
      <c r="T157" s="3" t="s">
        <v>37</v>
      </c>
      <c r="U157" s="3" t="s">
        <v>49</v>
      </c>
      <c r="V157" s="3"/>
      <c r="W157" s="3" t="s">
        <v>223</v>
      </c>
      <c r="X157" s="3"/>
      <c r="Y157" s="3"/>
      <c r="Z157" s="3"/>
      <c r="AA157" s="3" t="s">
        <v>63</v>
      </c>
      <c r="AB157" s="3"/>
      <c r="AC157" s="3" t="s">
        <v>1319</v>
      </c>
      <c r="AD157" s="14">
        <v>45352</v>
      </c>
      <c r="AE157" s="14">
        <v>45505</v>
      </c>
      <c r="AF157" s="3" t="s">
        <v>632</v>
      </c>
    </row>
    <row r="158" spans="1:32" ht="39.6" hidden="1">
      <c r="A158" s="3" t="s">
        <v>1320</v>
      </c>
      <c r="B158" s="3" t="s">
        <v>1321</v>
      </c>
      <c r="C158" s="3" t="s">
        <v>1322</v>
      </c>
      <c r="D158" s="3" t="s">
        <v>59</v>
      </c>
      <c r="E158" s="3" t="s">
        <v>36</v>
      </c>
      <c r="F158" s="3" t="s">
        <v>274</v>
      </c>
      <c r="G158" s="3" t="s">
        <v>82</v>
      </c>
      <c r="H158" s="3" t="s">
        <v>38</v>
      </c>
      <c r="I158" s="3" t="s">
        <v>1323</v>
      </c>
      <c r="J158" s="3" t="s">
        <v>223</v>
      </c>
      <c r="K158" s="3" t="s">
        <v>41</v>
      </c>
      <c r="L158" s="3" t="s">
        <v>1324</v>
      </c>
      <c r="M158" s="3" t="s">
        <v>1325</v>
      </c>
      <c r="N158" s="3" t="s">
        <v>44</v>
      </c>
      <c r="O158" s="3" t="s">
        <v>1239</v>
      </c>
      <c r="P158" s="3" t="s">
        <v>1326</v>
      </c>
      <c r="Q158" s="3" t="s">
        <v>1327</v>
      </c>
      <c r="R158" s="3" t="s">
        <v>36</v>
      </c>
      <c r="S158" s="3" t="s">
        <v>274</v>
      </c>
      <c r="T158" s="3" t="s">
        <v>82</v>
      </c>
      <c r="U158" s="3" t="s">
        <v>49</v>
      </c>
      <c r="V158" s="3" t="s">
        <v>1328</v>
      </c>
      <c r="W158" s="3" t="s">
        <v>223</v>
      </c>
      <c r="X158" s="3" t="s">
        <v>41</v>
      </c>
      <c r="Y158" s="3" t="s">
        <v>1329</v>
      </c>
      <c r="Z158" s="3" t="s">
        <v>1330</v>
      </c>
      <c r="AA158" s="3" t="s">
        <v>79</v>
      </c>
      <c r="AB158" s="3" t="s">
        <v>1239</v>
      </c>
      <c r="AC158" s="3" t="s">
        <v>1331</v>
      </c>
      <c r="AD158" s="14">
        <v>45292</v>
      </c>
      <c r="AE158" s="14"/>
      <c r="AF158" s="3"/>
    </row>
    <row r="159" spans="1:32" ht="66" hidden="1">
      <c r="A159" s="3" t="s">
        <v>1332</v>
      </c>
      <c r="B159" s="3" t="s">
        <v>1333</v>
      </c>
      <c r="C159" s="3" t="s">
        <v>1334</v>
      </c>
      <c r="D159" s="3" t="s">
        <v>35</v>
      </c>
      <c r="E159" s="3" t="s">
        <v>36</v>
      </c>
      <c r="F159" s="3" t="s">
        <v>274</v>
      </c>
      <c r="G159" s="3" t="s">
        <v>37</v>
      </c>
      <c r="H159" s="3" t="s">
        <v>78</v>
      </c>
      <c r="I159" s="3" t="s">
        <v>1335</v>
      </c>
      <c r="J159" s="3" t="s">
        <v>223</v>
      </c>
      <c r="K159" s="3" t="s">
        <v>41</v>
      </c>
      <c r="L159" s="3" t="s">
        <v>1336</v>
      </c>
      <c r="M159" s="3" t="s">
        <v>951</v>
      </c>
      <c r="N159" s="3" t="s">
        <v>123</v>
      </c>
      <c r="O159" s="3" t="s">
        <v>295</v>
      </c>
      <c r="P159" s="3" t="s">
        <v>1337</v>
      </c>
      <c r="Q159" s="3" t="s">
        <v>1338</v>
      </c>
      <c r="R159" s="3" t="s">
        <v>36</v>
      </c>
      <c r="S159" s="3" t="s">
        <v>221</v>
      </c>
      <c r="T159" s="3" t="s">
        <v>82</v>
      </c>
      <c r="U159" s="3" t="s">
        <v>38</v>
      </c>
      <c r="V159" s="3" t="s">
        <v>1339</v>
      </c>
      <c r="W159" s="3" t="s">
        <v>223</v>
      </c>
      <c r="X159" s="3" t="s">
        <v>41</v>
      </c>
      <c r="Y159" s="3" t="s">
        <v>1340</v>
      </c>
      <c r="Z159" s="3" t="s">
        <v>320</v>
      </c>
      <c r="AA159" s="3" t="s">
        <v>44</v>
      </c>
      <c r="AB159" s="3" t="s">
        <v>100</v>
      </c>
      <c r="AC159" s="3" t="s">
        <v>1341</v>
      </c>
      <c r="AD159" s="14">
        <v>45352</v>
      </c>
      <c r="AE159" s="14">
        <v>45657</v>
      </c>
      <c r="AF159" s="3"/>
    </row>
    <row r="160" spans="1:32" ht="39.6" hidden="1">
      <c r="A160" s="3" t="s">
        <v>1046</v>
      </c>
      <c r="B160" s="3" t="s">
        <v>1047</v>
      </c>
      <c r="C160" s="3" t="s">
        <v>1342</v>
      </c>
      <c r="D160" s="3" t="s">
        <v>35</v>
      </c>
      <c r="E160" s="3" t="s">
        <v>36</v>
      </c>
      <c r="F160" s="3" t="s">
        <v>221</v>
      </c>
      <c r="G160" s="3" t="s">
        <v>37</v>
      </c>
      <c r="H160" s="3" t="s">
        <v>38</v>
      </c>
      <c r="I160" s="3" t="s">
        <v>1048</v>
      </c>
      <c r="J160" s="3" t="s">
        <v>223</v>
      </c>
      <c r="K160" s="3" t="s">
        <v>41</v>
      </c>
      <c r="L160" s="3" t="s">
        <v>1049</v>
      </c>
      <c r="M160" s="3" t="s">
        <v>200</v>
      </c>
      <c r="N160" s="3" t="s">
        <v>44</v>
      </c>
      <c r="O160" s="3" t="s">
        <v>201</v>
      </c>
      <c r="P160" s="3" t="s">
        <v>1343</v>
      </c>
      <c r="Q160" s="3" t="s">
        <v>1344</v>
      </c>
      <c r="R160" s="3" t="s">
        <v>36</v>
      </c>
      <c r="S160" s="3" t="s">
        <v>221</v>
      </c>
      <c r="T160" s="3" t="s">
        <v>37</v>
      </c>
      <c r="U160" s="3" t="s">
        <v>38</v>
      </c>
      <c r="V160" s="3" t="s">
        <v>1048</v>
      </c>
      <c r="W160" s="3" t="s">
        <v>223</v>
      </c>
      <c r="X160" s="3" t="s">
        <v>41</v>
      </c>
      <c r="Y160" s="3" t="s">
        <v>1049</v>
      </c>
      <c r="Z160" s="3" t="s">
        <v>1029</v>
      </c>
      <c r="AA160" s="3" t="s">
        <v>53</v>
      </c>
      <c r="AB160" s="3" t="s">
        <v>54</v>
      </c>
      <c r="AC160" s="3" t="s">
        <v>1345</v>
      </c>
      <c r="AD160" s="14">
        <v>45328</v>
      </c>
      <c r="AE160" s="14">
        <v>45390</v>
      </c>
      <c r="AF160" s="3"/>
    </row>
    <row r="161" spans="1:32" ht="39.6" hidden="1">
      <c r="A161" s="3" t="s">
        <v>665</v>
      </c>
      <c r="B161" s="3" t="s">
        <v>666</v>
      </c>
      <c r="C161" s="3"/>
      <c r="D161" s="3" t="s">
        <v>593</v>
      </c>
      <c r="E161" s="3" t="s">
        <v>36</v>
      </c>
      <c r="F161" s="3" t="s">
        <v>221</v>
      </c>
      <c r="G161" s="3" t="s">
        <v>37</v>
      </c>
      <c r="H161" s="3" t="s">
        <v>78</v>
      </c>
      <c r="I161" s="3" t="s">
        <v>667</v>
      </c>
      <c r="J161" s="3" t="s">
        <v>223</v>
      </c>
      <c r="K161" s="3" t="s">
        <v>41</v>
      </c>
      <c r="L161" s="3" t="s">
        <v>668</v>
      </c>
      <c r="M161" s="3" t="s">
        <v>669</v>
      </c>
      <c r="N161" s="3" t="s">
        <v>123</v>
      </c>
      <c r="O161" s="3" t="s">
        <v>270</v>
      </c>
      <c r="P161" s="3" t="s">
        <v>1346</v>
      </c>
      <c r="Q161" s="3" t="s">
        <v>1347</v>
      </c>
      <c r="R161" s="3" t="s">
        <v>36</v>
      </c>
      <c r="S161" s="3" t="s">
        <v>221</v>
      </c>
      <c r="T161" s="3" t="s">
        <v>37</v>
      </c>
      <c r="U161" s="3" t="s">
        <v>38</v>
      </c>
      <c r="V161" s="3" t="s">
        <v>1348</v>
      </c>
      <c r="W161" s="3" t="s">
        <v>223</v>
      </c>
      <c r="X161" s="3" t="s">
        <v>41</v>
      </c>
      <c r="Y161" s="3" t="s">
        <v>1349</v>
      </c>
      <c r="Z161" s="3" t="s">
        <v>480</v>
      </c>
      <c r="AA161" s="3" t="s">
        <v>44</v>
      </c>
      <c r="AB161" s="3" t="s">
        <v>201</v>
      </c>
      <c r="AC161" s="3" t="s">
        <v>1350</v>
      </c>
      <c r="AD161" s="14">
        <v>45322</v>
      </c>
      <c r="AE161" s="14">
        <v>45473</v>
      </c>
      <c r="AF161" s="3"/>
    </row>
    <row r="162" spans="1:32" ht="145.15" hidden="1">
      <c r="A162" s="3" t="s">
        <v>624</v>
      </c>
      <c r="B162" s="3" t="s">
        <v>625</v>
      </c>
      <c r="C162" s="3" t="s">
        <v>1351</v>
      </c>
      <c r="D162" s="3" t="s">
        <v>59</v>
      </c>
      <c r="E162" s="3" t="s">
        <v>36</v>
      </c>
      <c r="F162" s="3" t="s">
        <v>247</v>
      </c>
      <c r="G162" s="3" t="s">
        <v>82</v>
      </c>
      <c r="H162" s="3" t="s">
        <v>49</v>
      </c>
      <c r="I162" s="3" t="s">
        <v>626</v>
      </c>
      <c r="J162" s="3" t="s">
        <v>223</v>
      </c>
      <c r="K162" s="3" t="s">
        <v>356</v>
      </c>
      <c r="L162" s="3" t="s">
        <v>627</v>
      </c>
      <c r="M162" s="3" t="s">
        <v>628</v>
      </c>
      <c r="N162" s="3" t="s">
        <v>53</v>
      </c>
      <c r="O162" s="3" t="s">
        <v>278</v>
      </c>
      <c r="P162" s="3" t="s">
        <v>1352</v>
      </c>
      <c r="Q162" s="3" t="s">
        <v>1353</v>
      </c>
      <c r="R162" s="3"/>
      <c r="S162" s="3" t="s">
        <v>221</v>
      </c>
      <c r="T162" s="3" t="s">
        <v>37</v>
      </c>
      <c r="U162" s="3" t="s">
        <v>73</v>
      </c>
      <c r="V162" s="3"/>
      <c r="W162" s="3" t="s">
        <v>223</v>
      </c>
      <c r="X162" s="3"/>
      <c r="Y162" s="3"/>
      <c r="Z162" s="3"/>
      <c r="AA162" s="3" t="s">
        <v>281</v>
      </c>
      <c r="AB162" s="3"/>
      <c r="AC162" s="3" t="s">
        <v>1354</v>
      </c>
      <c r="AD162" s="14">
        <v>45247</v>
      </c>
      <c r="AE162" s="14">
        <v>45626</v>
      </c>
      <c r="AF162" s="3" t="s">
        <v>163</v>
      </c>
    </row>
    <row r="163" spans="1:32" ht="52.9" hidden="1">
      <c r="A163" s="3" t="s">
        <v>1355</v>
      </c>
      <c r="B163" s="3" t="s">
        <v>1356</v>
      </c>
      <c r="C163" s="3" t="s">
        <v>1357</v>
      </c>
      <c r="D163" s="3" t="s">
        <v>35</v>
      </c>
      <c r="E163" s="3" t="s">
        <v>36</v>
      </c>
      <c r="F163" s="3" t="s">
        <v>221</v>
      </c>
      <c r="G163" s="3" t="s">
        <v>82</v>
      </c>
      <c r="H163" s="3" t="s">
        <v>38</v>
      </c>
      <c r="I163" s="3" t="s">
        <v>1358</v>
      </c>
      <c r="J163" s="3" t="s">
        <v>223</v>
      </c>
      <c r="K163" s="3" t="s">
        <v>41</v>
      </c>
      <c r="L163" s="3" t="s">
        <v>809</v>
      </c>
      <c r="M163" s="3" t="s">
        <v>810</v>
      </c>
      <c r="N163" s="3" t="s">
        <v>44</v>
      </c>
      <c r="O163" s="3" t="s">
        <v>811</v>
      </c>
      <c r="P163" s="3" t="s">
        <v>1020</v>
      </c>
      <c r="Q163" s="3" t="s">
        <v>1021</v>
      </c>
      <c r="R163" s="3" t="s">
        <v>36</v>
      </c>
      <c r="S163" s="3" t="s">
        <v>221</v>
      </c>
      <c r="T163" s="3" t="s">
        <v>37</v>
      </c>
      <c r="U163" s="3" t="s">
        <v>38</v>
      </c>
      <c r="V163" s="3" t="s">
        <v>1022</v>
      </c>
      <c r="W163" s="3" t="s">
        <v>223</v>
      </c>
      <c r="X163" s="3" t="s">
        <v>41</v>
      </c>
      <c r="Y163" s="3" t="s">
        <v>1023</v>
      </c>
      <c r="Z163" s="3" t="s">
        <v>1024</v>
      </c>
      <c r="AA163" s="3" t="s">
        <v>53</v>
      </c>
      <c r="AB163" s="3" t="s">
        <v>811</v>
      </c>
      <c r="AC163" s="3" t="s">
        <v>1359</v>
      </c>
      <c r="AD163" s="14">
        <v>45308</v>
      </c>
      <c r="AE163" s="14">
        <v>45473</v>
      </c>
      <c r="AF163" s="3"/>
    </row>
    <row r="164" spans="1:32" ht="158.44999999999999" hidden="1">
      <c r="A164" s="3" t="s">
        <v>1360</v>
      </c>
      <c r="B164" s="3" t="s">
        <v>1361</v>
      </c>
      <c r="C164" s="3" t="s">
        <v>1362</v>
      </c>
      <c r="D164" s="3" t="s">
        <v>35</v>
      </c>
      <c r="E164" s="3" t="s">
        <v>36</v>
      </c>
      <c r="F164" s="3" t="s">
        <v>221</v>
      </c>
      <c r="G164" s="3" t="s">
        <v>37</v>
      </c>
      <c r="H164" s="3" t="s">
        <v>38</v>
      </c>
      <c r="I164" s="3" t="s">
        <v>1363</v>
      </c>
      <c r="J164" s="3" t="s">
        <v>223</v>
      </c>
      <c r="K164" s="3" t="s">
        <v>41</v>
      </c>
      <c r="L164" s="3" t="s">
        <v>1364</v>
      </c>
      <c r="M164" s="3" t="s">
        <v>372</v>
      </c>
      <c r="N164" s="3" t="s">
        <v>44</v>
      </c>
      <c r="O164" s="3" t="s">
        <v>201</v>
      </c>
      <c r="P164" s="3" t="s">
        <v>1365</v>
      </c>
      <c r="Q164" s="3" t="s">
        <v>1366</v>
      </c>
      <c r="R164" s="3" t="s">
        <v>467</v>
      </c>
      <c r="S164" s="3" t="s">
        <v>221</v>
      </c>
      <c r="T164" s="3" t="s">
        <v>82</v>
      </c>
      <c r="U164" s="3" t="s">
        <v>49</v>
      </c>
      <c r="V164" s="3" t="s">
        <v>1367</v>
      </c>
      <c r="W164" s="3" t="s">
        <v>223</v>
      </c>
      <c r="X164" s="3" t="s">
        <v>41</v>
      </c>
      <c r="Y164" s="3" t="s">
        <v>1368</v>
      </c>
      <c r="Z164" s="3" t="s">
        <v>470</v>
      </c>
      <c r="AA164" s="3" t="s">
        <v>79</v>
      </c>
      <c r="AB164" s="3" t="s">
        <v>116</v>
      </c>
      <c r="AC164" s="3" t="s">
        <v>1369</v>
      </c>
      <c r="AD164" s="14">
        <v>45310</v>
      </c>
      <c r="AE164" s="14">
        <v>45657</v>
      </c>
      <c r="AF164" s="3"/>
    </row>
    <row r="165" spans="1:32" ht="92.45" hidden="1">
      <c r="A165" s="3" t="s">
        <v>1370</v>
      </c>
      <c r="B165" s="3" t="s">
        <v>1371</v>
      </c>
      <c r="C165" s="3"/>
      <c r="D165" s="3" t="s">
        <v>59</v>
      </c>
      <c r="E165" s="3" t="s">
        <v>36</v>
      </c>
      <c r="F165" s="3" t="s">
        <v>274</v>
      </c>
      <c r="G165" s="3" t="s">
        <v>82</v>
      </c>
      <c r="H165" s="3" t="s">
        <v>78</v>
      </c>
      <c r="I165" s="3" t="s">
        <v>1372</v>
      </c>
      <c r="J165" s="3" t="s">
        <v>223</v>
      </c>
      <c r="K165" s="3" t="s">
        <v>1373</v>
      </c>
      <c r="L165" s="3" t="s">
        <v>1374</v>
      </c>
      <c r="M165" s="3" t="s">
        <v>1375</v>
      </c>
      <c r="N165" s="3" t="s">
        <v>123</v>
      </c>
      <c r="O165" s="3" t="s">
        <v>295</v>
      </c>
      <c r="P165" s="3" t="s">
        <v>1376</v>
      </c>
      <c r="Q165" s="3" t="s">
        <v>1377</v>
      </c>
      <c r="R165" s="3" t="s">
        <v>36</v>
      </c>
      <c r="S165" s="3" t="s">
        <v>247</v>
      </c>
      <c r="T165" s="3" t="s">
        <v>37</v>
      </c>
      <c r="U165" s="3" t="s">
        <v>78</v>
      </c>
      <c r="V165" s="3" t="s">
        <v>1378</v>
      </c>
      <c r="W165" s="3" t="s">
        <v>223</v>
      </c>
      <c r="X165" s="3" t="s">
        <v>41</v>
      </c>
      <c r="Y165" s="3" t="s">
        <v>1379</v>
      </c>
      <c r="Z165" s="3" t="s">
        <v>886</v>
      </c>
      <c r="AA165" s="3" t="s">
        <v>123</v>
      </c>
      <c r="AB165" s="3" t="s">
        <v>116</v>
      </c>
      <c r="AC165" s="3" t="s">
        <v>1380</v>
      </c>
      <c r="AD165" s="14">
        <v>45352</v>
      </c>
      <c r="AE165" s="14">
        <v>45657</v>
      </c>
      <c r="AF165" s="3" t="s">
        <v>632</v>
      </c>
    </row>
    <row r="166" spans="1:32" ht="39.6" hidden="1">
      <c r="A166" s="3" t="s">
        <v>1381</v>
      </c>
      <c r="B166" s="3" t="s">
        <v>1382</v>
      </c>
      <c r="C166" s="3" t="s">
        <v>141</v>
      </c>
      <c r="D166" s="3" t="s">
        <v>35</v>
      </c>
      <c r="E166" s="3" t="s">
        <v>36</v>
      </c>
      <c r="F166" s="3" t="s">
        <v>221</v>
      </c>
      <c r="G166" s="3" t="s">
        <v>37</v>
      </c>
      <c r="H166" s="3" t="s">
        <v>49</v>
      </c>
      <c r="I166" s="3" t="s">
        <v>1383</v>
      </c>
      <c r="J166" s="3" t="s">
        <v>223</v>
      </c>
      <c r="K166" s="3" t="s">
        <v>41</v>
      </c>
      <c r="L166" s="3" t="s">
        <v>1384</v>
      </c>
      <c r="M166" s="3" t="s">
        <v>480</v>
      </c>
      <c r="N166" s="3" t="s">
        <v>53</v>
      </c>
      <c r="O166" s="3" t="s">
        <v>201</v>
      </c>
      <c r="P166" s="3" t="s">
        <v>1385</v>
      </c>
      <c r="Q166" s="3" t="s">
        <v>1386</v>
      </c>
      <c r="R166" s="3" t="s">
        <v>36</v>
      </c>
      <c r="S166" s="3" t="s">
        <v>221</v>
      </c>
      <c r="T166" s="3" t="s">
        <v>37</v>
      </c>
      <c r="U166" s="3" t="s">
        <v>49</v>
      </c>
      <c r="V166" s="3" t="s">
        <v>1387</v>
      </c>
      <c r="W166" s="3" t="s">
        <v>223</v>
      </c>
      <c r="X166" s="3" t="s">
        <v>41</v>
      </c>
      <c r="Y166" s="3" t="s">
        <v>1388</v>
      </c>
      <c r="Z166" s="3" t="s">
        <v>1389</v>
      </c>
      <c r="AA166" s="3" t="s">
        <v>63</v>
      </c>
      <c r="AB166" s="3" t="s">
        <v>54</v>
      </c>
      <c r="AC166" s="3" t="s">
        <v>1390</v>
      </c>
      <c r="AD166" s="14">
        <v>45335</v>
      </c>
      <c r="AE166" s="14">
        <v>45657</v>
      </c>
      <c r="AF166" s="3"/>
    </row>
    <row r="167" spans="1:32" ht="79.150000000000006" hidden="1">
      <c r="A167" s="3" t="s">
        <v>1391</v>
      </c>
      <c r="B167" s="3" t="s">
        <v>1392</v>
      </c>
      <c r="C167" s="3" t="s">
        <v>1393</v>
      </c>
      <c r="D167" s="3" t="s">
        <v>59</v>
      </c>
      <c r="E167" s="3" t="s">
        <v>36</v>
      </c>
      <c r="F167" s="3" t="s">
        <v>221</v>
      </c>
      <c r="G167" s="3" t="s">
        <v>37</v>
      </c>
      <c r="H167" s="3" t="s">
        <v>38</v>
      </c>
      <c r="I167" s="3" t="s">
        <v>1394</v>
      </c>
      <c r="J167" s="3" t="s">
        <v>223</v>
      </c>
      <c r="K167" s="3" t="s">
        <v>41</v>
      </c>
      <c r="L167" s="3" t="s">
        <v>249</v>
      </c>
      <c r="M167" s="3" t="s">
        <v>250</v>
      </c>
      <c r="N167" s="3" t="s">
        <v>79</v>
      </c>
      <c r="O167" s="3" t="s">
        <v>251</v>
      </c>
      <c r="P167" s="3" t="s">
        <v>1395</v>
      </c>
      <c r="Q167" s="3" t="s">
        <v>1396</v>
      </c>
      <c r="R167" s="3" t="s">
        <v>36</v>
      </c>
      <c r="S167" s="3" t="s">
        <v>254</v>
      </c>
      <c r="T167" s="3" t="s">
        <v>37</v>
      </c>
      <c r="U167" s="3" t="s">
        <v>49</v>
      </c>
      <c r="V167" s="3" t="s">
        <v>1397</v>
      </c>
      <c r="W167" s="3" t="s">
        <v>223</v>
      </c>
      <c r="X167" s="3" t="s">
        <v>41</v>
      </c>
      <c r="Y167" s="3" t="s">
        <v>1398</v>
      </c>
      <c r="Z167" s="3" t="s">
        <v>1399</v>
      </c>
      <c r="AA167" s="3" t="s">
        <v>53</v>
      </c>
      <c r="AB167" s="3" t="s">
        <v>100</v>
      </c>
      <c r="AC167" s="3" t="s">
        <v>1400</v>
      </c>
      <c r="AD167" s="14">
        <v>45292</v>
      </c>
      <c r="AE167" s="14">
        <v>45657</v>
      </c>
      <c r="AF167" s="3"/>
    </row>
    <row r="168" spans="1:32" ht="79.150000000000006" hidden="1">
      <c r="A168" s="3" t="s">
        <v>1391</v>
      </c>
      <c r="B168" s="3" t="s">
        <v>1392</v>
      </c>
      <c r="C168" s="3" t="s">
        <v>1393</v>
      </c>
      <c r="D168" s="3" t="s">
        <v>59</v>
      </c>
      <c r="E168" s="3" t="s">
        <v>36</v>
      </c>
      <c r="F168" s="3" t="s">
        <v>221</v>
      </c>
      <c r="G168" s="3" t="s">
        <v>37</v>
      </c>
      <c r="H168" s="3" t="s">
        <v>38</v>
      </c>
      <c r="I168" s="3" t="s">
        <v>1394</v>
      </c>
      <c r="J168" s="3" t="s">
        <v>223</v>
      </c>
      <c r="K168" s="3" t="s">
        <v>41</v>
      </c>
      <c r="L168" s="3" t="s">
        <v>249</v>
      </c>
      <c r="M168" s="3" t="s">
        <v>250</v>
      </c>
      <c r="N168" s="3" t="s">
        <v>79</v>
      </c>
      <c r="O168" s="3" t="s">
        <v>251</v>
      </c>
      <c r="P168" s="3" t="s">
        <v>1401</v>
      </c>
      <c r="Q168" s="3" t="s">
        <v>1402</v>
      </c>
      <c r="R168" s="3"/>
      <c r="S168" s="3" t="s">
        <v>254</v>
      </c>
      <c r="T168" s="3" t="s">
        <v>37</v>
      </c>
      <c r="U168" s="3" t="s">
        <v>49</v>
      </c>
      <c r="V168" s="3"/>
      <c r="W168" s="3" t="s">
        <v>223</v>
      </c>
      <c r="X168" s="3"/>
      <c r="Y168" s="3"/>
      <c r="Z168" s="3"/>
      <c r="AA168" s="3" t="s">
        <v>79</v>
      </c>
      <c r="AB168" s="3"/>
      <c r="AC168" s="3" t="s">
        <v>1403</v>
      </c>
      <c r="AD168" s="14">
        <v>45078</v>
      </c>
      <c r="AE168" s="14">
        <v>45657</v>
      </c>
      <c r="AF168" s="3"/>
    </row>
    <row r="169" spans="1:32" ht="382.9" hidden="1">
      <c r="A169" s="3" t="s">
        <v>637</v>
      </c>
      <c r="B169" s="3" t="s">
        <v>638</v>
      </c>
      <c r="C169" s="3" t="s">
        <v>1404</v>
      </c>
      <c r="D169" s="3" t="s">
        <v>59</v>
      </c>
      <c r="E169" s="3" t="s">
        <v>36</v>
      </c>
      <c r="F169" s="3" t="s">
        <v>221</v>
      </c>
      <c r="G169" s="3" t="s">
        <v>37</v>
      </c>
      <c r="H169" s="3" t="s">
        <v>38</v>
      </c>
      <c r="I169" s="3" t="s">
        <v>640</v>
      </c>
      <c r="J169" s="3" t="s">
        <v>223</v>
      </c>
      <c r="K169" s="3" t="s">
        <v>41</v>
      </c>
      <c r="L169" s="3" t="s">
        <v>641</v>
      </c>
      <c r="M169" s="3" t="s">
        <v>642</v>
      </c>
      <c r="N169" s="3" t="s">
        <v>53</v>
      </c>
      <c r="O169" s="3" t="s">
        <v>643</v>
      </c>
      <c r="P169" s="3" t="s">
        <v>1405</v>
      </c>
      <c r="Q169" s="3" t="s">
        <v>1406</v>
      </c>
      <c r="R169" s="3" t="s">
        <v>36</v>
      </c>
      <c r="S169" s="3" t="s">
        <v>221</v>
      </c>
      <c r="T169" s="3" t="s">
        <v>37</v>
      </c>
      <c r="U169" s="3" t="s">
        <v>49</v>
      </c>
      <c r="V169" s="3" t="s">
        <v>1407</v>
      </c>
      <c r="W169" s="3" t="s">
        <v>223</v>
      </c>
      <c r="X169" s="3" t="s">
        <v>41</v>
      </c>
      <c r="Y169" s="3" t="s">
        <v>1408</v>
      </c>
      <c r="Z169" s="3" t="s">
        <v>1409</v>
      </c>
      <c r="AA169" s="3" t="s">
        <v>53</v>
      </c>
      <c r="AB169" s="3" t="s">
        <v>571</v>
      </c>
      <c r="AC169" s="3" t="s">
        <v>1410</v>
      </c>
      <c r="AD169" s="14">
        <v>45328</v>
      </c>
      <c r="AE169" s="14">
        <v>45717</v>
      </c>
      <c r="AF169" s="3"/>
    </row>
    <row r="170" spans="1:32" ht="52.9" hidden="1">
      <c r="A170" s="3" t="s">
        <v>1233</v>
      </c>
      <c r="B170" s="3" t="s">
        <v>1234</v>
      </c>
      <c r="C170" s="3" t="s">
        <v>1411</v>
      </c>
      <c r="D170" s="3" t="s">
        <v>59</v>
      </c>
      <c r="E170" s="3" t="s">
        <v>36</v>
      </c>
      <c r="F170" s="3" t="s">
        <v>221</v>
      </c>
      <c r="G170" s="3" t="s">
        <v>82</v>
      </c>
      <c r="H170" s="3" t="s">
        <v>78</v>
      </c>
      <c r="I170" s="3" t="s">
        <v>1236</v>
      </c>
      <c r="J170" s="3" t="s">
        <v>223</v>
      </c>
      <c r="K170" s="3" t="s">
        <v>41</v>
      </c>
      <c r="L170" s="3" t="s">
        <v>1237</v>
      </c>
      <c r="M170" s="3" t="s">
        <v>1238</v>
      </c>
      <c r="N170" s="3" t="s">
        <v>123</v>
      </c>
      <c r="O170" s="3" t="s">
        <v>1239</v>
      </c>
      <c r="P170" s="3" t="s">
        <v>1412</v>
      </c>
      <c r="Q170" s="3" t="s">
        <v>1413</v>
      </c>
      <c r="R170" s="3" t="s">
        <v>36</v>
      </c>
      <c r="S170" s="3" t="s">
        <v>221</v>
      </c>
      <c r="T170" s="3" t="s">
        <v>82</v>
      </c>
      <c r="U170" s="3" t="s">
        <v>38</v>
      </c>
      <c r="V170" s="3" t="s">
        <v>1414</v>
      </c>
      <c r="W170" s="3" t="s">
        <v>223</v>
      </c>
      <c r="X170" s="3" t="s">
        <v>41</v>
      </c>
      <c r="Y170" s="3" t="s">
        <v>1243</v>
      </c>
      <c r="Z170" s="3" t="s">
        <v>1415</v>
      </c>
      <c r="AA170" s="3" t="s">
        <v>63</v>
      </c>
      <c r="AB170" s="3" t="s">
        <v>1416</v>
      </c>
      <c r="AC170" s="3" t="s">
        <v>1417</v>
      </c>
      <c r="AD170" s="14">
        <v>45674</v>
      </c>
      <c r="AE170" s="14">
        <v>46404</v>
      </c>
      <c r="AF170" s="3"/>
    </row>
    <row r="171" spans="1:32" ht="303.60000000000002" hidden="1">
      <c r="A171" s="3" t="s">
        <v>1418</v>
      </c>
      <c r="B171" s="3" t="s">
        <v>1419</v>
      </c>
      <c r="C171" s="3" t="s">
        <v>1420</v>
      </c>
      <c r="D171" s="3" t="s">
        <v>59</v>
      </c>
      <c r="E171" s="3" t="s">
        <v>36</v>
      </c>
      <c r="F171" s="3" t="s">
        <v>221</v>
      </c>
      <c r="G171" s="3" t="s">
        <v>37</v>
      </c>
      <c r="H171" s="3" t="s">
        <v>38</v>
      </c>
      <c r="I171" s="3" t="s">
        <v>1421</v>
      </c>
      <c r="J171" s="3" t="s">
        <v>223</v>
      </c>
      <c r="K171" s="3" t="s">
        <v>41</v>
      </c>
      <c r="L171" s="3" t="s">
        <v>1422</v>
      </c>
      <c r="M171" s="3" t="s">
        <v>200</v>
      </c>
      <c r="N171" s="3" t="s">
        <v>44</v>
      </c>
      <c r="O171" s="3" t="s">
        <v>201</v>
      </c>
      <c r="P171" s="3" t="s">
        <v>1423</v>
      </c>
      <c r="Q171" s="3" t="s">
        <v>1424</v>
      </c>
      <c r="R171" s="3" t="s">
        <v>36</v>
      </c>
      <c r="S171" s="3" t="s">
        <v>221</v>
      </c>
      <c r="T171" s="3" t="s">
        <v>37</v>
      </c>
      <c r="U171" s="3" t="s">
        <v>49</v>
      </c>
      <c r="V171" s="3" t="s">
        <v>1425</v>
      </c>
      <c r="W171" s="3" t="s">
        <v>223</v>
      </c>
      <c r="X171" s="3" t="s">
        <v>41</v>
      </c>
      <c r="Y171" s="3" t="s">
        <v>1426</v>
      </c>
      <c r="Z171" s="3" t="s">
        <v>684</v>
      </c>
      <c r="AA171" s="3" t="s">
        <v>79</v>
      </c>
      <c r="AB171" s="3" t="s">
        <v>54</v>
      </c>
      <c r="AC171" s="3" t="s">
        <v>1427</v>
      </c>
      <c r="AD171" s="14">
        <v>44929</v>
      </c>
      <c r="AE171" s="14"/>
      <c r="AF171" s="3"/>
    </row>
    <row r="172" spans="1:32" ht="39.6" hidden="1">
      <c r="A172" s="3" t="s">
        <v>1418</v>
      </c>
      <c r="B172" s="3" t="s">
        <v>1419</v>
      </c>
      <c r="C172" s="3"/>
      <c r="D172" s="3" t="s">
        <v>593</v>
      </c>
      <c r="E172" s="3" t="s">
        <v>36</v>
      </c>
      <c r="F172" s="3" t="s">
        <v>221</v>
      </c>
      <c r="G172" s="3" t="s">
        <v>37</v>
      </c>
      <c r="H172" s="3" t="s">
        <v>38</v>
      </c>
      <c r="I172" s="3" t="s">
        <v>1421</v>
      </c>
      <c r="J172" s="3" t="s">
        <v>223</v>
      </c>
      <c r="K172" s="3" t="s">
        <v>41</v>
      </c>
      <c r="L172" s="3" t="s">
        <v>1422</v>
      </c>
      <c r="M172" s="3" t="s">
        <v>200</v>
      </c>
      <c r="N172" s="3" t="s">
        <v>44</v>
      </c>
      <c r="O172" s="3" t="s">
        <v>201</v>
      </c>
      <c r="P172" s="3" t="s">
        <v>1423</v>
      </c>
      <c r="Q172" s="3" t="s">
        <v>1424</v>
      </c>
      <c r="R172" s="3" t="s">
        <v>36</v>
      </c>
      <c r="S172" s="3" t="s">
        <v>221</v>
      </c>
      <c r="T172" s="3" t="s">
        <v>37</v>
      </c>
      <c r="U172" s="3" t="s">
        <v>49</v>
      </c>
      <c r="V172" s="3" t="s">
        <v>1425</v>
      </c>
      <c r="W172" s="3" t="s">
        <v>223</v>
      </c>
      <c r="X172" s="3" t="s">
        <v>41</v>
      </c>
      <c r="Y172" s="3" t="s">
        <v>1426</v>
      </c>
      <c r="Z172" s="3" t="s">
        <v>684</v>
      </c>
      <c r="AA172" s="3" t="s">
        <v>79</v>
      </c>
      <c r="AB172" s="3" t="s">
        <v>54</v>
      </c>
      <c r="AC172" s="3" t="s">
        <v>1427</v>
      </c>
      <c r="AD172" s="14">
        <v>44928</v>
      </c>
      <c r="AE172" s="14"/>
      <c r="AF172" s="3"/>
    </row>
    <row r="173" spans="1:32" ht="39.6" hidden="1">
      <c r="A173" s="3" t="s">
        <v>1418</v>
      </c>
      <c r="B173" s="3" t="s">
        <v>1419</v>
      </c>
      <c r="C173" s="3"/>
      <c r="D173" s="3" t="s">
        <v>59</v>
      </c>
      <c r="E173" s="3" t="s">
        <v>36</v>
      </c>
      <c r="F173" s="3" t="s">
        <v>221</v>
      </c>
      <c r="G173" s="3" t="s">
        <v>37</v>
      </c>
      <c r="H173" s="3" t="s">
        <v>38</v>
      </c>
      <c r="I173" s="3" t="s">
        <v>1421</v>
      </c>
      <c r="J173" s="3" t="s">
        <v>223</v>
      </c>
      <c r="K173" s="3" t="s">
        <v>41</v>
      </c>
      <c r="L173" s="3" t="s">
        <v>1422</v>
      </c>
      <c r="M173" s="3" t="s">
        <v>200</v>
      </c>
      <c r="N173" s="3" t="s">
        <v>44</v>
      </c>
      <c r="O173" s="3" t="s">
        <v>201</v>
      </c>
      <c r="P173" s="3" t="s">
        <v>1428</v>
      </c>
      <c r="Q173" s="3" t="s">
        <v>1429</v>
      </c>
      <c r="R173" s="3" t="s">
        <v>36</v>
      </c>
      <c r="S173" s="3" t="s">
        <v>221</v>
      </c>
      <c r="T173" s="3" t="s">
        <v>82</v>
      </c>
      <c r="U173" s="3" t="s">
        <v>49</v>
      </c>
      <c r="V173" s="3" t="s">
        <v>1430</v>
      </c>
      <c r="W173" s="3" t="s">
        <v>223</v>
      </c>
      <c r="X173" s="3" t="s">
        <v>41</v>
      </c>
      <c r="Y173" s="3" t="s">
        <v>1422</v>
      </c>
      <c r="Z173" s="3" t="s">
        <v>1389</v>
      </c>
      <c r="AA173" s="3" t="s">
        <v>63</v>
      </c>
      <c r="AB173" s="3" t="s">
        <v>54</v>
      </c>
      <c r="AC173" s="3" t="s">
        <v>1431</v>
      </c>
      <c r="AD173" s="14">
        <v>45337</v>
      </c>
      <c r="AE173" s="14">
        <v>45703</v>
      </c>
      <c r="AF173" s="3"/>
    </row>
    <row r="174" spans="1:32" ht="92.45" hidden="1">
      <c r="A174" s="3" t="s">
        <v>1432</v>
      </c>
      <c r="B174" s="3" t="s">
        <v>1433</v>
      </c>
      <c r="C174" s="3" t="s">
        <v>1434</v>
      </c>
      <c r="D174" s="3" t="s">
        <v>59</v>
      </c>
      <c r="E174" s="3" t="s">
        <v>36</v>
      </c>
      <c r="F174" s="3" t="s">
        <v>274</v>
      </c>
      <c r="G174" s="3" t="s">
        <v>37</v>
      </c>
      <c r="H174" s="3" t="s">
        <v>78</v>
      </c>
      <c r="I174" s="3" t="s">
        <v>1435</v>
      </c>
      <c r="J174" s="3" t="s">
        <v>223</v>
      </c>
      <c r="K174" s="3" t="s">
        <v>41</v>
      </c>
      <c r="L174" s="3" t="s">
        <v>1436</v>
      </c>
      <c r="M174" s="3" t="s">
        <v>987</v>
      </c>
      <c r="N174" s="3" t="s">
        <v>123</v>
      </c>
      <c r="O174" s="3" t="s">
        <v>270</v>
      </c>
      <c r="P174" s="3" t="s">
        <v>1437</v>
      </c>
      <c r="Q174" s="3" t="s">
        <v>1438</v>
      </c>
      <c r="R174" s="3" t="s">
        <v>36</v>
      </c>
      <c r="S174" s="3" t="s">
        <v>221</v>
      </c>
      <c r="T174" s="3" t="s">
        <v>82</v>
      </c>
      <c r="U174" s="3" t="s">
        <v>49</v>
      </c>
      <c r="V174" s="3" t="s">
        <v>1439</v>
      </c>
      <c r="W174" s="3" t="s">
        <v>223</v>
      </c>
      <c r="X174" s="3" t="s">
        <v>41</v>
      </c>
      <c r="Y174" s="3" t="s">
        <v>1440</v>
      </c>
      <c r="Z174" s="3" t="s">
        <v>1441</v>
      </c>
      <c r="AA174" s="3" t="s">
        <v>53</v>
      </c>
      <c r="AB174" s="3" t="s">
        <v>116</v>
      </c>
      <c r="AC174" s="3" t="s">
        <v>1442</v>
      </c>
      <c r="AD174" s="14">
        <v>45280</v>
      </c>
      <c r="AE174" s="14"/>
      <c r="AF174" s="3"/>
    </row>
    <row r="175" spans="1:32" ht="39.6" hidden="1">
      <c r="A175" s="3" t="s">
        <v>1443</v>
      </c>
      <c r="B175" s="3" t="s">
        <v>1444</v>
      </c>
      <c r="C175" s="3" t="s">
        <v>1445</v>
      </c>
      <c r="D175" s="3" t="s">
        <v>59</v>
      </c>
      <c r="E175" s="3" t="s">
        <v>36</v>
      </c>
      <c r="F175" s="3" t="s">
        <v>221</v>
      </c>
      <c r="G175" s="3" t="s">
        <v>37</v>
      </c>
      <c r="H175" s="3" t="s">
        <v>38</v>
      </c>
      <c r="I175" s="3" t="s">
        <v>1446</v>
      </c>
      <c r="J175" s="3" t="s">
        <v>223</v>
      </c>
      <c r="K175" s="3" t="s">
        <v>41</v>
      </c>
      <c r="L175" s="3" t="s">
        <v>1447</v>
      </c>
      <c r="M175" s="3" t="s">
        <v>1448</v>
      </c>
      <c r="N175" s="3" t="s">
        <v>44</v>
      </c>
      <c r="O175" s="3" t="s">
        <v>295</v>
      </c>
      <c r="P175" s="3" t="s">
        <v>1449</v>
      </c>
      <c r="Q175" s="3" t="s">
        <v>1450</v>
      </c>
      <c r="R175" s="3" t="s">
        <v>36</v>
      </c>
      <c r="S175" s="3" t="s">
        <v>221</v>
      </c>
      <c r="T175" s="3" t="s">
        <v>37</v>
      </c>
      <c r="U175" s="3" t="s">
        <v>49</v>
      </c>
      <c r="V175" s="3" t="s">
        <v>1451</v>
      </c>
      <c r="W175" s="3" t="s">
        <v>223</v>
      </c>
      <c r="X175" s="3" t="s">
        <v>41</v>
      </c>
      <c r="Y175" s="3" t="s">
        <v>1452</v>
      </c>
      <c r="Z175" s="3" t="s">
        <v>139</v>
      </c>
      <c r="AA175" s="3" t="s">
        <v>53</v>
      </c>
      <c r="AB175" s="3" t="s">
        <v>64</v>
      </c>
      <c r="AC175" s="3" t="s">
        <v>1453</v>
      </c>
      <c r="AD175" s="14">
        <v>45323</v>
      </c>
      <c r="AE175" s="14">
        <v>45632</v>
      </c>
      <c r="AF175" s="3"/>
    </row>
    <row r="176" spans="1:32" ht="39.6" hidden="1">
      <c r="A176" s="3" t="s">
        <v>1443</v>
      </c>
      <c r="B176" s="3" t="s">
        <v>1444</v>
      </c>
      <c r="C176" s="3"/>
      <c r="D176" s="3" t="s">
        <v>35</v>
      </c>
      <c r="E176" s="3" t="s">
        <v>36</v>
      </c>
      <c r="F176" s="3" t="s">
        <v>221</v>
      </c>
      <c r="G176" s="3" t="s">
        <v>37</v>
      </c>
      <c r="H176" s="3" t="s">
        <v>38</v>
      </c>
      <c r="I176" s="3" t="s">
        <v>1446</v>
      </c>
      <c r="J176" s="3" t="s">
        <v>223</v>
      </c>
      <c r="K176" s="3" t="s">
        <v>41</v>
      </c>
      <c r="L176" s="3" t="s">
        <v>1447</v>
      </c>
      <c r="M176" s="3" t="s">
        <v>1448</v>
      </c>
      <c r="N176" s="3" t="s">
        <v>44</v>
      </c>
      <c r="O176" s="3" t="s">
        <v>295</v>
      </c>
      <c r="P176" s="3" t="s">
        <v>1454</v>
      </c>
      <c r="Q176" s="3" t="s">
        <v>1455</v>
      </c>
      <c r="R176" s="3" t="s">
        <v>36</v>
      </c>
      <c r="S176" s="3" t="s">
        <v>254</v>
      </c>
      <c r="T176" s="3" t="s">
        <v>37</v>
      </c>
      <c r="U176" s="3" t="s">
        <v>38</v>
      </c>
      <c r="V176" s="3" t="s">
        <v>1456</v>
      </c>
      <c r="W176" s="3" t="s">
        <v>223</v>
      </c>
      <c r="X176" s="3" t="s">
        <v>41</v>
      </c>
      <c r="Y176" s="3" t="s">
        <v>1457</v>
      </c>
      <c r="Z176" s="3" t="s">
        <v>480</v>
      </c>
      <c r="AA176" s="3" t="s">
        <v>79</v>
      </c>
      <c r="AB176" s="3" t="s">
        <v>201</v>
      </c>
      <c r="AC176" s="3" t="s">
        <v>1458</v>
      </c>
      <c r="AD176" s="14">
        <v>45351</v>
      </c>
      <c r="AE176" s="14">
        <v>45596</v>
      </c>
      <c r="AF176" s="3"/>
    </row>
    <row r="177" spans="1:32" ht="52.9" hidden="1">
      <c r="A177" s="3" t="s">
        <v>1443</v>
      </c>
      <c r="B177" s="3" t="s">
        <v>1444</v>
      </c>
      <c r="C177" s="3"/>
      <c r="D177" s="3" t="s">
        <v>35</v>
      </c>
      <c r="E177" s="3" t="s">
        <v>36</v>
      </c>
      <c r="F177" s="3" t="s">
        <v>221</v>
      </c>
      <c r="G177" s="3" t="s">
        <v>37</v>
      </c>
      <c r="H177" s="3" t="s">
        <v>38</v>
      </c>
      <c r="I177" s="3" t="s">
        <v>1446</v>
      </c>
      <c r="J177" s="3" t="s">
        <v>223</v>
      </c>
      <c r="K177" s="3" t="s">
        <v>41</v>
      </c>
      <c r="L177" s="3" t="s">
        <v>1447</v>
      </c>
      <c r="M177" s="3" t="s">
        <v>1448</v>
      </c>
      <c r="N177" s="3" t="s">
        <v>44</v>
      </c>
      <c r="O177" s="3" t="s">
        <v>295</v>
      </c>
      <c r="P177" s="3" t="s">
        <v>1459</v>
      </c>
      <c r="Q177" s="3" t="s">
        <v>1460</v>
      </c>
      <c r="R177" s="3" t="s">
        <v>467</v>
      </c>
      <c r="S177" s="3" t="s">
        <v>221</v>
      </c>
      <c r="T177" s="3" t="s">
        <v>37</v>
      </c>
      <c r="U177" s="3" t="s">
        <v>49</v>
      </c>
      <c r="V177" s="3" t="s">
        <v>1461</v>
      </c>
      <c r="W177" s="3" t="s">
        <v>223</v>
      </c>
      <c r="X177" s="3" t="s">
        <v>41</v>
      </c>
      <c r="Y177" s="3" t="s">
        <v>1462</v>
      </c>
      <c r="Z177" s="3" t="s">
        <v>470</v>
      </c>
      <c r="AA177" s="3" t="s">
        <v>79</v>
      </c>
      <c r="AB177" s="3" t="s">
        <v>116</v>
      </c>
      <c r="AC177" s="3" t="s">
        <v>1463</v>
      </c>
      <c r="AD177" s="14">
        <v>45328</v>
      </c>
      <c r="AE177" s="14">
        <v>45351</v>
      </c>
      <c r="AF177" s="3"/>
    </row>
    <row r="178" spans="1:32" ht="92.45" hidden="1">
      <c r="A178" s="3" t="s">
        <v>1464</v>
      </c>
      <c r="B178" s="3" t="s">
        <v>1465</v>
      </c>
      <c r="C178" s="3" t="s">
        <v>1466</v>
      </c>
      <c r="D178" s="3" t="s">
        <v>59</v>
      </c>
      <c r="E178" s="3" t="s">
        <v>36</v>
      </c>
      <c r="F178" s="3" t="s">
        <v>221</v>
      </c>
      <c r="G178" s="3" t="s">
        <v>82</v>
      </c>
      <c r="H178" s="3" t="s">
        <v>49</v>
      </c>
      <c r="I178" s="3" t="s">
        <v>1467</v>
      </c>
      <c r="J178" s="3" t="s">
        <v>223</v>
      </c>
      <c r="K178" s="3" t="s">
        <v>41</v>
      </c>
      <c r="L178" s="3" t="s">
        <v>1468</v>
      </c>
      <c r="M178" s="3" t="s">
        <v>1469</v>
      </c>
      <c r="N178" s="3" t="s">
        <v>285</v>
      </c>
      <c r="O178" s="3" t="s">
        <v>226</v>
      </c>
      <c r="P178" s="3" t="s">
        <v>1470</v>
      </c>
      <c r="Q178" s="3" t="s">
        <v>1471</v>
      </c>
      <c r="R178" s="3" t="s">
        <v>36</v>
      </c>
      <c r="S178" s="3" t="s">
        <v>221</v>
      </c>
      <c r="T178" s="3" t="s">
        <v>37</v>
      </c>
      <c r="U178" s="3" t="s">
        <v>49</v>
      </c>
      <c r="V178" s="3" t="s">
        <v>1472</v>
      </c>
      <c r="W178" s="3" t="s">
        <v>223</v>
      </c>
      <c r="X178" s="3" t="s">
        <v>41</v>
      </c>
      <c r="Y178" s="3" t="s">
        <v>1473</v>
      </c>
      <c r="Z178" s="3" t="s">
        <v>1474</v>
      </c>
      <c r="AA178" s="3" t="s">
        <v>79</v>
      </c>
      <c r="AB178" s="3" t="s">
        <v>270</v>
      </c>
      <c r="AC178" s="3" t="s">
        <v>1475</v>
      </c>
      <c r="AD178" s="14">
        <v>45338</v>
      </c>
      <c r="AE178" s="14">
        <v>45657</v>
      </c>
      <c r="AF178" s="3" t="s">
        <v>56</v>
      </c>
    </row>
    <row r="179" spans="1:32" ht="39.6" hidden="1">
      <c r="A179" s="3" t="s">
        <v>882</v>
      </c>
      <c r="B179" s="3" t="s">
        <v>883</v>
      </c>
      <c r="C179" s="3" t="s">
        <v>1</v>
      </c>
      <c r="D179" s="3" t="s">
        <v>35</v>
      </c>
      <c r="E179" s="3" t="s">
        <v>36</v>
      </c>
      <c r="F179" s="3" t="s">
        <v>221</v>
      </c>
      <c r="G179" s="3" t="s">
        <v>82</v>
      </c>
      <c r="H179" s="3" t="s">
        <v>38</v>
      </c>
      <c r="I179" s="3" t="s">
        <v>884</v>
      </c>
      <c r="J179" s="3" t="s">
        <v>223</v>
      </c>
      <c r="K179" s="3" t="s">
        <v>41</v>
      </c>
      <c r="L179" s="3" t="s">
        <v>885</v>
      </c>
      <c r="M179" s="3" t="s">
        <v>886</v>
      </c>
      <c r="N179" s="3" t="s">
        <v>123</v>
      </c>
      <c r="O179" s="3" t="s">
        <v>116</v>
      </c>
      <c r="P179" s="3" t="s">
        <v>1476</v>
      </c>
      <c r="Q179" s="3" t="s">
        <v>1477</v>
      </c>
      <c r="R179" s="3" t="s">
        <v>36</v>
      </c>
      <c r="S179" s="3" t="s">
        <v>221</v>
      </c>
      <c r="T179" s="3" t="s">
        <v>37</v>
      </c>
      <c r="U179" s="3" t="s">
        <v>38</v>
      </c>
      <c r="V179" s="3" t="s">
        <v>884</v>
      </c>
      <c r="W179" s="3" t="s">
        <v>223</v>
      </c>
      <c r="X179" s="3" t="s">
        <v>41</v>
      </c>
      <c r="Y179" s="3" t="s">
        <v>885</v>
      </c>
      <c r="Z179" s="3" t="s">
        <v>1478</v>
      </c>
      <c r="AA179" s="3" t="s">
        <v>53</v>
      </c>
      <c r="AB179" s="3" t="s">
        <v>54</v>
      </c>
      <c r="AC179" s="3" t="s">
        <v>1479</v>
      </c>
      <c r="AD179" s="14">
        <v>45338</v>
      </c>
      <c r="AE179" s="14">
        <v>45398</v>
      </c>
      <c r="AF179" s="3"/>
    </row>
    <row r="180" spans="1:32" ht="66" hidden="1">
      <c r="A180" s="3" t="s">
        <v>1480</v>
      </c>
      <c r="B180" s="3" t="s">
        <v>1481</v>
      </c>
      <c r="C180" s="3" t="s">
        <v>1482</v>
      </c>
      <c r="D180" s="3" t="s">
        <v>35</v>
      </c>
      <c r="E180" s="3" t="s">
        <v>36</v>
      </c>
      <c r="F180" s="3" t="s">
        <v>221</v>
      </c>
      <c r="G180" s="3" t="s">
        <v>82</v>
      </c>
      <c r="H180" s="3" t="s">
        <v>38</v>
      </c>
      <c r="I180" s="3" t="s">
        <v>1483</v>
      </c>
      <c r="J180" s="3" t="s">
        <v>223</v>
      </c>
      <c r="K180" s="3" t="s">
        <v>41</v>
      </c>
      <c r="L180" s="3" t="s">
        <v>1484</v>
      </c>
      <c r="M180" s="3" t="s">
        <v>337</v>
      </c>
      <c r="N180" s="3" t="s">
        <v>79</v>
      </c>
      <c r="O180" s="3" t="s">
        <v>338</v>
      </c>
      <c r="P180" s="3" t="s">
        <v>1485</v>
      </c>
      <c r="Q180" s="3" t="s">
        <v>1486</v>
      </c>
      <c r="R180" s="3" t="s">
        <v>36</v>
      </c>
      <c r="S180" s="3" t="s">
        <v>221</v>
      </c>
      <c r="T180" s="3" t="s">
        <v>82</v>
      </c>
      <c r="U180" s="3" t="s">
        <v>38</v>
      </c>
      <c r="V180" s="3" t="s">
        <v>1487</v>
      </c>
      <c r="W180" s="3" t="s">
        <v>223</v>
      </c>
      <c r="X180" s="3" t="s">
        <v>41</v>
      </c>
      <c r="Y180" s="3" t="s">
        <v>1488</v>
      </c>
      <c r="Z180" s="3" t="s">
        <v>1489</v>
      </c>
      <c r="AA180" s="3" t="s">
        <v>53</v>
      </c>
      <c r="AB180" s="3" t="s">
        <v>100</v>
      </c>
      <c r="AC180" s="3" t="s">
        <v>1490</v>
      </c>
      <c r="AD180" s="14">
        <v>45328</v>
      </c>
      <c r="AE180" s="14">
        <v>45356</v>
      </c>
      <c r="AF180" s="3"/>
    </row>
    <row r="181" spans="1:32" ht="39.6" hidden="1">
      <c r="A181" s="3" t="s">
        <v>1491</v>
      </c>
      <c r="B181" s="3" t="s">
        <v>1492</v>
      </c>
      <c r="C181" s="3" t="s">
        <v>1493</v>
      </c>
      <c r="D181" s="3" t="s">
        <v>59</v>
      </c>
      <c r="E181" s="3" t="s">
        <v>36</v>
      </c>
      <c r="F181" s="3" t="s">
        <v>247</v>
      </c>
      <c r="G181" s="3" t="s">
        <v>37</v>
      </c>
      <c r="H181" s="3" t="s">
        <v>475</v>
      </c>
      <c r="I181" s="3" t="s">
        <v>1494</v>
      </c>
      <c r="J181" s="3" t="s">
        <v>223</v>
      </c>
      <c r="K181" s="3" t="s">
        <v>41</v>
      </c>
      <c r="L181" s="3" t="s">
        <v>1495</v>
      </c>
      <c r="M181" s="3" t="s">
        <v>1496</v>
      </c>
      <c r="N181" s="3" t="s">
        <v>44</v>
      </c>
      <c r="O181" s="3" t="s">
        <v>94</v>
      </c>
      <c r="P181" s="3" t="s">
        <v>1497</v>
      </c>
      <c r="Q181" s="3" t="s">
        <v>1498</v>
      </c>
      <c r="R181" s="3" t="s">
        <v>36</v>
      </c>
      <c r="S181" s="3" t="s">
        <v>247</v>
      </c>
      <c r="T181" s="3" t="s">
        <v>37</v>
      </c>
      <c r="U181" s="3" t="s">
        <v>38</v>
      </c>
      <c r="V181" s="3" t="s">
        <v>262</v>
      </c>
      <c r="W181" s="3" t="s">
        <v>223</v>
      </c>
      <c r="X181" s="3" t="s">
        <v>41</v>
      </c>
      <c r="Y181" s="3" t="s">
        <v>1499</v>
      </c>
      <c r="Z181" s="3" t="s">
        <v>264</v>
      </c>
      <c r="AA181" s="3" t="s">
        <v>53</v>
      </c>
      <c r="AB181" s="3" t="s">
        <v>94</v>
      </c>
      <c r="AC181" s="3" t="s">
        <v>1500</v>
      </c>
      <c r="AD181" s="14">
        <v>44713</v>
      </c>
      <c r="AE181" s="14">
        <v>45017</v>
      </c>
      <c r="AF181" s="3"/>
    </row>
    <row r="182" spans="1:32" ht="52.9" hidden="1">
      <c r="A182" s="3" t="s">
        <v>1501</v>
      </c>
      <c r="B182" s="3" t="s">
        <v>1502</v>
      </c>
      <c r="C182" s="3" t="s">
        <v>1503</v>
      </c>
      <c r="D182" s="3" t="s">
        <v>59</v>
      </c>
      <c r="E182" s="3" t="s">
        <v>36</v>
      </c>
      <c r="F182" s="3" t="s">
        <v>247</v>
      </c>
      <c r="G182" s="3" t="s">
        <v>82</v>
      </c>
      <c r="H182" s="3" t="s">
        <v>38</v>
      </c>
      <c r="I182" s="3" t="s">
        <v>1504</v>
      </c>
      <c r="J182" s="3" t="s">
        <v>223</v>
      </c>
      <c r="K182" s="3" t="s">
        <v>780</v>
      </c>
      <c r="L182" s="3" t="s">
        <v>1505</v>
      </c>
      <c r="M182" s="3" t="s">
        <v>1506</v>
      </c>
      <c r="N182" s="3" t="s">
        <v>79</v>
      </c>
      <c r="O182" s="3" t="s">
        <v>1239</v>
      </c>
      <c r="P182" s="3" t="s">
        <v>1507</v>
      </c>
      <c r="Q182" s="3" t="s">
        <v>1508</v>
      </c>
      <c r="R182" s="3"/>
      <c r="S182" s="3" t="s">
        <v>221</v>
      </c>
      <c r="T182" s="3" t="s">
        <v>37</v>
      </c>
      <c r="U182" s="3" t="s">
        <v>38</v>
      </c>
      <c r="V182" s="3"/>
      <c r="W182" s="3" t="s">
        <v>223</v>
      </c>
      <c r="X182" s="3"/>
      <c r="Y182" s="3"/>
      <c r="Z182" s="3"/>
      <c r="AA182" s="3" t="s">
        <v>63</v>
      </c>
      <c r="AB182" s="3"/>
      <c r="AC182" s="3" t="s">
        <v>1509</v>
      </c>
      <c r="AD182" s="14">
        <v>45352</v>
      </c>
      <c r="AE182" s="14">
        <v>45658</v>
      </c>
      <c r="AF182" s="3"/>
    </row>
    <row r="183" spans="1:32" ht="39.6" hidden="1">
      <c r="A183" s="3" t="s">
        <v>1510</v>
      </c>
      <c r="B183" s="3" t="s">
        <v>1511</v>
      </c>
      <c r="C183" s="3" t="s">
        <v>1512</v>
      </c>
      <c r="D183" s="3" t="s">
        <v>35</v>
      </c>
      <c r="E183" s="3" t="s">
        <v>36</v>
      </c>
      <c r="F183" s="3" t="s">
        <v>247</v>
      </c>
      <c r="G183" s="3" t="s">
        <v>82</v>
      </c>
      <c r="H183" s="3" t="s">
        <v>78</v>
      </c>
      <c r="I183" s="3" t="s">
        <v>1513</v>
      </c>
      <c r="J183" s="3" t="s">
        <v>223</v>
      </c>
      <c r="K183" s="3" t="s">
        <v>41</v>
      </c>
      <c r="L183" s="3" t="s">
        <v>1514</v>
      </c>
      <c r="M183" s="3" t="s">
        <v>886</v>
      </c>
      <c r="N183" s="3" t="s">
        <v>44</v>
      </c>
      <c r="O183" s="3" t="s">
        <v>116</v>
      </c>
      <c r="P183" s="3" t="s">
        <v>1515</v>
      </c>
      <c r="Q183" s="3" t="s">
        <v>1516</v>
      </c>
      <c r="R183" s="3" t="s">
        <v>36</v>
      </c>
      <c r="S183" s="3" t="s">
        <v>247</v>
      </c>
      <c r="T183" s="3" t="s">
        <v>82</v>
      </c>
      <c r="U183" s="3" t="s">
        <v>38</v>
      </c>
      <c r="V183" s="3" t="s">
        <v>893</v>
      </c>
      <c r="W183" s="3" t="s">
        <v>223</v>
      </c>
      <c r="X183" s="3" t="s">
        <v>41</v>
      </c>
      <c r="Y183" s="3" t="s">
        <v>1517</v>
      </c>
      <c r="Z183" s="3" t="s">
        <v>320</v>
      </c>
      <c r="AA183" s="3" t="s">
        <v>44</v>
      </c>
      <c r="AB183" s="3" t="s">
        <v>100</v>
      </c>
      <c r="AC183" s="3" t="s">
        <v>1518</v>
      </c>
      <c r="AD183" s="14">
        <v>45292</v>
      </c>
      <c r="AE183" s="14">
        <v>45657</v>
      </c>
      <c r="AF183" s="3"/>
    </row>
    <row r="184" spans="1:32" ht="39.6" hidden="1">
      <c r="A184" s="3" t="s">
        <v>1519</v>
      </c>
      <c r="B184" s="3" t="s">
        <v>1520</v>
      </c>
      <c r="C184" s="3" t="s">
        <v>1521</v>
      </c>
      <c r="D184" s="3" t="s">
        <v>59</v>
      </c>
      <c r="E184" s="3" t="s">
        <v>36</v>
      </c>
      <c r="F184" s="3" t="s">
        <v>247</v>
      </c>
      <c r="G184" s="3" t="s">
        <v>82</v>
      </c>
      <c r="H184" s="3" t="s">
        <v>78</v>
      </c>
      <c r="I184" s="3" t="s">
        <v>1522</v>
      </c>
      <c r="J184" s="3" t="s">
        <v>223</v>
      </c>
      <c r="K184" s="3" t="s">
        <v>41</v>
      </c>
      <c r="L184" s="3" t="s">
        <v>1523</v>
      </c>
      <c r="M184" s="3" t="s">
        <v>1524</v>
      </c>
      <c r="N184" s="3" t="s">
        <v>123</v>
      </c>
      <c r="O184" s="3" t="s">
        <v>270</v>
      </c>
      <c r="P184" s="3" t="s">
        <v>1525</v>
      </c>
      <c r="Q184" s="3" t="s">
        <v>1526</v>
      </c>
      <c r="R184" s="3" t="s">
        <v>36</v>
      </c>
      <c r="S184" s="3" t="s">
        <v>221</v>
      </c>
      <c r="T184" s="3" t="s">
        <v>82</v>
      </c>
      <c r="U184" s="3" t="s">
        <v>49</v>
      </c>
      <c r="V184" s="3" t="s">
        <v>1527</v>
      </c>
      <c r="W184" s="3" t="s">
        <v>223</v>
      </c>
      <c r="X184" s="3" t="s">
        <v>41</v>
      </c>
      <c r="Y184" s="3" t="s">
        <v>1528</v>
      </c>
      <c r="Z184" s="3" t="s">
        <v>1529</v>
      </c>
      <c r="AA184" s="3" t="s">
        <v>63</v>
      </c>
      <c r="AB184" s="3" t="s">
        <v>1530</v>
      </c>
      <c r="AC184" s="3" t="s">
        <v>1531</v>
      </c>
      <c r="AD184" s="14">
        <v>45352</v>
      </c>
      <c r="AE184" s="14"/>
      <c r="AF184" s="3"/>
    </row>
    <row r="185" spans="1:32" ht="52.9" hidden="1">
      <c r="A185" s="3" t="s">
        <v>1532</v>
      </c>
      <c r="B185" s="3" t="s">
        <v>1533</v>
      </c>
      <c r="C185" s="3"/>
      <c r="D185" s="3" t="s">
        <v>59</v>
      </c>
      <c r="E185" s="3" t="s">
        <v>36</v>
      </c>
      <c r="F185" s="3" t="s">
        <v>221</v>
      </c>
      <c r="G185" s="3" t="s">
        <v>37</v>
      </c>
      <c r="H185" s="3" t="s">
        <v>49</v>
      </c>
      <c r="I185" s="3" t="s">
        <v>1534</v>
      </c>
      <c r="J185" s="3" t="s">
        <v>223</v>
      </c>
      <c r="K185" s="3" t="s">
        <v>41</v>
      </c>
      <c r="L185" s="3" t="s">
        <v>1535</v>
      </c>
      <c r="M185" s="3" t="s">
        <v>1536</v>
      </c>
      <c r="N185" s="3" t="s">
        <v>79</v>
      </c>
      <c r="O185" s="3" t="s">
        <v>1537</v>
      </c>
      <c r="P185" s="3" t="s">
        <v>1538</v>
      </c>
      <c r="Q185" s="3" t="s">
        <v>1539</v>
      </c>
      <c r="R185" s="3" t="s">
        <v>36</v>
      </c>
      <c r="S185" s="3" t="s">
        <v>221</v>
      </c>
      <c r="T185" s="3" t="s">
        <v>37</v>
      </c>
      <c r="U185" s="3" t="s">
        <v>49</v>
      </c>
      <c r="V185" s="3" t="s">
        <v>1540</v>
      </c>
      <c r="W185" s="3" t="s">
        <v>223</v>
      </c>
      <c r="X185" s="3" t="s">
        <v>41</v>
      </c>
      <c r="Y185" s="3" t="s">
        <v>1541</v>
      </c>
      <c r="Z185" s="3" t="s">
        <v>43</v>
      </c>
      <c r="AA185" s="3" t="s">
        <v>79</v>
      </c>
      <c r="AB185" s="3" t="s">
        <v>45</v>
      </c>
      <c r="AC185" s="3" t="s">
        <v>1542</v>
      </c>
      <c r="AD185" s="14">
        <v>45352</v>
      </c>
      <c r="AE185" s="14">
        <v>45716</v>
      </c>
      <c r="AF185" s="3"/>
    </row>
    <row r="186" spans="1:32" ht="184.9" hidden="1">
      <c r="A186" s="3" t="s">
        <v>1543</v>
      </c>
      <c r="B186" s="3" t="s">
        <v>1544</v>
      </c>
      <c r="C186" s="3" t="s">
        <v>1545</v>
      </c>
      <c r="D186" s="3" t="s">
        <v>35</v>
      </c>
      <c r="E186" s="3" t="s">
        <v>36</v>
      </c>
      <c r="F186" s="3" t="s">
        <v>274</v>
      </c>
      <c r="G186" s="3" t="s">
        <v>37</v>
      </c>
      <c r="H186" s="3" t="s">
        <v>38</v>
      </c>
      <c r="I186" s="3" t="s">
        <v>1546</v>
      </c>
      <c r="J186" s="3" t="s">
        <v>223</v>
      </c>
      <c r="K186" s="3" t="s">
        <v>41</v>
      </c>
      <c r="L186" s="3" t="s">
        <v>1547</v>
      </c>
      <c r="M186" s="3" t="s">
        <v>1548</v>
      </c>
      <c r="N186" s="3" t="s">
        <v>53</v>
      </c>
      <c r="O186" s="3" t="s">
        <v>270</v>
      </c>
      <c r="P186" s="3" t="s">
        <v>1549</v>
      </c>
      <c r="Q186" s="3" t="s">
        <v>1550</v>
      </c>
      <c r="R186" s="3" t="s">
        <v>36</v>
      </c>
      <c r="S186" s="3" t="s">
        <v>221</v>
      </c>
      <c r="T186" s="3" t="s">
        <v>37</v>
      </c>
      <c r="U186" s="3" t="s">
        <v>38</v>
      </c>
      <c r="V186" s="3" t="s">
        <v>1551</v>
      </c>
      <c r="W186" s="3" t="s">
        <v>223</v>
      </c>
      <c r="X186" s="3" t="s">
        <v>41</v>
      </c>
      <c r="Y186" s="3" t="s">
        <v>1552</v>
      </c>
      <c r="Z186" s="3" t="s">
        <v>1553</v>
      </c>
      <c r="AA186" s="3" t="s">
        <v>79</v>
      </c>
      <c r="AB186" s="3" t="s">
        <v>54</v>
      </c>
      <c r="AC186" s="3" t="s">
        <v>1554</v>
      </c>
      <c r="AD186" s="14">
        <v>45352</v>
      </c>
      <c r="AE186" s="14">
        <v>45626</v>
      </c>
      <c r="AF186" s="3"/>
    </row>
    <row r="187" spans="1:32" ht="66" hidden="1">
      <c r="A187" s="3" t="s">
        <v>1555</v>
      </c>
      <c r="B187" s="3" t="s">
        <v>1556</v>
      </c>
      <c r="C187" s="3" t="s">
        <v>1557</v>
      </c>
      <c r="D187" s="3" t="s">
        <v>59</v>
      </c>
      <c r="E187" s="3" t="s">
        <v>36</v>
      </c>
      <c r="F187" s="3" t="s">
        <v>274</v>
      </c>
      <c r="G187" s="3" t="s">
        <v>37</v>
      </c>
      <c r="H187" s="3" t="s">
        <v>38</v>
      </c>
      <c r="I187" s="3" t="s">
        <v>1558</v>
      </c>
      <c r="J187" s="3" t="s">
        <v>223</v>
      </c>
      <c r="K187" s="3" t="s">
        <v>41</v>
      </c>
      <c r="L187" s="3" t="s">
        <v>1559</v>
      </c>
      <c r="M187" s="3" t="s">
        <v>796</v>
      </c>
      <c r="N187" s="3" t="s">
        <v>79</v>
      </c>
      <c r="O187" s="3" t="s">
        <v>699</v>
      </c>
      <c r="P187" s="3" t="s">
        <v>1560</v>
      </c>
      <c r="Q187" s="3" t="s">
        <v>1561</v>
      </c>
      <c r="R187" s="3" t="s">
        <v>36</v>
      </c>
      <c r="S187" s="3" t="s">
        <v>221</v>
      </c>
      <c r="T187" s="3" t="s">
        <v>82</v>
      </c>
      <c r="U187" s="3" t="s">
        <v>49</v>
      </c>
      <c r="V187" s="3" t="s">
        <v>1562</v>
      </c>
      <c r="W187" s="3" t="s">
        <v>223</v>
      </c>
      <c r="X187" s="3" t="s">
        <v>41</v>
      </c>
      <c r="Y187" s="3" t="s">
        <v>1563</v>
      </c>
      <c r="Z187" s="3" t="s">
        <v>1564</v>
      </c>
      <c r="AA187" s="3" t="s">
        <v>79</v>
      </c>
      <c r="AB187" s="3" t="s">
        <v>116</v>
      </c>
      <c r="AC187" s="3" t="s">
        <v>1565</v>
      </c>
      <c r="AD187" s="14">
        <v>45309</v>
      </c>
      <c r="AE187" s="14">
        <v>45675</v>
      </c>
      <c r="AF187" s="3"/>
    </row>
    <row r="188" spans="1:32" ht="66" hidden="1">
      <c r="A188" s="3" t="s">
        <v>1566</v>
      </c>
      <c r="B188" s="3" t="s">
        <v>1567</v>
      </c>
      <c r="C188" s="3" t="s">
        <v>1568</v>
      </c>
      <c r="D188" s="3" t="s">
        <v>35</v>
      </c>
      <c r="E188" s="3" t="s">
        <v>36</v>
      </c>
      <c r="F188" s="3" t="s">
        <v>221</v>
      </c>
      <c r="G188" s="3" t="s">
        <v>37</v>
      </c>
      <c r="H188" s="3" t="s">
        <v>49</v>
      </c>
      <c r="I188" s="3" t="s">
        <v>1569</v>
      </c>
      <c r="J188" s="3" t="s">
        <v>223</v>
      </c>
      <c r="K188" s="3" t="s">
        <v>41</v>
      </c>
      <c r="L188" s="3" t="s">
        <v>1570</v>
      </c>
      <c r="M188" s="3" t="s">
        <v>1571</v>
      </c>
      <c r="N188" s="3" t="s">
        <v>53</v>
      </c>
      <c r="O188" s="3" t="s">
        <v>54</v>
      </c>
      <c r="P188" s="3" t="s">
        <v>1572</v>
      </c>
      <c r="Q188" s="3" t="s">
        <v>1573</v>
      </c>
      <c r="R188" s="3" t="s">
        <v>36</v>
      </c>
      <c r="S188" s="3" t="s">
        <v>221</v>
      </c>
      <c r="T188" s="3" t="s">
        <v>37</v>
      </c>
      <c r="U188" s="3" t="s">
        <v>73</v>
      </c>
      <c r="V188" s="3" t="s">
        <v>1574</v>
      </c>
      <c r="W188" s="3" t="s">
        <v>223</v>
      </c>
      <c r="X188" s="3" t="s">
        <v>41</v>
      </c>
      <c r="Y188" s="3" t="s">
        <v>1275</v>
      </c>
      <c r="Z188" s="3" t="s">
        <v>1389</v>
      </c>
      <c r="AA188" s="3" t="s">
        <v>281</v>
      </c>
      <c r="AB188" s="3" t="s">
        <v>54</v>
      </c>
      <c r="AC188" s="3" t="s">
        <v>1575</v>
      </c>
      <c r="AD188" s="14">
        <v>45427</v>
      </c>
      <c r="AE188" s="14">
        <v>45657</v>
      </c>
      <c r="AF188" s="3"/>
    </row>
    <row r="189" spans="1:32" ht="39.6" hidden="1">
      <c r="A189" s="3" t="s">
        <v>962</v>
      </c>
      <c r="B189" s="3" t="s">
        <v>963</v>
      </c>
      <c r="C189" s="3" t="s">
        <v>1576</v>
      </c>
      <c r="D189" s="3" t="s">
        <v>35</v>
      </c>
      <c r="E189" s="3" t="s">
        <v>36</v>
      </c>
      <c r="F189" s="3" t="s">
        <v>221</v>
      </c>
      <c r="G189" s="3" t="s">
        <v>37</v>
      </c>
      <c r="H189" s="3" t="s">
        <v>49</v>
      </c>
      <c r="I189" s="3" t="s">
        <v>964</v>
      </c>
      <c r="J189" s="3" t="s">
        <v>223</v>
      </c>
      <c r="K189" s="3" t="s">
        <v>41</v>
      </c>
      <c r="L189" s="3" t="s">
        <v>587</v>
      </c>
      <c r="M189" s="3" t="s">
        <v>965</v>
      </c>
      <c r="N189" s="3" t="s">
        <v>63</v>
      </c>
      <c r="O189" s="3" t="s">
        <v>116</v>
      </c>
      <c r="P189" s="3" t="s">
        <v>1577</v>
      </c>
      <c r="Q189" s="3" t="s">
        <v>1578</v>
      </c>
      <c r="R189" s="3" t="s">
        <v>467</v>
      </c>
      <c r="S189" s="3" t="s">
        <v>221</v>
      </c>
      <c r="T189" s="3" t="s">
        <v>37</v>
      </c>
      <c r="U189" s="3" t="s">
        <v>38</v>
      </c>
      <c r="V189" s="3" t="s">
        <v>1579</v>
      </c>
      <c r="W189" s="3" t="s">
        <v>223</v>
      </c>
      <c r="X189" s="3" t="s">
        <v>41</v>
      </c>
      <c r="Y189" s="3" t="s">
        <v>969</v>
      </c>
      <c r="Z189" s="3" t="s">
        <v>470</v>
      </c>
      <c r="AA189" s="3" t="s">
        <v>44</v>
      </c>
      <c r="AB189" s="3" t="s">
        <v>116</v>
      </c>
      <c r="AC189" s="3" t="s">
        <v>1580</v>
      </c>
      <c r="AD189" s="14">
        <v>45337</v>
      </c>
      <c r="AE189" s="14">
        <v>45731</v>
      </c>
      <c r="AF189" s="3"/>
    </row>
    <row r="190" spans="1:32" ht="52.9" hidden="1">
      <c r="A190" s="3" t="s">
        <v>1581</v>
      </c>
      <c r="B190" s="3" t="s">
        <v>1582</v>
      </c>
      <c r="C190" s="3" t="s">
        <v>1583</v>
      </c>
      <c r="D190" s="3" t="s">
        <v>348</v>
      </c>
      <c r="E190" s="3" t="s">
        <v>36</v>
      </c>
      <c r="F190" s="3" t="s">
        <v>221</v>
      </c>
      <c r="G190" s="3" t="s">
        <v>82</v>
      </c>
      <c r="H190" s="3" t="s">
        <v>49</v>
      </c>
      <c r="I190" s="3" t="s">
        <v>1584</v>
      </c>
      <c r="J190" s="3" t="s">
        <v>223</v>
      </c>
      <c r="K190" s="3" t="s">
        <v>1373</v>
      </c>
      <c r="L190" s="3" t="s">
        <v>1585</v>
      </c>
      <c r="M190" s="3" t="s">
        <v>657</v>
      </c>
      <c r="N190" s="3" t="s">
        <v>79</v>
      </c>
      <c r="O190" s="3" t="s">
        <v>658</v>
      </c>
      <c r="P190" s="3" t="s">
        <v>1586</v>
      </c>
      <c r="Q190" s="3" t="s">
        <v>1587</v>
      </c>
      <c r="R190" s="3" t="s">
        <v>36</v>
      </c>
      <c r="S190" s="3" t="s">
        <v>221</v>
      </c>
      <c r="T190" s="3" t="s">
        <v>82</v>
      </c>
      <c r="U190" s="3" t="s">
        <v>49</v>
      </c>
      <c r="V190" s="3" t="s">
        <v>1588</v>
      </c>
      <c r="W190" s="3" t="s">
        <v>223</v>
      </c>
      <c r="X190" s="3" t="s">
        <v>41</v>
      </c>
      <c r="Y190" s="3" t="s">
        <v>1589</v>
      </c>
      <c r="Z190" s="3" t="s">
        <v>1590</v>
      </c>
      <c r="AA190" s="3" t="s">
        <v>63</v>
      </c>
      <c r="AB190" s="3" t="s">
        <v>1591</v>
      </c>
      <c r="AC190" s="3" t="s">
        <v>1592</v>
      </c>
      <c r="AD190" s="14">
        <v>44562</v>
      </c>
      <c r="AE190" s="14">
        <v>47848</v>
      </c>
      <c r="AF190" s="3"/>
    </row>
    <row r="191" spans="1:32" ht="39.6" hidden="1">
      <c r="A191" s="3" t="s">
        <v>1593</v>
      </c>
      <c r="B191" s="3" t="s">
        <v>1594</v>
      </c>
      <c r="C191" s="3" t="s">
        <v>1595</v>
      </c>
      <c r="D191" s="3" t="s">
        <v>59</v>
      </c>
      <c r="E191" s="3" t="s">
        <v>36</v>
      </c>
      <c r="F191" s="3" t="s">
        <v>247</v>
      </c>
      <c r="G191" s="3" t="s">
        <v>37</v>
      </c>
      <c r="H191" s="3" t="s">
        <v>38</v>
      </c>
      <c r="I191" s="3" t="s">
        <v>1596</v>
      </c>
      <c r="J191" s="3" t="s">
        <v>223</v>
      </c>
      <c r="K191" s="3" t="s">
        <v>41</v>
      </c>
      <c r="L191" s="3" t="s">
        <v>1597</v>
      </c>
      <c r="M191" s="3" t="s">
        <v>987</v>
      </c>
      <c r="N191" s="3" t="s">
        <v>44</v>
      </c>
      <c r="O191" s="3" t="s">
        <v>270</v>
      </c>
      <c r="P191" s="3" t="s">
        <v>1598</v>
      </c>
      <c r="Q191" s="3" t="s">
        <v>1599</v>
      </c>
      <c r="R191" s="3" t="s">
        <v>36</v>
      </c>
      <c r="S191" s="3" t="s">
        <v>274</v>
      </c>
      <c r="T191" s="3" t="s">
        <v>37</v>
      </c>
      <c r="U191" s="3" t="s">
        <v>38</v>
      </c>
      <c r="V191" s="3" t="s">
        <v>1600</v>
      </c>
      <c r="W191" s="3" t="s">
        <v>223</v>
      </c>
      <c r="X191" s="3" t="s">
        <v>41</v>
      </c>
      <c r="Y191" s="3" t="s">
        <v>1601</v>
      </c>
      <c r="Z191" s="3" t="s">
        <v>1602</v>
      </c>
      <c r="AA191" s="3" t="s">
        <v>44</v>
      </c>
      <c r="AB191" s="3" t="s">
        <v>270</v>
      </c>
      <c r="AC191" s="3" t="s">
        <v>1603</v>
      </c>
      <c r="AD191" s="14">
        <v>45324</v>
      </c>
      <c r="AE191" s="14">
        <v>45625</v>
      </c>
      <c r="AF191" s="3"/>
    </row>
    <row r="192" spans="1:32" ht="66" hidden="1">
      <c r="A192" s="3" t="s">
        <v>1604</v>
      </c>
      <c r="B192" s="3" t="s">
        <v>1605</v>
      </c>
      <c r="C192" s="3" t="s">
        <v>1606</v>
      </c>
      <c r="D192" s="3" t="s">
        <v>59</v>
      </c>
      <c r="E192" s="3" t="s">
        <v>36</v>
      </c>
      <c r="F192" s="3" t="s">
        <v>221</v>
      </c>
      <c r="G192" s="3" t="s">
        <v>37</v>
      </c>
      <c r="H192" s="3" t="s">
        <v>38</v>
      </c>
      <c r="I192" s="3" t="s">
        <v>1607</v>
      </c>
      <c r="J192" s="3" t="s">
        <v>223</v>
      </c>
      <c r="K192" s="3" t="s">
        <v>41</v>
      </c>
      <c r="L192" s="3" t="s">
        <v>1608</v>
      </c>
      <c r="M192" s="3" t="s">
        <v>1609</v>
      </c>
      <c r="N192" s="3" t="s">
        <v>79</v>
      </c>
      <c r="O192" s="3" t="s">
        <v>1610</v>
      </c>
      <c r="P192" s="3" t="s">
        <v>1611</v>
      </c>
      <c r="Q192" s="3" t="s">
        <v>1612</v>
      </c>
      <c r="R192" s="3" t="s">
        <v>36</v>
      </c>
      <c r="S192" s="3" t="s">
        <v>221</v>
      </c>
      <c r="T192" s="3" t="s">
        <v>82</v>
      </c>
      <c r="U192" s="3" t="s">
        <v>49</v>
      </c>
      <c r="V192" s="3" t="s">
        <v>1613</v>
      </c>
      <c r="W192" s="3" t="s">
        <v>223</v>
      </c>
      <c r="X192" s="3" t="s">
        <v>41</v>
      </c>
      <c r="Y192" s="3" t="s">
        <v>1614</v>
      </c>
      <c r="Z192" s="3" t="s">
        <v>1615</v>
      </c>
      <c r="AA192" s="3" t="s">
        <v>53</v>
      </c>
      <c r="AB192" s="3" t="s">
        <v>1310</v>
      </c>
      <c r="AC192" s="3" t="s">
        <v>1616</v>
      </c>
      <c r="AD192" s="14">
        <v>45323</v>
      </c>
      <c r="AE192" s="14">
        <v>45473</v>
      </c>
      <c r="AF192" s="3"/>
    </row>
    <row r="193" spans="1:32" ht="264" hidden="1">
      <c r="A193" s="3" t="s">
        <v>1617</v>
      </c>
      <c r="B193" s="3" t="s">
        <v>1618</v>
      </c>
      <c r="C193" s="3" t="s">
        <v>1619</v>
      </c>
      <c r="D193" s="3" t="s">
        <v>59</v>
      </c>
      <c r="E193" s="3" t="s">
        <v>36</v>
      </c>
      <c r="F193" s="3" t="s">
        <v>526</v>
      </c>
      <c r="G193" s="3" t="s">
        <v>82</v>
      </c>
      <c r="H193" s="3" t="s">
        <v>49</v>
      </c>
      <c r="I193" s="3" t="s">
        <v>1620</v>
      </c>
      <c r="J193" s="3" t="s">
        <v>528</v>
      </c>
      <c r="K193" s="3" t="s">
        <v>41</v>
      </c>
      <c r="L193" s="3" t="s">
        <v>1621</v>
      </c>
      <c r="M193" s="3" t="s">
        <v>1622</v>
      </c>
      <c r="N193" s="3" t="s">
        <v>79</v>
      </c>
      <c r="O193" s="3" t="s">
        <v>251</v>
      </c>
      <c r="P193" s="3" t="s">
        <v>1623</v>
      </c>
      <c r="Q193" s="3" t="s">
        <v>1624</v>
      </c>
      <c r="R193" s="3" t="s">
        <v>36</v>
      </c>
      <c r="S193" s="3" t="s">
        <v>526</v>
      </c>
      <c r="T193" s="3" t="s">
        <v>37</v>
      </c>
      <c r="U193" s="3" t="s">
        <v>49</v>
      </c>
      <c r="V193" s="3" t="s">
        <v>1625</v>
      </c>
      <c r="W193" s="3" t="s">
        <v>528</v>
      </c>
      <c r="X193" s="3" t="s">
        <v>41</v>
      </c>
      <c r="Y193" s="3" t="s">
        <v>1626</v>
      </c>
      <c r="Z193" s="3" t="s">
        <v>1627</v>
      </c>
      <c r="AA193" s="3" t="s">
        <v>79</v>
      </c>
      <c r="AB193" s="3" t="s">
        <v>45</v>
      </c>
      <c r="AC193" s="3" t="s">
        <v>1628</v>
      </c>
      <c r="AD193" s="14">
        <v>45200</v>
      </c>
      <c r="AE193" s="14"/>
      <c r="AF193" s="3"/>
    </row>
    <row r="194" spans="1:32" ht="52.9" hidden="1">
      <c r="A194" s="3" t="s">
        <v>1629</v>
      </c>
      <c r="B194" s="3" t="s">
        <v>1630</v>
      </c>
      <c r="C194" s="3" t="s">
        <v>1631</v>
      </c>
      <c r="D194" s="3" t="s">
        <v>35</v>
      </c>
      <c r="E194" s="3" t="s">
        <v>36</v>
      </c>
      <c r="F194" s="3" t="s">
        <v>526</v>
      </c>
      <c r="G194" s="3" t="s">
        <v>82</v>
      </c>
      <c r="H194" s="3" t="s">
        <v>38</v>
      </c>
      <c r="I194" s="3" t="s">
        <v>1620</v>
      </c>
      <c r="J194" s="3" t="s">
        <v>528</v>
      </c>
      <c r="K194" s="3" t="s">
        <v>41</v>
      </c>
      <c r="L194" s="3" t="s">
        <v>1632</v>
      </c>
      <c r="M194" s="3" t="s">
        <v>657</v>
      </c>
      <c r="N194" s="3" t="s">
        <v>79</v>
      </c>
      <c r="O194" s="3" t="s">
        <v>658</v>
      </c>
      <c r="P194" s="3" t="s">
        <v>1633</v>
      </c>
      <c r="Q194" s="3" t="s">
        <v>1634</v>
      </c>
      <c r="R194" s="3" t="s">
        <v>36</v>
      </c>
      <c r="S194" s="3" t="s">
        <v>526</v>
      </c>
      <c r="T194" s="3" t="s">
        <v>82</v>
      </c>
      <c r="U194" s="3" t="s">
        <v>49</v>
      </c>
      <c r="V194" s="3" t="s">
        <v>1635</v>
      </c>
      <c r="W194" s="3" t="s">
        <v>528</v>
      </c>
      <c r="X194" s="3" t="s">
        <v>41</v>
      </c>
      <c r="Y194" s="3" t="s">
        <v>1632</v>
      </c>
      <c r="Z194" s="3" t="s">
        <v>1636</v>
      </c>
      <c r="AA194" s="3" t="s">
        <v>63</v>
      </c>
      <c r="AB194" s="3" t="s">
        <v>699</v>
      </c>
      <c r="AC194" s="3" t="s">
        <v>1637</v>
      </c>
      <c r="AD194" s="14">
        <v>45342</v>
      </c>
      <c r="AE194" s="14"/>
      <c r="AF194" s="3"/>
    </row>
    <row r="195" spans="1:32" ht="39.6" hidden="1">
      <c r="A195" s="3" t="s">
        <v>1638</v>
      </c>
      <c r="B195" s="3" t="s">
        <v>1639</v>
      </c>
      <c r="C195" s="3"/>
      <c r="D195" s="3" t="s">
        <v>35</v>
      </c>
      <c r="E195" s="3" t="s">
        <v>36</v>
      </c>
      <c r="F195" s="3" t="s">
        <v>247</v>
      </c>
      <c r="G195" s="3" t="s">
        <v>82</v>
      </c>
      <c r="H195" s="3" t="s">
        <v>78</v>
      </c>
      <c r="I195" s="3" t="s">
        <v>1640</v>
      </c>
      <c r="J195" s="3" t="s">
        <v>223</v>
      </c>
      <c r="K195" s="3" t="s">
        <v>41</v>
      </c>
      <c r="L195" s="3" t="s">
        <v>1641</v>
      </c>
      <c r="M195" s="3" t="s">
        <v>307</v>
      </c>
      <c r="N195" s="3" t="s">
        <v>123</v>
      </c>
      <c r="O195" s="3" t="s">
        <v>308</v>
      </c>
      <c r="P195" s="3" t="s">
        <v>1642</v>
      </c>
      <c r="Q195" s="3" t="s">
        <v>1643</v>
      </c>
      <c r="R195" s="3" t="s">
        <v>36</v>
      </c>
      <c r="S195" s="3" t="s">
        <v>274</v>
      </c>
      <c r="T195" s="3" t="s">
        <v>37</v>
      </c>
      <c r="U195" s="3" t="s">
        <v>49</v>
      </c>
      <c r="V195" s="3" t="s">
        <v>1644</v>
      </c>
      <c r="W195" s="3" t="s">
        <v>223</v>
      </c>
      <c r="X195" s="3" t="s">
        <v>41</v>
      </c>
      <c r="Y195" s="3" t="s">
        <v>1641</v>
      </c>
      <c r="Z195" s="3" t="s">
        <v>1645</v>
      </c>
      <c r="AA195" s="3" t="s">
        <v>63</v>
      </c>
      <c r="AB195" s="3" t="s">
        <v>699</v>
      </c>
      <c r="AC195" s="3" t="s">
        <v>1646</v>
      </c>
      <c r="AD195" s="14">
        <v>45352</v>
      </c>
      <c r="AE195" s="14">
        <v>45639</v>
      </c>
      <c r="AF195" s="3"/>
    </row>
    <row r="196" spans="1:32" ht="39.6" hidden="1">
      <c r="A196" s="3" t="s">
        <v>1443</v>
      </c>
      <c r="B196" s="3" t="s">
        <v>1444</v>
      </c>
      <c r="C196" s="3" t="s">
        <v>1647</v>
      </c>
      <c r="D196" s="3" t="s">
        <v>35</v>
      </c>
      <c r="E196" s="3" t="s">
        <v>36</v>
      </c>
      <c r="F196" s="3" t="s">
        <v>221</v>
      </c>
      <c r="G196" s="3" t="s">
        <v>37</v>
      </c>
      <c r="H196" s="3" t="s">
        <v>38</v>
      </c>
      <c r="I196" s="3" t="s">
        <v>1446</v>
      </c>
      <c r="J196" s="3" t="s">
        <v>223</v>
      </c>
      <c r="K196" s="3" t="s">
        <v>41</v>
      </c>
      <c r="L196" s="3" t="s">
        <v>1447</v>
      </c>
      <c r="M196" s="3" t="s">
        <v>1448</v>
      </c>
      <c r="N196" s="3" t="s">
        <v>44</v>
      </c>
      <c r="O196" s="3" t="s">
        <v>295</v>
      </c>
      <c r="P196" s="3" t="s">
        <v>1648</v>
      </c>
      <c r="Q196" s="3" t="s">
        <v>1649</v>
      </c>
      <c r="R196" s="3" t="s">
        <v>36</v>
      </c>
      <c r="S196" s="3" t="s">
        <v>221</v>
      </c>
      <c r="T196" s="3" t="s">
        <v>37</v>
      </c>
      <c r="U196" s="3" t="s">
        <v>38</v>
      </c>
      <c r="V196" s="3" t="s">
        <v>1446</v>
      </c>
      <c r="W196" s="3" t="s">
        <v>223</v>
      </c>
      <c r="X196" s="3" t="s">
        <v>41</v>
      </c>
      <c r="Y196" s="3" t="s">
        <v>1650</v>
      </c>
      <c r="Z196" s="3" t="s">
        <v>320</v>
      </c>
      <c r="AA196" s="3" t="s">
        <v>123</v>
      </c>
      <c r="AB196" s="3" t="s">
        <v>100</v>
      </c>
      <c r="AC196" s="3" t="s">
        <v>1651</v>
      </c>
      <c r="AD196" s="14">
        <v>45324</v>
      </c>
      <c r="AE196" s="14">
        <v>45633</v>
      </c>
      <c r="AF196" s="3"/>
    </row>
    <row r="197" spans="1:32" ht="39.6" hidden="1">
      <c r="A197" s="3" t="s">
        <v>624</v>
      </c>
      <c r="B197" s="3" t="s">
        <v>625</v>
      </c>
      <c r="C197" s="3"/>
      <c r="D197" s="3" t="s">
        <v>35</v>
      </c>
      <c r="E197" s="3" t="s">
        <v>36</v>
      </c>
      <c r="F197" s="3" t="s">
        <v>247</v>
      </c>
      <c r="G197" s="3" t="s">
        <v>82</v>
      </c>
      <c r="H197" s="3" t="s">
        <v>49</v>
      </c>
      <c r="I197" s="3" t="s">
        <v>626</v>
      </c>
      <c r="J197" s="3" t="s">
        <v>223</v>
      </c>
      <c r="K197" s="3" t="s">
        <v>356</v>
      </c>
      <c r="L197" s="3" t="s">
        <v>627</v>
      </c>
      <c r="M197" s="3" t="s">
        <v>628</v>
      </c>
      <c r="N197" s="3" t="s">
        <v>53</v>
      </c>
      <c r="O197" s="3" t="s">
        <v>278</v>
      </c>
      <c r="P197" s="3" t="s">
        <v>1652</v>
      </c>
      <c r="Q197" s="3" t="s">
        <v>1653</v>
      </c>
      <c r="R197" s="3" t="s">
        <v>36</v>
      </c>
      <c r="S197" s="3" t="s">
        <v>221</v>
      </c>
      <c r="T197" s="3" t="s">
        <v>37</v>
      </c>
      <c r="U197" s="3" t="s">
        <v>49</v>
      </c>
      <c r="V197" s="3" t="s">
        <v>1654</v>
      </c>
      <c r="W197" s="3" t="s">
        <v>223</v>
      </c>
      <c r="X197" s="3" t="s">
        <v>41</v>
      </c>
      <c r="Y197" s="3" t="s">
        <v>730</v>
      </c>
      <c r="Z197" s="3" t="s">
        <v>1655</v>
      </c>
      <c r="AA197" s="3" t="s">
        <v>63</v>
      </c>
      <c r="AB197" s="3" t="s">
        <v>811</v>
      </c>
      <c r="AC197" s="3" t="s">
        <v>1656</v>
      </c>
      <c r="AD197" s="14">
        <v>45352</v>
      </c>
      <c r="AE197" s="14">
        <v>46022</v>
      </c>
      <c r="AF197" s="3"/>
    </row>
    <row r="198" spans="1:32" ht="39.6" hidden="1">
      <c r="A198" s="3" t="s">
        <v>1657</v>
      </c>
      <c r="B198" s="3" t="s">
        <v>1658</v>
      </c>
      <c r="C198" s="3"/>
      <c r="D198" s="3" t="s">
        <v>35</v>
      </c>
      <c r="E198" s="3" t="s">
        <v>36</v>
      </c>
      <c r="F198" s="3" t="s">
        <v>247</v>
      </c>
      <c r="G198" s="3" t="s">
        <v>82</v>
      </c>
      <c r="H198" s="3" t="s">
        <v>49</v>
      </c>
      <c r="I198" s="3" t="s">
        <v>1659</v>
      </c>
      <c r="J198" s="3" t="s">
        <v>223</v>
      </c>
      <c r="K198" s="3" t="s">
        <v>41</v>
      </c>
      <c r="L198" s="3" t="s">
        <v>1660</v>
      </c>
      <c r="M198" s="3" t="s">
        <v>1661</v>
      </c>
      <c r="N198" s="3" t="s">
        <v>44</v>
      </c>
      <c r="O198" s="3" t="s">
        <v>1239</v>
      </c>
      <c r="P198" s="3" t="s">
        <v>1662</v>
      </c>
      <c r="Q198" s="3" t="s">
        <v>1663</v>
      </c>
      <c r="R198" s="3" t="s">
        <v>36</v>
      </c>
      <c r="S198" s="3" t="s">
        <v>274</v>
      </c>
      <c r="T198" s="3" t="s">
        <v>82</v>
      </c>
      <c r="U198" s="3" t="s">
        <v>38</v>
      </c>
      <c r="V198" s="3" t="s">
        <v>1664</v>
      </c>
      <c r="W198" s="3" t="s">
        <v>223</v>
      </c>
      <c r="X198" s="3" t="s">
        <v>41</v>
      </c>
      <c r="Y198" s="3" t="s">
        <v>1665</v>
      </c>
      <c r="Z198" s="3" t="s">
        <v>225</v>
      </c>
      <c r="AA198" s="3" t="s">
        <v>63</v>
      </c>
      <c r="AB198" s="3" t="s">
        <v>226</v>
      </c>
      <c r="AC198" s="3" t="s">
        <v>1666</v>
      </c>
      <c r="AD198" s="14">
        <v>44621</v>
      </c>
      <c r="AE198" s="14">
        <v>45356</v>
      </c>
      <c r="AF198" s="3"/>
    </row>
    <row r="199" spans="1:32" ht="39.6" hidden="1">
      <c r="A199" s="3" t="s">
        <v>1667</v>
      </c>
      <c r="B199" s="3" t="s">
        <v>1668</v>
      </c>
      <c r="C199" s="3" t="s">
        <v>1669</v>
      </c>
      <c r="D199" s="3" t="s">
        <v>59</v>
      </c>
      <c r="E199" s="3" t="s">
        <v>36</v>
      </c>
      <c r="F199" s="3" t="s">
        <v>221</v>
      </c>
      <c r="G199" s="3" t="s">
        <v>82</v>
      </c>
      <c r="H199" s="3" t="s">
        <v>49</v>
      </c>
      <c r="I199" s="3" t="s">
        <v>1670</v>
      </c>
      <c r="J199" s="3" t="s">
        <v>223</v>
      </c>
      <c r="K199" s="3" t="s">
        <v>41</v>
      </c>
      <c r="L199" s="3" t="s">
        <v>1671</v>
      </c>
      <c r="M199" s="3" t="s">
        <v>1672</v>
      </c>
      <c r="N199" s="3" t="s">
        <v>63</v>
      </c>
      <c r="O199" s="3" t="s">
        <v>240</v>
      </c>
      <c r="P199" s="3" t="s">
        <v>1673</v>
      </c>
      <c r="Q199" s="3" t="s">
        <v>1674</v>
      </c>
      <c r="R199" s="3" t="s">
        <v>36</v>
      </c>
      <c r="S199" s="3" t="s">
        <v>221</v>
      </c>
      <c r="T199" s="3" t="s">
        <v>82</v>
      </c>
      <c r="U199" s="3" t="s">
        <v>73</v>
      </c>
      <c r="V199" s="3" t="s">
        <v>1675</v>
      </c>
      <c r="W199" s="3" t="s">
        <v>223</v>
      </c>
      <c r="X199" s="3" t="s">
        <v>41</v>
      </c>
      <c r="Y199" s="3" t="s">
        <v>249</v>
      </c>
      <c r="Z199" s="3" t="s">
        <v>1676</v>
      </c>
      <c r="AA199" s="3" t="s">
        <v>281</v>
      </c>
      <c r="AB199" s="3" t="s">
        <v>251</v>
      </c>
      <c r="AC199" s="3" t="s">
        <v>1677</v>
      </c>
      <c r="AD199" s="14">
        <v>45175</v>
      </c>
      <c r="AE199" s="14">
        <v>45473</v>
      </c>
      <c r="AF199" s="3"/>
    </row>
    <row r="200" spans="1:32" ht="39.6" hidden="1">
      <c r="A200" s="3" t="s">
        <v>935</v>
      </c>
      <c r="B200" s="3" t="s">
        <v>936</v>
      </c>
      <c r="C200" s="3" t="s">
        <v>1678</v>
      </c>
      <c r="D200" s="3" t="s">
        <v>59</v>
      </c>
      <c r="E200" s="3" t="s">
        <v>36</v>
      </c>
      <c r="F200" s="3"/>
      <c r="G200" s="3" t="s">
        <v>82</v>
      </c>
      <c r="H200" s="3" t="s">
        <v>49</v>
      </c>
      <c r="I200" s="3" t="s">
        <v>938</v>
      </c>
      <c r="J200" s="3" t="s">
        <v>40</v>
      </c>
      <c r="K200" s="3" t="s">
        <v>41</v>
      </c>
      <c r="L200" s="3" t="s">
        <v>106</v>
      </c>
      <c r="M200" s="3" t="s">
        <v>939</v>
      </c>
      <c r="N200" s="3" t="s">
        <v>53</v>
      </c>
      <c r="O200" s="3" t="s">
        <v>54</v>
      </c>
      <c r="P200" s="3" t="s">
        <v>103</v>
      </c>
      <c r="Q200" s="3" t="s">
        <v>104</v>
      </c>
      <c r="R200" s="3" t="s">
        <v>36</v>
      </c>
      <c r="S200" s="3"/>
      <c r="T200" s="3" t="s">
        <v>37</v>
      </c>
      <c r="U200" s="3" t="s">
        <v>49</v>
      </c>
      <c r="V200" s="3" t="s">
        <v>105</v>
      </c>
      <c r="W200" s="3" t="s">
        <v>40</v>
      </c>
      <c r="X200" s="3" t="s">
        <v>41</v>
      </c>
      <c r="Y200" s="3" t="s">
        <v>106</v>
      </c>
      <c r="Z200" s="3" t="s">
        <v>107</v>
      </c>
      <c r="AA200" s="3" t="s">
        <v>79</v>
      </c>
      <c r="AB200" s="3" t="s">
        <v>64</v>
      </c>
      <c r="AC200" s="3" t="s">
        <v>1679</v>
      </c>
      <c r="AD200" s="14">
        <v>45240</v>
      </c>
      <c r="AE200" s="14"/>
      <c r="AF200" s="3"/>
    </row>
    <row r="201" spans="1:32" ht="211.15" hidden="1">
      <c r="A201" s="3" t="s">
        <v>1680</v>
      </c>
      <c r="B201" s="3" t="s">
        <v>1681</v>
      </c>
      <c r="C201" s="3" t="s">
        <v>1682</v>
      </c>
      <c r="D201" s="3" t="s">
        <v>59</v>
      </c>
      <c r="E201" s="3" t="s">
        <v>36</v>
      </c>
      <c r="F201" s="3" t="s">
        <v>247</v>
      </c>
      <c r="G201" s="3" t="s">
        <v>37</v>
      </c>
      <c r="H201" s="3" t="s">
        <v>38</v>
      </c>
      <c r="I201" s="3" t="s">
        <v>1683</v>
      </c>
      <c r="J201" s="3" t="s">
        <v>223</v>
      </c>
      <c r="K201" s="3" t="s">
        <v>41</v>
      </c>
      <c r="L201" s="3" t="s">
        <v>1684</v>
      </c>
      <c r="M201" s="3" t="s">
        <v>43</v>
      </c>
      <c r="N201" s="3" t="s">
        <v>79</v>
      </c>
      <c r="O201" s="3" t="s">
        <v>45</v>
      </c>
      <c r="P201" s="3" t="s">
        <v>1685</v>
      </c>
      <c r="Q201" s="3" t="s">
        <v>1686</v>
      </c>
      <c r="R201" s="3" t="s">
        <v>36</v>
      </c>
      <c r="S201" s="3" t="s">
        <v>247</v>
      </c>
      <c r="T201" s="3" t="s">
        <v>37</v>
      </c>
      <c r="U201" s="3" t="s">
        <v>49</v>
      </c>
      <c r="V201" s="3" t="s">
        <v>1687</v>
      </c>
      <c r="W201" s="3" t="s">
        <v>223</v>
      </c>
      <c r="X201" s="3" t="s">
        <v>41</v>
      </c>
      <c r="Y201" s="3" t="s">
        <v>1688</v>
      </c>
      <c r="Z201" s="3" t="s">
        <v>1689</v>
      </c>
      <c r="AA201" s="3" t="s">
        <v>79</v>
      </c>
      <c r="AB201" s="3" t="s">
        <v>270</v>
      </c>
      <c r="AC201" s="3" t="s">
        <v>1690</v>
      </c>
      <c r="AD201" s="14">
        <v>45383</v>
      </c>
      <c r="AE201" s="14"/>
      <c r="AF201" s="3"/>
    </row>
    <row r="202" spans="1:32" ht="184.9" hidden="1">
      <c r="A202" s="3" t="s">
        <v>1691</v>
      </c>
      <c r="B202" s="3" t="s">
        <v>1692</v>
      </c>
      <c r="C202" s="3" t="s">
        <v>1693</v>
      </c>
      <c r="D202" s="3" t="s">
        <v>59</v>
      </c>
      <c r="E202" s="3" t="s">
        <v>36</v>
      </c>
      <c r="F202" s="3" t="s">
        <v>274</v>
      </c>
      <c r="G202" s="3" t="s">
        <v>82</v>
      </c>
      <c r="H202" s="3" t="s">
        <v>49</v>
      </c>
      <c r="I202" s="3" t="s">
        <v>1694</v>
      </c>
      <c r="J202" s="3" t="s">
        <v>223</v>
      </c>
      <c r="K202" s="3" t="s">
        <v>41</v>
      </c>
      <c r="L202" s="3" t="s">
        <v>1695</v>
      </c>
      <c r="M202" s="3" t="s">
        <v>1085</v>
      </c>
      <c r="N202" s="3" t="s">
        <v>79</v>
      </c>
      <c r="O202" s="3" t="s">
        <v>658</v>
      </c>
      <c r="P202" s="3" t="s">
        <v>1696</v>
      </c>
      <c r="Q202" s="3" t="s">
        <v>1697</v>
      </c>
      <c r="R202" s="3" t="s">
        <v>36</v>
      </c>
      <c r="S202" s="3" t="s">
        <v>247</v>
      </c>
      <c r="T202" s="3" t="s">
        <v>37</v>
      </c>
      <c r="U202" s="3" t="s">
        <v>73</v>
      </c>
      <c r="V202" s="3" t="s">
        <v>1698</v>
      </c>
      <c r="W202" s="3" t="s">
        <v>223</v>
      </c>
      <c r="X202" s="3" t="s">
        <v>41</v>
      </c>
      <c r="Y202" s="3" t="s">
        <v>1695</v>
      </c>
      <c r="Z202" s="3" t="s">
        <v>692</v>
      </c>
      <c r="AA202" s="3" t="s">
        <v>285</v>
      </c>
      <c r="AB202" s="3" t="s">
        <v>658</v>
      </c>
      <c r="AC202" s="3" t="s">
        <v>1699</v>
      </c>
      <c r="AD202" s="14">
        <v>45372</v>
      </c>
      <c r="AE202" s="14">
        <v>45626</v>
      </c>
      <c r="AF202" s="3"/>
    </row>
    <row r="203" spans="1:32" ht="92.45" hidden="1">
      <c r="A203" s="3" t="s">
        <v>1700</v>
      </c>
      <c r="B203" s="3" t="s">
        <v>1701</v>
      </c>
      <c r="C203" s="3" t="s">
        <v>1702</v>
      </c>
      <c r="D203" s="3" t="s">
        <v>59</v>
      </c>
      <c r="E203" s="3" t="s">
        <v>36</v>
      </c>
      <c r="F203" s="3" t="s">
        <v>274</v>
      </c>
      <c r="G203" s="3" t="s">
        <v>37</v>
      </c>
      <c r="H203" s="3" t="s">
        <v>38</v>
      </c>
      <c r="I203" s="3" t="s">
        <v>1703</v>
      </c>
      <c r="J203" s="3" t="s">
        <v>223</v>
      </c>
      <c r="K203" s="3" t="s">
        <v>41</v>
      </c>
      <c r="L203" s="3" t="s">
        <v>1704</v>
      </c>
      <c r="M203" s="3" t="s">
        <v>392</v>
      </c>
      <c r="N203" s="3" t="s">
        <v>79</v>
      </c>
      <c r="O203" s="3" t="s">
        <v>100</v>
      </c>
      <c r="P203" s="3" t="s">
        <v>1705</v>
      </c>
      <c r="Q203" s="3" t="s">
        <v>1706</v>
      </c>
      <c r="R203" s="3" t="s">
        <v>36</v>
      </c>
      <c r="S203" s="3" t="s">
        <v>221</v>
      </c>
      <c r="T203" s="3" t="s">
        <v>82</v>
      </c>
      <c r="U203" s="3" t="s">
        <v>49</v>
      </c>
      <c r="V203" s="3" t="s">
        <v>1707</v>
      </c>
      <c r="W203" s="3" t="s">
        <v>223</v>
      </c>
      <c r="X203" s="3" t="s">
        <v>41</v>
      </c>
      <c r="Y203" s="3" t="s">
        <v>1708</v>
      </c>
      <c r="Z203" s="3" t="s">
        <v>1709</v>
      </c>
      <c r="AA203" s="3" t="s">
        <v>79</v>
      </c>
      <c r="AB203" s="3" t="s">
        <v>643</v>
      </c>
      <c r="AC203" s="3" t="s">
        <v>1710</v>
      </c>
      <c r="AD203" s="14">
        <v>45294</v>
      </c>
      <c r="AE203" s="14">
        <v>45371</v>
      </c>
      <c r="AF203" s="3" t="s">
        <v>632</v>
      </c>
    </row>
    <row r="204" spans="1:32" ht="52.9" hidden="1">
      <c r="A204" s="3" t="s">
        <v>1711</v>
      </c>
      <c r="B204" s="3" t="s">
        <v>1712</v>
      </c>
      <c r="C204" s="3" t="s">
        <v>1713</v>
      </c>
      <c r="D204" s="3" t="s">
        <v>35</v>
      </c>
      <c r="E204" s="3" t="s">
        <v>36</v>
      </c>
      <c r="F204" s="3" t="s">
        <v>221</v>
      </c>
      <c r="G204" s="3" t="s">
        <v>82</v>
      </c>
      <c r="H204" s="3" t="s">
        <v>49</v>
      </c>
      <c r="I204" s="3" t="s">
        <v>1714</v>
      </c>
      <c r="J204" s="3" t="s">
        <v>223</v>
      </c>
      <c r="K204" s="3" t="s">
        <v>41</v>
      </c>
      <c r="L204" s="3" t="s">
        <v>1715</v>
      </c>
      <c r="M204" s="3" t="s">
        <v>1448</v>
      </c>
      <c r="N204" s="3" t="s">
        <v>44</v>
      </c>
      <c r="O204" s="3" t="s">
        <v>295</v>
      </c>
      <c r="P204" s="3" t="s">
        <v>1716</v>
      </c>
      <c r="Q204" s="3" t="s">
        <v>1717</v>
      </c>
      <c r="R204" s="3" t="s">
        <v>36</v>
      </c>
      <c r="S204" s="3" t="s">
        <v>254</v>
      </c>
      <c r="T204" s="3" t="s">
        <v>37</v>
      </c>
      <c r="U204" s="3" t="s">
        <v>78</v>
      </c>
      <c r="V204" s="3" t="s">
        <v>1714</v>
      </c>
      <c r="W204" s="3" t="s">
        <v>223</v>
      </c>
      <c r="X204" s="3" t="s">
        <v>41</v>
      </c>
      <c r="Y204" s="3" t="s">
        <v>1718</v>
      </c>
      <c r="Z204" s="3" t="s">
        <v>372</v>
      </c>
      <c r="AA204" s="3" t="s">
        <v>123</v>
      </c>
      <c r="AB204" s="3" t="s">
        <v>201</v>
      </c>
      <c r="AC204" s="3" t="s">
        <v>1719</v>
      </c>
      <c r="AD204" s="14">
        <v>45306</v>
      </c>
      <c r="AE204" s="14">
        <v>45473</v>
      </c>
      <c r="AF204" s="3"/>
    </row>
    <row r="205" spans="1:32" ht="52.9" hidden="1">
      <c r="A205" s="3" t="s">
        <v>1720</v>
      </c>
      <c r="B205" s="3" t="s">
        <v>1721</v>
      </c>
      <c r="C205" s="3" t="s">
        <v>1722</v>
      </c>
      <c r="D205" s="3" t="s">
        <v>59</v>
      </c>
      <c r="E205" s="3" t="s">
        <v>36</v>
      </c>
      <c r="F205" s="3" t="s">
        <v>221</v>
      </c>
      <c r="G205" s="3" t="s">
        <v>37</v>
      </c>
      <c r="H205" s="3" t="s">
        <v>49</v>
      </c>
      <c r="I205" s="3" t="s">
        <v>1723</v>
      </c>
      <c r="J205" s="3" t="s">
        <v>223</v>
      </c>
      <c r="K205" s="3" t="s">
        <v>41</v>
      </c>
      <c r="L205" s="3" t="s">
        <v>1724</v>
      </c>
      <c r="M205" s="3" t="s">
        <v>1615</v>
      </c>
      <c r="N205" s="3" t="s">
        <v>79</v>
      </c>
      <c r="O205" s="3" t="s">
        <v>1310</v>
      </c>
      <c r="P205" s="3" t="s">
        <v>1725</v>
      </c>
      <c r="Q205" s="3" t="s">
        <v>1726</v>
      </c>
      <c r="R205" s="3" t="s">
        <v>36</v>
      </c>
      <c r="S205" s="3" t="s">
        <v>221</v>
      </c>
      <c r="T205" s="3" t="s">
        <v>37</v>
      </c>
      <c r="U205" s="3" t="s">
        <v>49</v>
      </c>
      <c r="V205" s="3" t="s">
        <v>1727</v>
      </c>
      <c r="W205" s="3" t="s">
        <v>223</v>
      </c>
      <c r="X205" s="3" t="s">
        <v>41</v>
      </c>
      <c r="Y205" s="3" t="s">
        <v>230</v>
      </c>
      <c r="Z205" s="3" t="s">
        <v>1728</v>
      </c>
      <c r="AA205" s="3" t="s">
        <v>79</v>
      </c>
      <c r="AB205" s="3" t="s">
        <v>116</v>
      </c>
      <c r="AC205" s="3" t="s">
        <v>1729</v>
      </c>
      <c r="AD205" s="14">
        <v>45370</v>
      </c>
      <c r="AE205" s="14"/>
      <c r="AF205" s="3"/>
    </row>
    <row r="206" spans="1:32" ht="92.45" hidden="1">
      <c r="A206" s="3" t="s">
        <v>1730</v>
      </c>
      <c r="B206" s="3" t="s">
        <v>1731</v>
      </c>
      <c r="C206" s="3" t="s">
        <v>1732</v>
      </c>
      <c r="D206" s="3" t="s">
        <v>59</v>
      </c>
      <c r="E206" s="3" t="s">
        <v>36</v>
      </c>
      <c r="F206" s="3" t="s">
        <v>221</v>
      </c>
      <c r="G206" s="3" t="s">
        <v>82</v>
      </c>
      <c r="H206" s="3" t="s">
        <v>49</v>
      </c>
      <c r="I206" s="3" t="s">
        <v>1733</v>
      </c>
      <c r="J206" s="3" t="s">
        <v>223</v>
      </c>
      <c r="K206" s="3" t="s">
        <v>41</v>
      </c>
      <c r="L206" s="3" t="s">
        <v>1734</v>
      </c>
      <c r="M206" s="3" t="s">
        <v>1735</v>
      </c>
      <c r="N206" s="3" t="s">
        <v>63</v>
      </c>
      <c r="O206" s="3" t="s">
        <v>301</v>
      </c>
      <c r="P206" s="3" t="s">
        <v>1736</v>
      </c>
      <c r="Q206" s="3" t="s">
        <v>1737</v>
      </c>
      <c r="R206" s="3" t="s">
        <v>36</v>
      </c>
      <c r="S206" s="3" t="s">
        <v>221</v>
      </c>
      <c r="T206" s="3" t="s">
        <v>82</v>
      </c>
      <c r="U206" s="3" t="s">
        <v>38</v>
      </c>
      <c r="V206" s="3" t="s">
        <v>1738</v>
      </c>
      <c r="W206" s="3" t="s">
        <v>223</v>
      </c>
      <c r="X206" s="3" t="s">
        <v>41</v>
      </c>
      <c r="Y206" s="3" t="s">
        <v>1739</v>
      </c>
      <c r="Z206" s="3" t="s">
        <v>1740</v>
      </c>
      <c r="AA206" s="3" t="s">
        <v>79</v>
      </c>
      <c r="AB206" s="3" t="s">
        <v>1741</v>
      </c>
      <c r="AC206" s="3" t="s">
        <v>1742</v>
      </c>
      <c r="AD206" s="14">
        <v>45327</v>
      </c>
      <c r="AE206" s="14">
        <v>45473</v>
      </c>
      <c r="AF206" s="3"/>
    </row>
    <row r="207" spans="1:32" ht="145.15" hidden="1">
      <c r="A207" s="3" t="s">
        <v>1743</v>
      </c>
      <c r="B207" s="3" t="s">
        <v>1744</v>
      </c>
      <c r="C207" s="3" t="s">
        <v>1745</v>
      </c>
      <c r="D207" s="3" t="s">
        <v>59</v>
      </c>
      <c r="E207" s="3" t="s">
        <v>36</v>
      </c>
      <c r="F207" s="3" t="s">
        <v>247</v>
      </c>
      <c r="G207" s="3" t="s">
        <v>37</v>
      </c>
      <c r="H207" s="3" t="s">
        <v>38</v>
      </c>
      <c r="I207" s="3" t="s">
        <v>1746</v>
      </c>
      <c r="J207" s="3" t="s">
        <v>223</v>
      </c>
      <c r="K207" s="3" t="s">
        <v>41</v>
      </c>
      <c r="L207" s="3" t="s">
        <v>1747</v>
      </c>
      <c r="M207" s="3" t="s">
        <v>1748</v>
      </c>
      <c r="N207" s="3" t="s">
        <v>44</v>
      </c>
      <c r="O207" s="3" t="s">
        <v>86</v>
      </c>
      <c r="P207" s="3" t="s">
        <v>1749</v>
      </c>
      <c r="Q207" s="3" t="s">
        <v>1750</v>
      </c>
      <c r="R207" s="3"/>
      <c r="S207" s="3" t="s">
        <v>221</v>
      </c>
      <c r="T207" s="3" t="s">
        <v>37</v>
      </c>
      <c r="U207" s="3" t="s">
        <v>73</v>
      </c>
      <c r="V207" s="3"/>
      <c r="W207" s="3" t="s">
        <v>223</v>
      </c>
      <c r="X207" s="3"/>
      <c r="Y207" s="3"/>
      <c r="Z207" s="3"/>
      <c r="AA207" s="3" t="s">
        <v>79</v>
      </c>
      <c r="AB207" s="3"/>
      <c r="AC207" s="3" t="s">
        <v>1751</v>
      </c>
      <c r="AD207" s="14">
        <v>45168</v>
      </c>
      <c r="AE207" s="14">
        <v>45534</v>
      </c>
      <c r="AF207" s="3" t="s">
        <v>163</v>
      </c>
    </row>
    <row r="208" spans="1:32" ht="52.9" hidden="1">
      <c r="A208" s="3" t="s">
        <v>1752</v>
      </c>
      <c r="B208" s="3" t="s">
        <v>1753</v>
      </c>
      <c r="C208" s="3"/>
      <c r="D208" s="3" t="s">
        <v>59</v>
      </c>
      <c r="E208" s="3"/>
      <c r="F208" s="3"/>
      <c r="G208" s="3" t="s">
        <v>82</v>
      </c>
      <c r="H208" s="3" t="s">
        <v>38</v>
      </c>
      <c r="I208" s="3"/>
      <c r="J208" s="3" t="s">
        <v>198</v>
      </c>
      <c r="K208" s="3"/>
      <c r="L208" s="3"/>
      <c r="M208" s="3"/>
      <c r="N208" s="3" t="s">
        <v>79</v>
      </c>
      <c r="O208" s="3"/>
      <c r="P208" s="3" t="s">
        <v>1754</v>
      </c>
      <c r="Q208" s="3" t="s">
        <v>1755</v>
      </c>
      <c r="R208" s="3" t="s">
        <v>36</v>
      </c>
      <c r="S208" s="3"/>
      <c r="T208" s="3" t="s">
        <v>37</v>
      </c>
      <c r="U208" s="3" t="s">
        <v>49</v>
      </c>
      <c r="V208" s="3" t="s">
        <v>1756</v>
      </c>
      <c r="W208" s="3" t="s">
        <v>198</v>
      </c>
      <c r="X208" s="3" t="s">
        <v>41</v>
      </c>
      <c r="Y208" s="3" t="s">
        <v>1757</v>
      </c>
      <c r="Z208" s="3" t="s">
        <v>1758</v>
      </c>
      <c r="AA208" s="3" t="s">
        <v>53</v>
      </c>
      <c r="AB208" s="3" t="s">
        <v>1416</v>
      </c>
      <c r="AC208" s="3" t="s">
        <v>1759</v>
      </c>
      <c r="AD208" s="14">
        <v>45290</v>
      </c>
      <c r="AE208" s="14">
        <v>45473</v>
      </c>
      <c r="AF208" s="3"/>
    </row>
    <row r="209" spans="1:32" ht="52.9" hidden="1">
      <c r="A209" s="3" t="s">
        <v>1760</v>
      </c>
      <c r="B209" s="3" t="s">
        <v>1761</v>
      </c>
      <c r="C209" s="3" t="s">
        <v>1762</v>
      </c>
      <c r="D209" s="3" t="s">
        <v>59</v>
      </c>
      <c r="E209" s="3" t="s">
        <v>36</v>
      </c>
      <c r="F209" s="3" t="s">
        <v>274</v>
      </c>
      <c r="G209" s="3" t="s">
        <v>37</v>
      </c>
      <c r="H209" s="3" t="s">
        <v>38</v>
      </c>
      <c r="I209" s="3" t="s">
        <v>1763</v>
      </c>
      <c r="J209" s="3" t="s">
        <v>223</v>
      </c>
      <c r="K209" s="3" t="s">
        <v>780</v>
      </c>
      <c r="L209" s="3" t="s">
        <v>1764</v>
      </c>
      <c r="M209" s="3" t="s">
        <v>1765</v>
      </c>
      <c r="N209" s="3" t="s">
        <v>44</v>
      </c>
      <c r="O209" s="3" t="s">
        <v>45</v>
      </c>
      <c r="P209" s="3" t="s">
        <v>1766</v>
      </c>
      <c r="Q209" s="3" t="s">
        <v>1767</v>
      </c>
      <c r="R209" s="3" t="s">
        <v>36</v>
      </c>
      <c r="S209" s="3" t="s">
        <v>274</v>
      </c>
      <c r="T209" s="3" t="s">
        <v>37</v>
      </c>
      <c r="U209" s="3" t="s">
        <v>38</v>
      </c>
      <c r="V209" s="3" t="s">
        <v>1768</v>
      </c>
      <c r="W209" s="3" t="s">
        <v>223</v>
      </c>
      <c r="X209" s="3" t="s">
        <v>780</v>
      </c>
      <c r="Y209" s="3" t="s">
        <v>1769</v>
      </c>
      <c r="Z209" s="3" t="s">
        <v>1770</v>
      </c>
      <c r="AA209" s="3" t="s">
        <v>123</v>
      </c>
      <c r="AB209" s="3" t="s">
        <v>571</v>
      </c>
      <c r="AC209" s="3" t="s">
        <v>1771</v>
      </c>
      <c r="AD209" s="14">
        <v>45180</v>
      </c>
      <c r="AE209" s="14">
        <v>45748</v>
      </c>
      <c r="AF209" s="3"/>
    </row>
    <row r="210" spans="1:32" ht="158.44999999999999" hidden="1">
      <c r="A210" s="3" t="s">
        <v>1320</v>
      </c>
      <c r="B210" s="3" t="s">
        <v>1321</v>
      </c>
      <c r="C210" s="3" t="s">
        <v>1772</v>
      </c>
      <c r="D210" s="3" t="s">
        <v>348</v>
      </c>
      <c r="E210" s="3" t="s">
        <v>36</v>
      </c>
      <c r="F210" s="3" t="s">
        <v>274</v>
      </c>
      <c r="G210" s="3" t="s">
        <v>82</v>
      </c>
      <c r="H210" s="3" t="s">
        <v>38</v>
      </c>
      <c r="I210" s="3" t="s">
        <v>1323</v>
      </c>
      <c r="J210" s="3" t="s">
        <v>223</v>
      </c>
      <c r="K210" s="3" t="s">
        <v>41</v>
      </c>
      <c r="L210" s="3" t="s">
        <v>1324</v>
      </c>
      <c r="M210" s="3" t="s">
        <v>1325</v>
      </c>
      <c r="N210" s="3" t="s">
        <v>44</v>
      </c>
      <c r="O210" s="3" t="s">
        <v>1239</v>
      </c>
      <c r="P210" s="3" t="s">
        <v>1773</v>
      </c>
      <c r="Q210" s="3" t="s">
        <v>1774</v>
      </c>
      <c r="R210" s="3" t="s">
        <v>36</v>
      </c>
      <c r="S210" s="3" t="s">
        <v>221</v>
      </c>
      <c r="T210" s="3" t="s">
        <v>82</v>
      </c>
      <c r="U210" s="3" t="s">
        <v>38</v>
      </c>
      <c r="V210" s="3" t="s">
        <v>1775</v>
      </c>
      <c r="W210" s="3" t="s">
        <v>223</v>
      </c>
      <c r="X210" s="3" t="s">
        <v>41</v>
      </c>
      <c r="Y210" s="3" t="s">
        <v>504</v>
      </c>
      <c r="Z210" s="3" t="s">
        <v>1776</v>
      </c>
      <c r="AA210" s="3" t="s">
        <v>79</v>
      </c>
      <c r="AB210" s="3" t="s">
        <v>506</v>
      </c>
      <c r="AC210" s="3" t="s">
        <v>1777</v>
      </c>
      <c r="AD210" s="14">
        <v>45317</v>
      </c>
      <c r="AE210" s="14">
        <v>45473</v>
      </c>
      <c r="AF210" s="3"/>
    </row>
    <row r="211" spans="1:32" ht="250.9" hidden="1">
      <c r="A211" s="3" t="s">
        <v>1778</v>
      </c>
      <c r="B211" s="3" t="s">
        <v>1779</v>
      </c>
      <c r="C211" s="3" t="s">
        <v>1780</v>
      </c>
      <c r="D211" s="3" t="s">
        <v>59</v>
      </c>
      <c r="E211" s="3" t="s">
        <v>36</v>
      </c>
      <c r="F211" s="3" t="s">
        <v>274</v>
      </c>
      <c r="G211" s="3" t="s">
        <v>37</v>
      </c>
      <c r="H211" s="3" t="s">
        <v>38</v>
      </c>
      <c r="I211" s="3" t="s">
        <v>1781</v>
      </c>
      <c r="J211" s="3" t="s">
        <v>223</v>
      </c>
      <c r="K211" s="3" t="s">
        <v>41</v>
      </c>
      <c r="L211" s="3" t="s">
        <v>1782</v>
      </c>
      <c r="M211" s="3" t="s">
        <v>1100</v>
      </c>
      <c r="N211" s="3" t="s">
        <v>44</v>
      </c>
      <c r="O211" s="3" t="s">
        <v>278</v>
      </c>
      <c r="P211" s="3" t="s">
        <v>1783</v>
      </c>
      <c r="Q211" s="3" t="s">
        <v>1784</v>
      </c>
      <c r="R211" s="3"/>
      <c r="S211" s="3" t="s">
        <v>221</v>
      </c>
      <c r="T211" s="3" t="s">
        <v>37</v>
      </c>
      <c r="U211" s="3" t="s">
        <v>49</v>
      </c>
      <c r="V211" s="3"/>
      <c r="W211" s="3" t="s">
        <v>223</v>
      </c>
      <c r="X211" s="3"/>
      <c r="Y211" s="3"/>
      <c r="Z211" s="3"/>
      <c r="AA211" s="3" t="s">
        <v>79</v>
      </c>
      <c r="AB211" s="3"/>
      <c r="AC211" s="3" t="s">
        <v>1785</v>
      </c>
      <c r="AD211" s="14">
        <v>45260</v>
      </c>
      <c r="AE211" s="14">
        <v>45626</v>
      </c>
      <c r="AF211" s="3"/>
    </row>
    <row r="212" spans="1:32" ht="39.6" hidden="1">
      <c r="A212" s="3" t="s">
        <v>1376</v>
      </c>
      <c r="B212" s="3" t="s">
        <v>1377</v>
      </c>
      <c r="C212" s="3" t="s">
        <v>1786</v>
      </c>
      <c r="D212" s="3" t="s">
        <v>35</v>
      </c>
      <c r="E212" s="3" t="s">
        <v>36</v>
      </c>
      <c r="F212" s="3" t="s">
        <v>247</v>
      </c>
      <c r="G212" s="3" t="s">
        <v>37</v>
      </c>
      <c r="H212" s="3" t="s">
        <v>78</v>
      </c>
      <c r="I212" s="3" t="s">
        <v>1378</v>
      </c>
      <c r="J212" s="3" t="s">
        <v>223</v>
      </c>
      <c r="K212" s="3" t="s">
        <v>41</v>
      </c>
      <c r="L212" s="3" t="s">
        <v>1379</v>
      </c>
      <c r="M212" s="3" t="s">
        <v>886</v>
      </c>
      <c r="N212" s="3" t="s">
        <v>123</v>
      </c>
      <c r="O212" s="3" t="s">
        <v>116</v>
      </c>
      <c r="P212" s="3" t="s">
        <v>1787</v>
      </c>
      <c r="Q212" s="3" t="s">
        <v>1788</v>
      </c>
      <c r="R212" s="3" t="s">
        <v>36</v>
      </c>
      <c r="S212" s="3" t="s">
        <v>247</v>
      </c>
      <c r="T212" s="3" t="s">
        <v>82</v>
      </c>
      <c r="U212" s="3" t="s">
        <v>49</v>
      </c>
      <c r="V212" s="3" t="s">
        <v>1789</v>
      </c>
      <c r="W212" s="3" t="s">
        <v>223</v>
      </c>
      <c r="X212" s="3" t="s">
        <v>41</v>
      </c>
      <c r="Y212" s="3" t="s">
        <v>1379</v>
      </c>
      <c r="Z212" s="3" t="s">
        <v>1024</v>
      </c>
      <c r="AA212" s="3" t="s">
        <v>53</v>
      </c>
      <c r="AB212" s="3" t="s">
        <v>811</v>
      </c>
      <c r="AC212" s="3" t="s">
        <v>1790</v>
      </c>
      <c r="AD212" s="14">
        <v>45383</v>
      </c>
      <c r="AE212" s="14"/>
      <c r="AF212" s="3"/>
    </row>
    <row r="213" spans="1:32" ht="39.6" hidden="1">
      <c r="A213" s="3" t="s">
        <v>1791</v>
      </c>
      <c r="B213" s="3" t="s">
        <v>1792</v>
      </c>
      <c r="C213" s="3"/>
      <c r="D213" s="3" t="s">
        <v>59</v>
      </c>
      <c r="E213" s="3" t="s">
        <v>36</v>
      </c>
      <c r="F213" s="3" t="s">
        <v>274</v>
      </c>
      <c r="G213" s="3" t="s">
        <v>82</v>
      </c>
      <c r="H213" s="3" t="s">
        <v>78</v>
      </c>
      <c r="I213" s="3" t="s">
        <v>1005</v>
      </c>
      <c r="J213" s="3" t="s">
        <v>223</v>
      </c>
      <c r="K213" s="3" t="s">
        <v>41</v>
      </c>
      <c r="L213" s="3" t="s">
        <v>1793</v>
      </c>
      <c r="M213" s="3" t="s">
        <v>1007</v>
      </c>
      <c r="N213" s="3" t="s">
        <v>44</v>
      </c>
      <c r="O213" s="3" t="s">
        <v>240</v>
      </c>
      <c r="P213" s="3" t="s">
        <v>1794</v>
      </c>
      <c r="Q213" s="3" t="s">
        <v>1795</v>
      </c>
      <c r="R213" s="3" t="s">
        <v>36</v>
      </c>
      <c r="S213" s="3" t="s">
        <v>247</v>
      </c>
      <c r="T213" s="3" t="s">
        <v>82</v>
      </c>
      <c r="U213" s="3" t="s">
        <v>38</v>
      </c>
      <c r="V213" s="3" t="s">
        <v>1287</v>
      </c>
      <c r="W213" s="3" t="s">
        <v>223</v>
      </c>
      <c r="X213" s="3" t="s">
        <v>41</v>
      </c>
      <c r="Y213" s="3" t="s">
        <v>1288</v>
      </c>
      <c r="Z213" s="3" t="s">
        <v>1289</v>
      </c>
      <c r="AA213" s="3" t="s">
        <v>123</v>
      </c>
      <c r="AB213" s="3" t="s">
        <v>240</v>
      </c>
      <c r="AC213" s="3" t="s">
        <v>1796</v>
      </c>
      <c r="AD213" s="14">
        <v>45425</v>
      </c>
      <c r="AE213" s="14">
        <v>45565</v>
      </c>
      <c r="AF213" s="3"/>
    </row>
    <row r="214" spans="1:32" ht="409.6" hidden="1">
      <c r="A214" s="3" t="s">
        <v>1797</v>
      </c>
      <c r="B214" s="3" t="s">
        <v>1798</v>
      </c>
      <c r="C214" s="3" t="s">
        <v>1799</v>
      </c>
      <c r="D214" s="3" t="s">
        <v>59</v>
      </c>
      <c r="E214" s="3"/>
      <c r="F214" s="3" t="s">
        <v>274</v>
      </c>
      <c r="G214" s="3" t="s">
        <v>37</v>
      </c>
      <c r="H214" s="3" t="s">
        <v>78</v>
      </c>
      <c r="I214" s="3"/>
      <c r="J214" s="3" t="s">
        <v>223</v>
      </c>
      <c r="K214" s="3"/>
      <c r="L214" s="3"/>
      <c r="M214" s="3"/>
      <c r="N214" s="3" t="s">
        <v>53</v>
      </c>
      <c r="O214" s="3"/>
      <c r="P214" s="3" t="s">
        <v>1800</v>
      </c>
      <c r="Q214" s="3" t="s">
        <v>1801</v>
      </c>
      <c r="R214" s="3" t="s">
        <v>36</v>
      </c>
      <c r="S214" s="3" t="s">
        <v>274</v>
      </c>
      <c r="T214" s="3" t="s">
        <v>37</v>
      </c>
      <c r="U214" s="3" t="s">
        <v>38</v>
      </c>
      <c r="V214" s="3" t="s">
        <v>1802</v>
      </c>
      <c r="W214" s="3" t="s">
        <v>223</v>
      </c>
      <c r="X214" s="3" t="s">
        <v>41</v>
      </c>
      <c r="Y214" s="3" t="s">
        <v>1803</v>
      </c>
      <c r="Z214" s="3" t="s">
        <v>1804</v>
      </c>
      <c r="AA214" s="3" t="s">
        <v>53</v>
      </c>
      <c r="AB214" s="3" t="s">
        <v>226</v>
      </c>
      <c r="AC214" s="3" t="s">
        <v>1805</v>
      </c>
      <c r="AD214" s="14">
        <v>45394</v>
      </c>
      <c r="AE214" s="14">
        <v>45473</v>
      </c>
      <c r="AF214" s="3"/>
    </row>
    <row r="215" spans="1:32" ht="39.6" hidden="1">
      <c r="A215" s="3" t="s">
        <v>1593</v>
      </c>
      <c r="B215" s="3" t="s">
        <v>1594</v>
      </c>
      <c r="C215" s="3" t="s">
        <v>1806</v>
      </c>
      <c r="D215" s="3" t="s">
        <v>59</v>
      </c>
      <c r="E215" s="3" t="s">
        <v>36</v>
      </c>
      <c r="F215" s="3" t="s">
        <v>247</v>
      </c>
      <c r="G215" s="3" t="s">
        <v>37</v>
      </c>
      <c r="H215" s="3" t="s">
        <v>38</v>
      </c>
      <c r="I215" s="3" t="s">
        <v>1596</v>
      </c>
      <c r="J215" s="3" t="s">
        <v>223</v>
      </c>
      <c r="K215" s="3" t="s">
        <v>41</v>
      </c>
      <c r="L215" s="3" t="s">
        <v>1597</v>
      </c>
      <c r="M215" s="3" t="s">
        <v>987</v>
      </c>
      <c r="N215" s="3" t="s">
        <v>44</v>
      </c>
      <c r="O215" s="3" t="s">
        <v>270</v>
      </c>
      <c r="P215" s="3" t="s">
        <v>1807</v>
      </c>
      <c r="Q215" s="3" t="s">
        <v>1808</v>
      </c>
      <c r="R215" s="3" t="s">
        <v>36</v>
      </c>
      <c r="S215" s="3" t="s">
        <v>274</v>
      </c>
      <c r="T215" s="3" t="s">
        <v>37</v>
      </c>
      <c r="U215" s="3" t="s">
        <v>78</v>
      </c>
      <c r="V215" s="3" t="s">
        <v>1664</v>
      </c>
      <c r="W215" s="3" t="s">
        <v>223</v>
      </c>
      <c r="X215" s="3" t="s">
        <v>41</v>
      </c>
      <c r="Y215" s="3" t="s">
        <v>1809</v>
      </c>
      <c r="Z215" s="3" t="s">
        <v>250</v>
      </c>
      <c r="AA215" s="3" t="s">
        <v>79</v>
      </c>
      <c r="AB215" s="3" t="s">
        <v>251</v>
      </c>
      <c r="AC215" s="3" t="s">
        <v>1810</v>
      </c>
      <c r="AD215" s="14">
        <v>45398</v>
      </c>
      <c r="AE215" s="14">
        <v>45657</v>
      </c>
      <c r="AF215" s="3"/>
    </row>
    <row r="216" spans="1:32" ht="382.9" hidden="1">
      <c r="A216" s="3" t="s">
        <v>1811</v>
      </c>
      <c r="B216" s="3" t="s">
        <v>1812</v>
      </c>
      <c r="C216" s="3" t="s">
        <v>986</v>
      </c>
      <c r="D216" s="3" t="s">
        <v>59</v>
      </c>
      <c r="E216" s="3" t="s">
        <v>36</v>
      </c>
      <c r="F216" s="3" t="s">
        <v>221</v>
      </c>
      <c r="G216" s="3" t="s">
        <v>82</v>
      </c>
      <c r="H216" s="3" t="s">
        <v>49</v>
      </c>
      <c r="I216" s="3" t="s">
        <v>1813</v>
      </c>
      <c r="J216" s="3" t="s">
        <v>223</v>
      </c>
      <c r="K216" s="3" t="s">
        <v>41</v>
      </c>
      <c r="L216" s="3" t="s">
        <v>1814</v>
      </c>
      <c r="M216" s="3" t="s">
        <v>1815</v>
      </c>
      <c r="N216" s="3" t="s">
        <v>79</v>
      </c>
      <c r="O216" s="3" t="s">
        <v>1816</v>
      </c>
      <c r="P216" s="3" t="s">
        <v>988</v>
      </c>
      <c r="Q216" s="3" t="s">
        <v>989</v>
      </c>
      <c r="R216" s="3" t="s">
        <v>36</v>
      </c>
      <c r="S216" s="3" t="s">
        <v>221</v>
      </c>
      <c r="T216" s="3" t="s">
        <v>82</v>
      </c>
      <c r="U216" s="3" t="s">
        <v>49</v>
      </c>
      <c r="V216" s="3" t="s">
        <v>990</v>
      </c>
      <c r="W216" s="3" t="s">
        <v>223</v>
      </c>
      <c r="X216" s="3" t="s">
        <v>41</v>
      </c>
      <c r="Y216" s="3" t="s">
        <v>230</v>
      </c>
      <c r="Z216" s="3" t="s">
        <v>231</v>
      </c>
      <c r="AA216" s="3" t="s">
        <v>63</v>
      </c>
      <c r="AB216" s="3" t="s">
        <v>100</v>
      </c>
      <c r="AC216" s="3" t="s">
        <v>1817</v>
      </c>
      <c r="AD216" s="14">
        <v>45360</v>
      </c>
      <c r="AE216" s="14">
        <v>47879</v>
      </c>
      <c r="AF216" s="3"/>
    </row>
    <row r="217" spans="1:32" ht="409.6" hidden="1">
      <c r="A217" s="3" t="s">
        <v>1818</v>
      </c>
      <c r="B217" s="3" t="s">
        <v>1819</v>
      </c>
      <c r="C217" s="3" t="s">
        <v>1820</v>
      </c>
      <c r="D217" s="3" t="s">
        <v>59</v>
      </c>
      <c r="E217" s="3" t="s">
        <v>1821</v>
      </c>
      <c r="F217" s="3" t="s">
        <v>221</v>
      </c>
      <c r="G217" s="3" t="s">
        <v>82</v>
      </c>
      <c r="H217" s="3" t="s">
        <v>78</v>
      </c>
      <c r="I217" s="3" t="s">
        <v>1822</v>
      </c>
      <c r="J217" s="3" t="s">
        <v>223</v>
      </c>
      <c r="K217" s="3" t="s">
        <v>41</v>
      </c>
      <c r="L217" s="3" t="s">
        <v>1823</v>
      </c>
      <c r="M217" s="3" t="s">
        <v>1824</v>
      </c>
      <c r="N217" s="3" t="s">
        <v>79</v>
      </c>
      <c r="O217" s="3" t="s">
        <v>270</v>
      </c>
      <c r="P217" s="3" t="s">
        <v>1825</v>
      </c>
      <c r="Q217" s="3" t="s">
        <v>1826</v>
      </c>
      <c r="R217" s="3" t="s">
        <v>36</v>
      </c>
      <c r="S217" s="3" t="s">
        <v>1827</v>
      </c>
      <c r="T217" s="3" t="s">
        <v>82</v>
      </c>
      <c r="U217" s="3" t="s">
        <v>49</v>
      </c>
      <c r="V217" s="3" t="s">
        <v>1828</v>
      </c>
      <c r="W217" s="3" t="s">
        <v>198</v>
      </c>
      <c r="X217" s="3" t="s">
        <v>41</v>
      </c>
      <c r="Y217" s="3" t="s">
        <v>1829</v>
      </c>
      <c r="Z217" s="3" t="s">
        <v>168</v>
      </c>
      <c r="AA217" s="3" t="s">
        <v>285</v>
      </c>
      <c r="AB217" s="3" t="s">
        <v>54</v>
      </c>
      <c r="AC217" s="3" t="s">
        <v>1830</v>
      </c>
      <c r="AD217" s="14">
        <v>45383</v>
      </c>
      <c r="AE217" s="14"/>
      <c r="AF217" s="3"/>
    </row>
    <row r="218" spans="1:32" ht="158.44999999999999" hidden="1">
      <c r="A218" s="3" t="s">
        <v>1532</v>
      </c>
      <c r="B218" s="3" t="s">
        <v>1533</v>
      </c>
      <c r="C218" s="3" t="s">
        <v>1831</v>
      </c>
      <c r="D218" s="3" t="s">
        <v>59</v>
      </c>
      <c r="E218" s="3" t="s">
        <v>36</v>
      </c>
      <c r="F218" s="3" t="s">
        <v>221</v>
      </c>
      <c r="G218" s="3" t="s">
        <v>37</v>
      </c>
      <c r="H218" s="3" t="s">
        <v>49</v>
      </c>
      <c r="I218" s="3" t="s">
        <v>1534</v>
      </c>
      <c r="J218" s="3" t="s">
        <v>223</v>
      </c>
      <c r="K218" s="3" t="s">
        <v>41</v>
      </c>
      <c r="L218" s="3" t="s">
        <v>1535</v>
      </c>
      <c r="M218" s="3" t="s">
        <v>1536</v>
      </c>
      <c r="N218" s="3" t="s">
        <v>79</v>
      </c>
      <c r="O218" s="3" t="s">
        <v>1537</v>
      </c>
      <c r="P218" s="3" t="s">
        <v>1832</v>
      </c>
      <c r="Q218" s="3" t="s">
        <v>1833</v>
      </c>
      <c r="R218" s="3" t="s">
        <v>36</v>
      </c>
      <c r="S218" s="3" t="s">
        <v>221</v>
      </c>
      <c r="T218" s="3" t="s">
        <v>37</v>
      </c>
      <c r="U218" s="3" t="s">
        <v>49</v>
      </c>
      <c r="V218" s="3" t="s">
        <v>1834</v>
      </c>
      <c r="W218" s="3" t="s">
        <v>223</v>
      </c>
      <c r="X218" s="3" t="s">
        <v>41</v>
      </c>
      <c r="Y218" s="3" t="s">
        <v>1835</v>
      </c>
      <c r="Z218" s="3" t="s">
        <v>1836</v>
      </c>
      <c r="AA218" s="3" t="s">
        <v>79</v>
      </c>
      <c r="AB218" s="3" t="s">
        <v>1837</v>
      </c>
      <c r="AC218" s="3" t="s">
        <v>1838</v>
      </c>
      <c r="AD218" s="14">
        <v>45343</v>
      </c>
      <c r="AE218" s="14">
        <v>45625</v>
      </c>
      <c r="AF218" s="3"/>
    </row>
    <row r="219" spans="1:32" ht="66" hidden="1">
      <c r="A219" s="3" t="s">
        <v>1376</v>
      </c>
      <c r="B219" s="3" t="s">
        <v>1377</v>
      </c>
      <c r="C219" s="3" t="s">
        <v>1839</v>
      </c>
      <c r="D219" s="3" t="s">
        <v>35</v>
      </c>
      <c r="E219" s="3" t="s">
        <v>36</v>
      </c>
      <c r="F219" s="3" t="s">
        <v>247</v>
      </c>
      <c r="G219" s="3" t="s">
        <v>37</v>
      </c>
      <c r="H219" s="3" t="s">
        <v>78</v>
      </c>
      <c r="I219" s="3" t="s">
        <v>1378</v>
      </c>
      <c r="J219" s="3" t="s">
        <v>223</v>
      </c>
      <c r="K219" s="3" t="s">
        <v>41</v>
      </c>
      <c r="L219" s="3" t="s">
        <v>1379</v>
      </c>
      <c r="M219" s="3" t="s">
        <v>886</v>
      </c>
      <c r="N219" s="3" t="s">
        <v>123</v>
      </c>
      <c r="O219" s="3" t="s">
        <v>116</v>
      </c>
      <c r="P219" s="3" t="s">
        <v>1840</v>
      </c>
      <c r="Q219" s="3" t="s">
        <v>1841</v>
      </c>
      <c r="R219" s="3" t="s">
        <v>36</v>
      </c>
      <c r="S219" s="3" t="s">
        <v>221</v>
      </c>
      <c r="T219" s="3" t="s">
        <v>37</v>
      </c>
      <c r="U219" s="3" t="s">
        <v>49</v>
      </c>
      <c r="V219" s="3" t="s">
        <v>1789</v>
      </c>
      <c r="W219" s="3" t="s">
        <v>223</v>
      </c>
      <c r="X219" s="3" t="s">
        <v>41</v>
      </c>
      <c r="Y219" s="3" t="s">
        <v>1379</v>
      </c>
      <c r="Z219" s="3" t="s">
        <v>1024</v>
      </c>
      <c r="AA219" s="3" t="s">
        <v>44</v>
      </c>
      <c r="AB219" s="3" t="s">
        <v>811</v>
      </c>
      <c r="AC219" s="3" t="s">
        <v>1842</v>
      </c>
      <c r="AD219" s="14">
        <v>45404</v>
      </c>
      <c r="AE219" s="14">
        <v>45769</v>
      </c>
      <c r="AF219" s="3"/>
    </row>
    <row r="220" spans="1:32" ht="92.45" hidden="1">
      <c r="A220" s="3" t="s">
        <v>1730</v>
      </c>
      <c r="B220" s="3" t="s">
        <v>1731</v>
      </c>
      <c r="C220" s="3"/>
      <c r="D220" s="3" t="s">
        <v>348</v>
      </c>
      <c r="E220" s="3" t="s">
        <v>36</v>
      </c>
      <c r="F220" s="3" t="s">
        <v>221</v>
      </c>
      <c r="G220" s="3" t="s">
        <v>82</v>
      </c>
      <c r="H220" s="3" t="s">
        <v>49</v>
      </c>
      <c r="I220" s="3" t="s">
        <v>1733</v>
      </c>
      <c r="J220" s="3" t="s">
        <v>223</v>
      </c>
      <c r="K220" s="3" t="s">
        <v>41</v>
      </c>
      <c r="L220" s="3" t="s">
        <v>1734</v>
      </c>
      <c r="M220" s="3" t="s">
        <v>1735</v>
      </c>
      <c r="N220" s="3" t="s">
        <v>63</v>
      </c>
      <c r="O220" s="3" t="s">
        <v>301</v>
      </c>
      <c r="P220" s="3" t="s">
        <v>1843</v>
      </c>
      <c r="Q220" s="3" t="s">
        <v>1844</v>
      </c>
      <c r="R220" s="3" t="s">
        <v>36</v>
      </c>
      <c r="S220" s="3" t="s">
        <v>274</v>
      </c>
      <c r="T220" s="3" t="s">
        <v>82</v>
      </c>
      <c r="U220" s="3" t="s">
        <v>38</v>
      </c>
      <c r="V220" s="3" t="s">
        <v>1845</v>
      </c>
      <c r="W220" s="3" t="s">
        <v>223</v>
      </c>
      <c r="X220" s="3" t="s">
        <v>41</v>
      </c>
      <c r="Y220" s="3" t="s">
        <v>1846</v>
      </c>
      <c r="Z220" s="3" t="s">
        <v>1847</v>
      </c>
      <c r="AA220" s="3" t="s">
        <v>53</v>
      </c>
      <c r="AB220" s="3" t="s">
        <v>1239</v>
      </c>
      <c r="AC220" s="3" t="s">
        <v>1848</v>
      </c>
      <c r="AD220" s="14">
        <v>45383</v>
      </c>
      <c r="AE220" s="14">
        <v>45473</v>
      </c>
      <c r="AF220" s="3"/>
    </row>
    <row r="221" spans="1:32" ht="52.9" hidden="1">
      <c r="A221" s="3" t="s">
        <v>1730</v>
      </c>
      <c r="B221" s="3" t="s">
        <v>1731</v>
      </c>
      <c r="C221" s="3" t="s">
        <v>1849</v>
      </c>
      <c r="D221" s="3" t="s">
        <v>348</v>
      </c>
      <c r="E221" s="3" t="s">
        <v>36</v>
      </c>
      <c r="F221" s="3" t="s">
        <v>221</v>
      </c>
      <c r="G221" s="3" t="s">
        <v>82</v>
      </c>
      <c r="H221" s="3" t="s">
        <v>49</v>
      </c>
      <c r="I221" s="3" t="s">
        <v>1733</v>
      </c>
      <c r="J221" s="3" t="s">
        <v>223</v>
      </c>
      <c r="K221" s="3" t="s">
        <v>41</v>
      </c>
      <c r="L221" s="3" t="s">
        <v>1734</v>
      </c>
      <c r="M221" s="3" t="s">
        <v>1735</v>
      </c>
      <c r="N221" s="3" t="s">
        <v>63</v>
      </c>
      <c r="O221" s="3" t="s">
        <v>301</v>
      </c>
      <c r="P221" s="3" t="s">
        <v>1850</v>
      </c>
      <c r="Q221" s="3" t="s">
        <v>1851</v>
      </c>
      <c r="R221" s="3" t="s">
        <v>36</v>
      </c>
      <c r="S221" s="3" t="s">
        <v>221</v>
      </c>
      <c r="T221" s="3" t="s">
        <v>82</v>
      </c>
      <c r="U221" s="3" t="s">
        <v>38</v>
      </c>
      <c r="V221" s="3" t="s">
        <v>1852</v>
      </c>
      <c r="W221" s="3" t="s">
        <v>223</v>
      </c>
      <c r="X221" s="3" t="s">
        <v>41</v>
      </c>
      <c r="Y221" s="3" t="s">
        <v>1846</v>
      </c>
      <c r="Z221" s="3" t="s">
        <v>1735</v>
      </c>
      <c r="AA221" s="3" t="s">
        <v>53</v>
      </c>
      <c r="AB221" s="3" t="s">
        <v>301</v>
      </c>
      <c r="AC221" s="3" t="s">
        <v>1853</v>
      </c>
      <c r="AD221" s="14">
        <v>45392</v>
      </c>
      <c r="AE221" s="14"/>
      <c r="AF221" s="3"/>
    </row>
    <row r="222" spans="1:32" ht="145.15" hidden="1">
      <c r="A222" s="3" t="s">
        <v>1730</v>
      </c>
      <c r="B222" s="3" t="s">
        <v>1731</v>
      </c>
      <c r="C222" s="3" t="s">
        <v>1854</v>
      </c>
      <c r="D222" s="3" t="s">
        <v>59</v>
      </c>
      <c r="E222" s="3" t="s">
        <v>36</v>
      </c>
      <c r="F222" s="3" t="s">
        <v>221</v>
      </c>
      <c r="G222" s="3" t="s">
        <v>82</v>
      </c>
      <c r="H222" s="3" t="s">
        <v>49</v>
      </c>
      <c r="I222" s="3" t="s">
        <v>1733</v>
      </c>
      <c r="J222" s="3" t="s">
        <v>223</v>
      </c>
      <c r="K222" s="3" t="s">
        <v>41</v>
      </c>
      <c r="L222" s="3" t="s">
        <v>1734</v>
      </c>
      <c r="M222" s="3" t="s">
        <v>1735</v>
      </c>
      <c r="N222" s="3" t="s">
        <v>63</v>
      </c>
      <c r="O222" s="3" t="s">
        <v>301</v>
      </c>
      <c r="P222" s="3" t="s">
        <v>1855</v>
      </c>
      <c r="Q222" s="3" t="s">
        <v>1856</v>
      </c>
      <c r="R222" s="3" t="s">
        <v>36</v>
      </c>
      <c r="S222" s="3" t="s">
        <v>221</v>
      </c>
      <c r="T222" s="3" t="s">
        <v>82</v>
      </c>
      <c r="U222" s="3" t="s">
        <v>49</v>
      </c>
      <c r="V222" s="3" t="s">
        <v>1857</v>
      </c>
      <c r="W222" s="3" t="s">
        <v>223</v>
      </c>
      <c r="X222" s="3" t="s">
        <v>41</v>
      </c>
      <c r="Y222" s="3" t="s">
        <v>1858</v>
      </c>
      <c r="Z222" s="3" t="s">
        <v>300</v>
      </c>
      <c r="AA222" s="3" t="s">
        <v>63</v>
      </c>
      <c r="AB222" s="3" t="s">
        <v>301</v>
      </c>
      <c r="AC222" s="3" t="s">
        <v>1859</v>
      </c>
      <c r="AD222" s="14">
        <v>45364</v>
      </c>
      <c r="AE222" s="14">
        <v>45473</v>
      </c>
      <c r="AF222" s="3"/>
    </row>
    <row r="223" spans="1:32" ht="92.45" hidden="1">
      <c r="A223" s="3" t="s">
        <v>1730</v>
      </c>
      <c r="B223" s="3" t="s">
        <v>1731</v>
      </c>
      <c r="C223" s="3" t="s">
        <v>1860</v>
      </c>
      <c r="D223" s="3" t="s">
        <v>348</v>
      </c>
      <c r="E223" s="3" t="s">
        <v>36</v>
      </c>
      <c r="F223" s="3" t="s">
        <v>221</v>
      </c>
      <c r="G223" s="3" t="s">
        <v>82</v>
      </c>
      <c r="H223" s="3" t="s">
        <v>49</v>
      </c>
      <c r="I223" s="3" t="s">
        <v>1733</v>
      </c>
      <c r="J223" s="3" t="s">
        <v>223</v>
      </c>
      <c r="K223" s="3" t="s">
        <v>41</v>
      </c>
      <c r="L223" s="3" t="s">
        <v>1734</v>
      </c>
      <c r="M223" s="3" t="s">
        <v>1735</v>
      </c>
      <c r="N223" s="3" t="s">
        <v>63</v>
      </c>
      <c r="O223" s="3" t="s">
        <v>301</v>
      </c>
      <c r="P223" s="3" t="s">
        <v>1861</v>
      </c>
      <c r="Q223" s="3" t="s">
        <v>1862</v>
      </c>
      <c r="R223" s="3" t="s">
        <v>36</v>
      </c>
      <c r="S223" s="3" t="s">
        <v>221</v>
      </c>
      <c r="T223" s="3" t="s">
        <v>37</v>
      </c>
      <c r="U223" s="3" t="s">
        <v>38</v>
      </c>
      <c r="V223" s="3" t="s">
        <v>1863</v>
      </c>
      <c r="W223" s="3" t="s">
        <v>223</v>
      </c>
      <c r="X223" s="3" t="s">
        <v>41</v>
      </c>
      <c r="Y223" s="3" t="s">
        <v>1739</v>
      </c>
      <c r="Z223" s="3" t="s">
        <v>1740</v>
      </c>
      <c r="AA223" s="3" t="s">
        <v>79</v>
      </c>
      <c r="AB223" s="3" t="s">
        <v>1741</v>
      </c>
      <c r="AC223" s="3" t="s">
        <v>1864</v>
      </c>
      <c r="AD223" s="14">
        <v>38022</v>
      </c>
      <c r="AE223" s="14">
        <v>38168</v>
      </c>
      <c r="AF223" s="3"/>
    </row>
    <row r="224" spans="1:32" ht="92.45" hidden="1">
      <c r="A224" s="3" t="s">
        <v>1865</v>
      </c>
      <c r="B224" s="3" t="s">
        <v>1866</v>
      </c>
      <c r="C224" s="3" t="s">
        <v>1867</v>
      </c>
      <c r="D224" s="3" t="s">
        <v>59</v>
      </c>
      <c r="E224" s="3" t="s">
        <v>36</v>
      </c>
      <c r="F224" s="3" t="s">
        <v>221</v>
      </c>
      <c r="G224" s="3" t="s">
        <v>82</v>
      </c>
      <c r="H224" s="3" t="s">
        <v>49</v>
      </c>
      <c r="I224" s="3" t="s">
        <v>1868</v>
      </c>
      <c r="J224" s="3" t="s">
        <v>223</v>
      </c>
      <c r="K224" s="3" t="s">
        <v>41</v>
      </c>
      <c r="L224" s="3" t="s">
        <v>1869</v>
      </c>
      <c r="M224" s="3" t="s">
        <v>1870</v>
      </c>
      <c r="N224" s="3" t="s">
        <v>79</v>
      </c>
      <c r="O224" s="3" t="s">
        <v>295</v>
      </c>
      <c r="P224" s="3" t="s">
        <v>1871</v>
      </c>
      <c r="Q224" s="3" t="s">
        <v>1872</v>
      </c>
      <c r="R224" s="3"/>
      <c r="S224" s="3" t="s">
        <v>48</v>
      </c>
      <c r="T224" s="3" t="s">
        <v>37</v>
      </c>
      <c r="U224" s="3" t="s">
        <v>73</v>
      </c>
      <c r="V224" s="3"/>
      <c r="W224" s="3" t="s">
        <v>40</v>
      </c>
      <c r="X224" s="3"/>
      <c r="Y224" s="3"/>
      <c r="Z224" s="3"/>
      <c r="AA224" s="3" t="s">
        <v>285</v>
      </c>
      <c r="AB224" s="3"/>
      <c r="AC224" s="3" t="s">
        <v>1873</v>
      </c>
      <c r="AD224" s="14">
        <v>45413</v>
      </c>
      <c r="AE224" s="14">
        <v>45777</v>
      </c>
      <c r="AF224" s="3"/>
    </row>
    <row r="225" spans="1:32" ht="39.6" hidden="1">
      <c r="A225" s="3" t="s">
        <v>1874</v>
      </c>
      <c r="B225" s="3" t="s">
        <v>1875</v>
      </c>
      <c r="C225" s="3"/>
      <c r="D225" s="3" t="s">
        <v>59</v>
      </c>
      <c r="E225" s="3" t="s">
        <v>36</v>
      </c>
      <c r="F225" s="3" t="s">
        <v>274</v>
      </c>
      <c r="G225" s="3" t="s">
        <v>37</v>
      </c>
      <c r="H225" s="3" t="s">
        <v>38</v>
      </c>
      <c r="I225" s="3" t="s">
        <v>1876</v>
      </c>
      <c r="J225" s="3" t="s">
        <v>223</v>
      </c>
      <c r="K225" s="3" t="s">
        <v>41</v>
      </c>
      <c r="L225" s="3" t="s">
        <v>1877</v>
      </c>
      <c r="M225" s="3" t="s">
        <v>264</v>
      </c>
      <c r="N225" s="3" t="s">
        <v>44</v>
      </c>
      <c r="O225" s="3" t="s">
        <v>94</v>
      </c>
      <c r="P225" s="3" t="s">
        <v>1878</v>
      </c>
      <c r="Q225" s="3" t="s">
        <v>1879</v>
      </c>
      <c r="R225" s="3" t="s">
        <v>36</v>
      </c>
      <c r="S225" s="3" t="s">
        <v>221</v>
      </c>
      <c r="T225" s="3" t="s">
        <v>37</v>
      </c>
      <c r="U225" s="3" t="s">
        <v>38</v>
      </c>
      <c r="V225" s="3" t="s">
        <v>1876</v>
      </c>
      <c r="W225" s="3" t="s">
        <v>223</v>
      </c>
      <c r="X225" s="3" t="s">
        <v>41</v>
      </c>
      <c r="Y225" s="3" t="s">
        <v>1877</v>
      </c>
      <c r="Z225" s="3" t="s">
        <v>93</v>
      </c>
      <c r="AA225" s="3" t="s">
        <v>44</v>
      </c>
      <c r="AB225" s="3" t="s">
        <v>94</v>
      </c>
      <c r="AC225" s="3" t="s">
        <v>1880</v>
      </c>
      <c r="AD225" s="14">
        <v>45446</v>
      </c>
      <c r="AE225" s="14">
        <v>45745</v>
      </c>
      <c r="AF225" s="3"/>
    </row>
    <row r="226" spans="1:32" ht="39.6" hidden="1">
      <c r="A226" s="3" t="s">
        <v>547</v>
      </c>
      <c r="B226" s="3" t="s">
        <v>548</v>
      </c>
      <c r="C226" s="3" t="s">
        <v>1881</v>
      </c>
      <c r="D226" s="3" t="s">
        <v>35</v>
      </c>
      <c r="E226" s="3" t="s">
        <v>36</v>
      </c>
      <c r="F226" s="3" t="s">
        <v>247</v>
      </c>
      <c r="G226" s="3" t="s">
        <v>82</v>
      </c>
      <c r="H226" s="3" t="s">
        <v>49</v>
      </c>
      <c r="I226" s="3" t="s">
        <v>549</v>
      </c>
      <c r="J226" s="3" t="s">
        <v>223</v>
      </c>
      <c r="K226" s="3" t="s">
        <v>41</v>
      </c>
      <c r="L226" s="3" t="s">
        <v>550</v>
      </c>
      <c r="M226" s="3" t="s">
        <v>551</v>
      </c>
      <c r="N226" s="3" t="s">
        <v>53</v>
      </c>
      <c r="O226" s="3" t="s">
        <v>270</v>
      </c>
      <c r="P226" s="3" t="s">
        <v>1882</v>
      </c>
      <c r="Q226" s="3" t="s">
        <v>1883</v>
      </c>
      <c r="R226" s="3" t="s">
        <v>36</v>
      </c>
      <c r="S226" s="3" t="s">
        <v>254</v>
      </c>
      <c r="T226" s="3" t="s">
        <v>37</v>
      </c>
      <c r="U226" s="3" t="s">
        <v>38</v>
      </c>
      <c r="V226" s="3" t="s">
        <v>1884</v>
      </c>
      <c r="W226" s="3" t="s">
        <v>223</v>
      </c>
      <c r="X226" s="3" t="s">
        <v>41</v>
      </c>
      <c r="Y226" s="3" t="s">
        <v>1885</v>
      </c>
      <c r="Z226" s="3" t="s">
        <v>1886</v>
      </c>
      <c r="AA226" s="3" t="s">
        <v>285</v>
      </c>
      <c r="AB226" s="3" t="s">
        <v>409</v>
      </c>
      <c r="AC226" s="3" t="s">
        <v>1887</v>
      </c>
      <c r="AD226" s="14">
        <v>45170</v>
      </c>
      <c r="AE226" s="14"/>
      <c r="AF226" s="3"/>
    </row>
    <row r="227" spans="1:32" ht="184.9" hidden="1">
      <c r="A227" s="3" t="s">
        <v>1888</v>
      </c>
      <c r="B227" s="3" t="s">
        <v>1889</v>
      </c>
      <c r="C227" s="3" t="s">
        <v>1890</v>
      </c>
      <c r="D227" s="3" t="s">
        <v>59</v>
      </c>
      <c r="E227" s="3"/>
      <c r="F227" s="3" t="s">
        <v>274</v>
      </c>
      <c r="G227" s="3" t="s">
        <v>37</v>
      </c>
      <c r="H227" s="3" t="s">
        <v>475</v>
      </c>
      <c r="I227" s="3"/>
      <c r="J227" s="3" t="s">
        <v>223</v>
      </c>
      <c r="K227" s="3"/>
      <c r="L227" s="3"/>
      <c r="M227" s="3"/>
      <c r="N227" s="3" t="s">
        <v>44</v>
      </c>
      <c r="O227" s="3"/>
      <c r="P227" s="3" t="s">
        <v>1891</v>
      </c>
      <c r="Q227" s="3" t="s">
        <v>1892</v>
      </c>
      <c r="R227" s="3" t="s">
        <v>36</v>
      </c>
      <c r="S227" s="3" t="s">
        <v>274</v>
      </c>
      <c r="T227" s="3" t="s">
        <v>37</v>
      </c>
      <c r="U227" s="3" t="s">
        <v>38</v>
      </c>
      <c r="V227" s="3" t="s">
        <v>1893</v>
      </c>
      <c r="W227" s="3" t="s">
        <v>223</v>
      </c>
      <c r="X227" s="3" t="s">
        <v>41</v>
      </c>
      <c r="Y227" s="3" t="s">
        <v>1894</v>
      </c>
      <c r="Z227" s="3" t="s">
        <v>1553</v>
      </c>
      <c r="AA227" s="3" t="s">
        <v>53</v>
      </c>
      <c r="AB227" s="3" t="s">
        <v>54</v>
      </c>
      <c r="AC227" s="3" t="s">
        <v>1895</v>
      </c>
      <c r="AD227" s="14">
        <v>45444</v>
      </c>
      <c r="AE227" s="14">
        <v>45627</v>
      </c>
      <c r="AF227" s="3"/>
    </row>
    <row r="228" spans="1:32" ht="409.6" hidden="1">
      <c r="A228" s="3" t="s">
        <v>1896</v>
      </c>
      <c r="B228" s="3" t="s">
        <v>1897</v>
      </c>
      <c r="C228" s="3" t="s">
        <v>1898</v>
      </c>
      <c r="D228" s="3" t="s">
        <v>59</v>
      </c>
      <c r="E228" s="3" t="s">
        <v>36</v>
      </c>
      <c r="F228" s="3" t="s">
        <v>247</v>
      </c>
      <c r="G228" s="3" t="s">
        <v>82</v>
      </c>
      <c r="H228" s="3" t="s">
        <v>38</v>
      </c>
      <c r="I228" s="3" t="s">
        <v>1899</v>
      </c>
      <c r="J228" s="3" t="s">
        <v>223</v>
      </c>
      <c r="K228" s="3" t="s">
        <v>780</v>
      </c>
      <c r="L228" s="3" t="s">
        <v>1900</v>
      </c>
      <c r="M228" s="3" t="s">
        <v>1901</v>
      </c>
      <c r="N228" s="3" t="s">
        <v>79</v>
      </c>
      <c r="O228" s="3" t="s">
        <v>45</v>
      </c>
      <c r="P228" s="3" t="s">
        <v>1902</v>
      </c>
      <c r="Q228" s="3" t="s">
        <v>1903</v>
      </c>
      <c r="R228" s="3" t="s">
        <v>36</v>
      </c>
      <c r="S228" s="3" t="s">
        <v>221</v>
      </c>
      <c r="T228" s="3" t="s">
        <v>37</v>
      </c>
      <c r="U228" s="3" t="s">
        <v>73</v>
      </c>
      <c r="V228" s="3" t="s">
        <v>1904</v>
      </c>
      <c r="W228" s="3" t="s">
        <v>223</v>
      </c>
      <c r="X228" s="3" t="s">
        <v>41</v>
      </c>
      <c r="Y228" s="3" t="s">
        <v>1905</v>
      </c>
      <c r="Z228" s="3" t="s">
        <v>392</v>
      </c>
      <c r="AA228" s="3" t="s">
        <v>63</v>
      </c>
      <c r="AB228" s="3" t="s">
        <v>100</v>
      </c>
      <c r="AC228" s="3" t="s">
        <v>1906</v>
      </c>
      <c r="AD228" s="14">
        <v>45419</v>
      </c>
      <c r="AE228" s="14"/>
      <c r="AF228" s="3"/>
    </row>
    <row r="229" spans="1:32" ht="39.6" hidden="1">
      <c r="A229" s="3" t="s">
        <v>1907</v>
      </c>
      <c r="B229" s="3" t="s">
        <v>1908</v>
      </c>
      <c r="C229" s="3"/>
      <c r="D229" s="3" t="s">
        <v>59</v>
      </c>
      <c r="E229" s="3" t="s">
        <v>36</v>
      </c>
      <c r="F229" s="3" t="s">
        <v>274</v>
      </c>
      <c r="G229" s="3" t="s">
        <v>82</v>
      </c>
      <c r="H229" s="3" t="s">
        <v>49</v>
      </c>
      <c r="I229" s="3" t="s">
        <v>1909</v>
      </c>
      <c r="J229" s="3" t="s">
        <v>223</v>
      </c>
      <c r="K229" s="3" t="s">
        <v>356</v>
      </c>
      <c r="L229" s="3" t="s">
        <v>1910</v>
      </c>
      <c r="M229" s="3" t="s">
        <v>1911</v>
      </c>
      <c r="N229" s="3" t="s">
        <v>79</v>
      </c>
      <c r="O229" s="3" t="s">
        <v>278</v>
      </c>
      <c r="P229" s="3" t="s">
        <v>1912</v>
      </c>
      <c r="Q229" s="3" t="s">
        <v>1913</v>
      </c>
      <c r="R229" s="3" t="s">
        <v>36</v>
      </c>
      <c r="S229" s="3" t="s">
        <v>274</v>
      </c>
      <c r="T229" s="3" t="s">
        <v>37</v>
      </c>
      <c r="U229" s="3" t="s">
        <v>78</v>
      </c>
      <c r="V229" s="3" t="s">
        <v>1914</v>
      </c>
      <c r="W229" s="3" t="s">
        <v>223</v>
      </c>
      <c r="X229" s="3" t="s">
        <v>41</v>
      </c>
      <c r="Y229" s="3" t="s">
        <v>1915</v>
      </c>
      <c r="Z229" s="3" t="s">
        <v>1916</v>
      </c>
      <c r="AA229" s="3" t="s">
        <v>123</v>
      </c>
      <c r="AB229" s="3" t="s">
        <v>1917</v>
      </c>
      <c r="AC229" s="3" t="s">
        <v>1918</v>
      </c>
      <c r="AD229" s="14">
        <v>45414</v>
      </c>
      <c r="AE229" s="14"/>
      <c r="AF229" s="3"/>
    </row>
    <row r="230" spans="1:32" ht="39.6" hidden="1">
      <c r="A230" s="3" t="s">
        <v>1919</v>
      </c>
      <c r="B230" s="3" t="s">
        <v>1920</v>
      </c>
      <c r="C230" s="3"/>
      <c r="D230" s="3" t="s">
        <v>59</v>
      </c>
      <c r="E230" s="3" t="s">
        <v>36</v>
      </c>
      <c r="F230" s="3" t="s">
        <v>274</v>
      </c>
      <c r="G230" s="3" t="s">
        <v>37</v>
      </c>
      <c r="H230" s="3" t="s">
        <v>78</v>
      </c>
      <c r="I230" s="3" t="s">
        <v>1494</v>
      </c>
      <c r="J230" s="3" t="s">
        <v>223</v>
      </c>
      <c r="K230" s="3" t="s">
        <v>41</v>
      </c>
      <c r="L230" s="3" t="s">
        <v>1495</v>
      </c>
      <c r="M230" s="3" t="s">
        <v>1921</v>
      </c>
      <c r="N230" s="3" t="s">
        <v>123</v>
      </c>
      <c r="O230" s="3" t="s">
        <v>278</v>
      </c>
      <c r="P230" s="3" t="s">
        <v>1922</v>
      </c>
      <c r="Q230" s="3" t="s">
        <v>1923</v>
      </c>
      <c r="R230" s="3" t="s">
        <v>36</v>
      </c>
      <c r="S230" s="3" t="s">
        <v>254</v>
      </c>
      <c r="T230" s="3" t="s">
        <v>37</v>
      </c>
      <c r="U230" s="3" t="s">
        <v>78</v>
      </c>
      <c r="V230" s="3" t="s">
        <v>1924</v>
      </c>
      <c r="W230" s="3" t="s">
        <v>223</v>
      </c>
      <c r="X230" s="3" t="s">
        <v>780</v>
      </c>
      <c r="Y230" s="3" t="s">
        <v>1925</v>
      </c>
      <c r="Z230" s="3" t="s">
        <v>1926</v>
      </c>
      <c r="AA230" s="3" t="s">
        <v>53</v>
      </c>
      <c r="AB230" s="3" t="s">
        <v>270</v>
      </c>
      <c r="AC230" s="3" t="s">
        <v>1927</v>
      </c>
      <c r="AD230" s="14">
        <v>45432</v>
      </c>
      <c r="AE230" s="14">
        <v>45436</v>
      </c>
      <c r="AF230" s="3"/>
    </row>
    <row r="231" spans="1:32" ht="118.9" hidden="1">
      <c r="A231" s="3" t="s">
        <v>1928</v>
      </c>
      <c r="B231" s="3" t="s">
        <v>1929</v>
      </c>
      <c r="C231" s="3" t="s">
        <v>1930</v>
      </c>
      <c r="D231" s="3" t="s">
        <v>59</v>
      </c>
      <c r="E231" s="3" t="s">
        <v>36</v>
      </c>
      <c r="F231" s="3" t="s">
        <v>247</v>
      </c>
      <c r="G231" s="3" t="s">
        <v>37</v>
      </c>
      <c r="H231" s="3" t="s">
        <v>38</v>
      </c>
      <c r="I231" s="3" t="s">
        <v>1931</v>
      </c>
      <c r="J231" s="3" t="s">
        <v>223</v>
      </c>
      <c r="K231" s="3" t="s">
        <v>780</v>
      </c>
      <c r="L231" s="3" t="s">
        <v>1932</v>
      </c>
      <c r="M231" s="3" t="s">
        <v>1933</v>
      </c>
      <c r="N231" s="3" t="s">
        <v>79</v>
      </c>
      <c r="O231" s="3" t="s">
        <v>543</v>
      </c>
      <c r="P231" s="3" t="s">
        <v>1934</v>
      </c>
      <c r="Q231" s="3" t="s">
        <v>1935</v>
      </c>
      <c r="R231" s="3" t="s">
        <v>36</v>
      </c>
      <c r="S231" s="3" t="s">
        <v>274</v>
      </c>
      <c r="T231" s="3" t="s">
        <v>82</v>
      </c>
      <c r="U231" s="3" t="s">
        <v>49</v>
      </c>
      <c r="V231" s="3" t="s">
        <v>1936</v>
      </c>
      <c r="W231" s="3" t="s">
        <v>223</v>
      </c>
      <c r="X231" s="3" t="s">
        <v>780</v>
      </c>
      <c r="Y231" s="3" t="s">
        <v>1937</v>
      </c>
      <c r="Z231" s="3" t="s">
        <v>1938</v>
      </c>
      <c r="AA231" s="3" t="s">
        <v>285</v>
      </c>
      <c r="AB231" s="3" t="s">
        <v>543</v>
      </c>
      <c r="AC231" s="3" t="s">
        <v>1939</v>
      </c>
      <c r="AD231" s="14">
        <v>45414</v>
      </c>
      <c r="AE231" s="14">
        <v>45657</v>
      </c>
      <c r="AF231" s="3"/>
    </row>
    <row r="232" spans="1:32" ht="264" hidden="1">
      <c r="A232" s="3" t="s">
        <v>1940</v>
      </c>
      <c r="B232" s="3" t="s">
        <v>1941</v>
      </c>
      <c r="C232" s="3" t="s">
        <v>1942</v>
      </c>
      <c r="D232" s="3" t="s">
        <v>59</v>
      </c>
      <c r="E232" s="3"/>
      <c r="F232" s="3" t="s">
        <v>221</v>
      </c>
      <c r="G232" s="3" t="s">
        <v>82</v>
      </c>
      <c r="H232" s="3" t="s">
        <v>49</v>
      </c>
      <c r="I232" s="3"/>
      <c r="J232" s="3" t="s">
        <v>223</v>
      </c>
      <c r="K232" s="3"/>
      <c r="L232" s="3"/>
      <c r="M232" s="3"/>
      <c r="N232" s="3" t="s">
        <v>79</v>
      </c>
      <c r="O232" s="3"/>
      <c r="P232" s="3" t="s">
        <v>1943</v>
      </c>
      <c r="Q232" s="3" t="s">
        <v>1944</v>
      </c>
      <c r="R232" s="3" t="s">
        <v>36</v>
      </c>
      <c r="S232" s="3" t="s">
        <v>221</v>
      </c>
      <c r="T232" s="3" t="s">
        <v>37</v>
      </c>
      <c r="U232" s="3" t="s">
        <v>49</v>
      </c>
      <c r="V232" s="3" t="s">
        <v>1945</v>
      </c>
      <c r="W232" s="3" t="s">
        <v>223</v>
      </c>
      <c r="X232" s="3" t="s">
        <v>41</v>
      </c>
      <c r="Y232" s="3" t="s">
        <v>1946</v>
      </c>
      <c r="Z232" s="3" t="s">
        <v>1776</v>
      </c>
      <c r="AA232" s="3" t="s">
        <v>79</v>
      </c>
      <c r="AB232" s="3" t="s">
        <v>506</v>
      </c>
      <c r="AC232" s="3" t="s">
        <v>1947</v>
      </c>
      <c r="AD232" s="14">
        <v>45413</v>
      </c>
      <c r="AE232" s="14"/>
      <c r="AF232" s="3"/>
    </row>
    <row r="233" spans="1:32" ht="118.9" hidden="1">
      <c r="A233" s="3" t="s">
        <v>1948</v>
      </c>
      <c r="B233" s="3" t="s">
        <v>1949</v>
      </c>
      <c r="C233" s="3" t="s">
        <v>1950</v>
      </c>
      <c r="D233" s="3" t="s">
        <v>59</v>
      </c>
      <c r="E233" s="3" t="s">
        <v>36</v>
      </c>
      <c r="F233" s="3" t="s">
        <v>254</v>
      </c>
      <c r="G233" s="3" t="s">
        <v>37</v>
      </c>
      <c r="H233" s="3" t="s">
        <v>38</v>
      </c>
      <c r="I233" s="3" t="s">
        <v>1763</v>
      </c>
      <c r="J233" s="3" t="s">
        <v>223</v>
      </c>
      <c r="K233" s="3" t="s">
        <v>780</v>
      </c>
      <c r="L233" s="3" t="s">
        <v>1951</v>
      </c>
      <c r="M233" s="3" t="s">
        <v>1952</v>
      </c>
      <c r="N233" s="3" t="s">
        <v>53</v>
      </c>
      <c r="O233" s="3" t="s">
        <v>201</v>
      </c>
      <c r="P233" s="3" t="s">
        <v>1953</v>
      </c>
      <c r="Q233" s="3" t="s">
        <v>1954</v>
      </c>
      <c r="R233" s="3" t="s">
        <v>36</v>
      </c>
      <c r="S233" s="3" t="s">
        <v>254</v>
      </c>
      <c r="T233" s="3" t="s">
        <v>37</v>
      </c>
      <c r="U233" s="3" t="s">
        <v>73</v>
      </c>
      <c r="V233" s="3" t="s">
        <v>1955</v>
      </c>
      <c r="W233" s="3" t="s">
        <v>223</v>
      </c>
      <c r="X233" s="3" t="s">
        <v>780</v>
      </c>
      <c r="Y233" s="3" t="s">
        <v>1932</v>
      </c>
      <c r="Z233" s="3" t="s">
        <v>1956</v>
      </c>
      <c r="AA233" s="3" t="s">
        <v>63</v>
      </c>
      <c r="AB233" s="3" t="s">
        <v>543</v>
      </c>
      <c r="AC233" s="3" t="s">
        <v>1957</v>
      </c>
      <c r="AD233" s="14">
        <v>45426</v>
      </c>
      <c r="AE233" s="14">
        <v>45646</v>
      </c>
      <c r="AF233" s="3"/>
    </row>
    <row r="234" spans="1:32" ht="343.15" hidden="1">
      <c r="A234" s="3" t="s">
        <v>1958</v>
      </c>
      <c r="B234" s="3" t="s">
        <v>1959</v>
      </c>
      <c r="C234" s="3" t="s">
        <v>1960</v>
      </c>
      <c r="D234" s="3" t="s">
        <v>59</v>
      </c>
      <c r="E234" s="3" t="s">
        <v>36</v>
      </c>
      <c r="F234" s="3" t="s">
        <v>221</v>
      </c>
      <c r="G234" s="3" t="s">
        <v>82</v>
      </c>
      <c r="H234" s="3" t="s">
        <v>49</v>
      </c>
      <c r="I234" s="3" t="s">
        <v>1961</v>
      </c>
      <c r="J234" s="3" t="s">
        <v>223</v>
      </c>
      <c r="K234" s="3" t="s">
        <v>41</v>
      </c>
      <c r="L234" s="3" t="s">
        <v>958</v>
      </c>
      <c r="M234" s="3" t="s">
        <v>1085</v>
      </c>
      <c r="N234" s="3" t="s">
        <v>79</v>
      </c>
      <c r="O234" s="3" t="s">
        <v>658</v>
      </c>
      <c r="P234" s="3" t="s">
        <v>1962</v>
      </c>
      <c r="Q234" s="3" t="s">
        <v>1963</v>
      </c>
      <c r="R234" s="3" t="s">
        <v>36</v>
      </c>
      <c r="S234" s="3" t="s">
        <v>221</v>
      </c>
      <c r="T234" s="3" t="s">
        <v>37</v>
      </c>
      <c r="U234" s="3" t="s">
        <v>73</v>
      </c>
      <c r="V234" s="3" t="s">
        <v>1964</v>
      </c>
      <c r="W234" s="3" t="s">
        <v>223</v>
      </c>
      <c r="X234" s="3" t="s">
        <v>41</v>
      </c>
      <c r="Y234" s="3" t="s">
        <v>1965</v>
      </c>
      <c r="Z234" s="3" t="s">
        <v>1966</v>
      </c>
      <c r="AA234" s="3" t="s">
        <v>285</v>
      </c>
      <c r="AB234" s="3" t="s">
        <v>54</v>
      </c>
      <c r="AC234" s="3" t="s">
        <v>1967</v>
      </c>
      <c r="AD234" s="14">
        <v>45446</v>
      </c>
      <c r="AE234" s="14"/>
      <c r="AF234" s="3"/>
    </row>
    <row r="235" spans="1:32" ht="52.9" hidden="1">
      <c r="A235" s="3" t="s">
        <v>1730</v>
      </c>
      <c r="B235" s="3" t="s">
        <v>1731</v>
      </c>
      <c r="C235" s="3" t="s">
        <v>1968</v>
      </c>
      <c r="D235" s="3" t="s">
        <v>348</v>
      </c>
      <c r="E235" s="3" t="s">
        <v>36</v>
      </c>
      <c r="F235" s="3" t="s">
        <v>221</v>
      </c>
      <c r="G235" s="3" t="s">
        <v>82</v>
      </c>
      <c r="H235" s="3" t="s">
        <v>49</v>
      </c>
      <c r="I235" s="3" t="s">
        <v>1733</v>
      </c>
      <c r="J235" s="3" t="s">
        <v>223</v>
      </c>
      <c r="K235" s="3" t="s">
        <v>41</v>
      </c>
      <c r="L235" s="3" t="s">
        <v>1734</v>
      </c>
      <c r="M235" s="3" t="s">
        <v>1735</v>
      </c>
      <c r="N235" s="3" t="s">
        <v>63</v>
      </c>
      <c r="O235" s="3" t="s">
        <v>301</v>
      </c>
      <c r="P235" s="3" t="s">
        <v>1969</v>
      </c>
      <c r="Q235" s="3" t="s">
        <v>1970</v>
      </c>
      <c r="R235" s="3" t="s">
        <v>36</v>
      </c>
      <c r="S235" s="3" t="s">
        <v>221</v>
      </c>
      <c r="T235" s="3" t="s">
        <v>82</v>
      </c>
      <c r="U235" s="3" t="s">
        <v>49</v>
      </c>
      <c r="V235" s="3" t="s">
        <v>1857</v>
      </c>
      <c r="W235" s="3" t="s">
        <v>223</v>
      </c>
      <c r="X235" s="3" t="s">
        <v>41</v>
      </c>
      <c r="Y235" s="3" t="s">
        <v>1858</v>
      </c>
      <c r="Z235" s="3" t="s">
        <v>300</v>
      </c>
      <c r="AA235" s="3" t="s">
        <v>63</v>
      </c>
      <c r="AB235" s="3" t="s">
        <v>301</v>
      </c>
      <c r="AC235" s="3" t="s">
        <v>1971</v>
      </c>
      <c r="AD235" s="14">
        <v>45352</v>
      </c>
      <c r="AE235" s="14"/>
      <c r="AF235" s="3"/>
    </row>
    <row r="236" spans="1:32" ht="52.9" hidden="1">
      <c r="A236" s="3" t="s">
        <v>1730</v>
      </c>
      <c r="B236" s="3" t="s">
        <v>1731</v>
      </c>
      <c r="C236" s="3" t="s">
        <v>1972</v>
      </c>
      <c r="D236" s="3" t="s">
        <v>35</v>
      </c>
      <c r="E236" s="3" t="s">
        <v>36</v>
      </c>
      <c r="F236" s="3" t="s">
        <v>221</v>
      </c>
      <c r="G236" s="3" t="s">
        <v>82</v>
      </c>
      <c r="H236" s="3" t="s">
        <v>49</v>
      </c>
      <c r="I236" s="3" t="s">
        <v>1733</v>
      </c>
      <c r="J236" s="3" t="s">
        <v>223</v>
      </c>
      <c r="K236" s="3" t="s">
        <v>41</v>
      </c>
      <c r="L236" s="3" t="s">
        <v>1734</v>
      </c>
      <c r="M236" s="3" t="s">
        <v>1735</v>
      </c>
      <c r="N236" s="3" t="s">
        <v>63</v>
      </c>
      <c r="O236" s="3" t="s">
        <v>301</v>
      </c>
      <c r="P236" s="3" t="s">
        <v>1973</v>
      </c>
      <c r="Q236" s="3" t="s">
        <v>1974</v>
      </c>
      <c r="R236" s="3" t="s">
        <v>36</v>
      </c>
      <c r="S236" s="3" t="s">
        <v>247</v>
      </c>
      <c r="T236" s="3" t="s">
        <v>82</v>
      </c>
      <c r="U236" s="3" t="s">
        <v>38</v>
      </c>
      <c r="V236" s="3" t="s">
        <v>1975</v>
      </c>
      <c r="W236" s="3" t="s">
        <v>223</v>
      </c>
      <c r="X236" s="3" t="s">
        <v>41</v>
      </c>
      <c r="Y236" s="3" t="s">
        <v>1976</v>
      </c>
      <c r="Z236" s="3" t="s">
        <v>1977</v>
      </c>
      <c r="AA236" s="3" t="s">
        <v>53</v>
      </c>
      <c r="AB236" s="3" t="s">
        <v>1239</v>
      </c>
      <c r="AC236" s="3" t="s">
        <v>1978</v>
      </c>
      <c r="AD236" s="14">
        <v>45369</v>
      </c>
      <c r="AE236" s="14">
        <v>45502</v>
      </c>
      <c r="AF236" s="3"/>
    </row>
    <row r="237" spans="1:32" ht="52.9" hidden="1">
      <c r="A237" s="3" t="s">
        <v>1730</v>
      </c>
      <c r="B237" s="3" t="s">
        <v>1731</v>
      </c>
      <c r="C237" s="3"/>
      <c r="D237" s="3" t="s">
        <v>348</v>
      </c>
      <c r="E237" s="3" t="s">
        <v>36</v>
      </c>
      <c r="F237" s="3" t="s">
        <v>221</v>
      </c>
      <c r="G237" s="3" t="s">
        <v>82</v>
      </c>
      <c r="H237" s="3" t="s">
        <v>49</v>
      </c>
      <c r="I237" s="3" t="s">
        <v>1733</v>
      </c>
      <c r="J237" s="3" t="s">
        <v>223</v>
      </c>
      <c r="K237" s="3" t="s">
        <v>41</v>
      </c>
      <c r="L237" s="3" t="s">
        <v>1734</v>
      </c>
      <c r="M237" s="3" t="s">
        <v>1735</v>
      </c>
      <c r="N237" s="3" t="s">
        <v>63</v>
      </c>
      <c r="O237" s="3" t="s">
        <v>301</v>
      </c>
      <c r="P237" s="3" t="s">
        <v>1979</v>
      </c>
      <c r="Q237" s="3" t="s">
        <v>1980</v>
      </c>
      <c r="R237" s="3" t="s">
        <v>36</v>
      </c>
      <c r="S237" s="3" t="s">
        <v>254</v>
      </c>
      <c r="T237" s="3" t="s">
        <v>82</v>
      </c>
      <c r="U237" s="3" t="s">
        <v>73</v>
      </c>
      <c r="V237" s="3" t="s">
        <v>1981</v>
      </c>
      <c r="W237" s="3" t="s">
        <v>223</v>
      </c>
      <c r="X237" s="3" t="s">
        <v>41</v>
      </c>
      <c r="Y237" s="3" t="s">
        <v>1665</v>
      </c>
      <c r="Z237" s="3" t="s">
        <v>1615</v>
      </c>
      <c r="AA237" s="3" t="s">
        <v>63</v>
      </c>
      <c r="AB237" s="3" t="s">
        <v>226</v>
      </c>
      <c r="AC237" s="3" t="s">
        <v>1982</v>
      </c>
      <c r="AD237" s="14">
        <v>45350</v>
      </c>
      <c r="AE237" s="14"/>
      <c r="AF237" s="3"/>
    </row>
    <row r="238" spans="1:32" ht="343.15" hidden="1">
      <c r="A238" s="3" t="s">
        <v>1391</v>
      </c>
      <c r="B238" s="3" t="s">
        <v>1392</v>
      </c>
      <c r="C238" s="3" t="s">
        <v>1983</v>
      </c>
      <c r="D238" s="3" t="s">
        <v>348</v>
      </c>
      <c r="E238" s="3" t="s">
        <v>36</v>
      </c>
      <c r="F238" s="3" t="s">
        <v>221</v>
      </c>
      <c r="G238" s="3" t="s">
        <v>37</v>
      </c>
      <c r="H238" s="3" t="s">
        <v>38</v>
      </c>
      <c r="I238" s="3" t="s">
        <v>1394</v>
      </c>
      <c r="J238" s="3" t="s">
        <v>223</v>
      </c>
      <c r="K238" s="3" t="s">
        <v>41</v>
      </c>
      <c r="L238" s="3" t="s">
        <v>249</v>
      </c>
      <c r="M238" s="3" t="s">
        <v>250</v>
      </c>
      <c r="N238" s="3" t="s">
        <v>79</v>
      </c>
      <c r="O238" s="3" t="s">
        <v>251</v>
      </c>
      <c r="P238" s="3" t="s">
        <v>1984</v>
      </c>
      <c r="Q238" s="3" t="s">
        <v>1985</v>
      </c>
      <c r="R238" s="3"/>
      <c r="S238" s="3" t="s">
        <v>221</v>
      </c>
      <c r="T238" s="3" t="s">
        <v>37</v>
      </c>
      <c r="U238" s="3" t="s">
        <v>49</v>
      </c>
      <c r="V238" s="3"/>
      <c r="W238" s="3" t="s">
        <v>223</v>
      </c>
      <c r="X238" s="3"/>
      <c r="Y238" s="3"/>
      <c r="Z238" s="3"/>
      <c r="AA238" s="3" t="s">
        <v>79</v>
      </c>
      <c r="AB238" s="3"/>
      <c r="AC238" s="3" t="s">
        <v>1986</v>
      </c>
      <c r="AD238" s="14">
        <v>45444</v>
      </c>
      <c r="AE238" s="14"/>
      <c r="AF238" s="3"/>
    </row>
    <row r="239" spans="1:32" ht="92.45" hidden="1">
      <c r="A239" s="3" t="s">
        <v>1730</v>
      </c>
      <c r="B239" s="3" t="s">
        <v>1731</v>
      </c>
      <c r="C239" s="3" t="s">
        <v>1987</v>
      </c>
      <c r="D239" s="3" t="s">
        <v>59</v>
      </c>
      <c r="E239" s="3" t="s">
        <v>36</v>
      </c>
      <c r="F239" s="3" t="s">
        <v>221</v>
      </c>
      <c r="G239" s="3" t="s">
        <v>82</v>
      </c>
      <c r="H239" s="3" t="s">
        <v>49</v>
      </c>
      <c r="I239" s="3" t="s">
        <v>1733</v>
      </c>
      <c r="J239" s="3" t="s">
        <v>223</v>
      </c>
      <c r="K239" s="3" t="s">
        <v>41</v>
      </c>
      <c r="L239" s="3" t="s">
        <v>1734</v>
      </c>
      <c r="M239" s="3" t="s">
        <v>1735</v>
      </c>
      <c r="N239" s="3" t="s">
        <v>63</v>
      </c>
      <c r="O239" s="3" t="s">
        <v>301</v>
      </c>
      <c r="P239" s="3" t="s">
        <v>1988</v>
      </c>
      <c r="Q239" s="3" t="s">
        <v>1989</v>
      </c>
      <c r="R239" s="3" t="s">
        <v>36</v>
      </c>
      <c r="S239" s="3" t="s">
        <v>254</v>
      </c>
      <c r="T239" s="3" t="s">
        <v>82</v>
      </c>
      <c r="U239" s="3" t="s">
        <v>38</v>
      </c>
      <c r="V239" s="3" t="s">
        <v>1990</v>
      </c>
      <c r="W239" s="3" t="s">
        <v>223</v>
      </c>
      <c r="X239" s="3" t="s">
        <v>41</v>
      </c>
      <c r="Y239" s="3" t="s">
        <v>1739</v>
      </c>
      <c r="Z239" s="3" t="s">
        <v>1740</v>
      </c>
      <c r="AA239" s="3" t="s">
        <v>44</v>
      </c>
      <c r="AB239" s="3" t="s">
        <v>1741</v>
      </c>
      <c r="AC239" s="3" t="s">
        <v>1991</v>
      </c>
      <c r="AD239" s="14">
        <v>45427</v>
      </c>
      <c r="AE239" s="14">
        <v>45473</v>
      </c>
      <c r="AF239" s="3"/>
    </row>
    <row r="240" spans="1:32" ht="39.6" hidden="1">
      <c r="A240" s="3" t="s">
        <v>1992</v>
      </c>
      <c r="B240" s="3" t="s">
        <v>1993</v>
      </c>
      <c r="C240" s="3" t="s">
        <v>1994</v>
      </c>
      <c r="D240" s="3" t="s">
        <v>348</v>
      </c>
      <c r="E240" s="3" t="s">
        <v>36</v>
      </c>
      <c r="F240" s="3" t="s">
        <v>274</v>
      </c>
      <c r="G240" s="3" t="s">
        <v>82</v>
      </c>
      <c r="H240" s="3" t="s">
        <v>38</v>
      </c>
      <c r="I240" s="3" t="s">
        <v>1995</v>
      </c>
      <c r="J240" s="3" t="s">
        <v>223</v>
      </c>
      <c r="K240" s="3" t="s">
        <v>1373</v>
      </c>
      <c r="L240" s="3" t="s">
        <v>1996</v>
      </c>
      <c r="M240" s="3" t="s">
        <v>511</v>
      </c>
      <c r="N240" s="3" t="s">
        <v>79</v>
      </c>
      <c r="O240" s="3" t="s">
        <v>506</v>
      </c>
      <c r="P240" s="3" t="s">
        <v>1997</v>
      </c>
      <c r="Q240" s="3" t="s">
        <v>1998</v>
      </c>
      <c r="R240" s="3" t="s">
        <v>36</v>
      </c>
      <c r="S240" s="3" t="s">
        <v>274</v>
      </c>
      <c r="T240" s="3" t="s">
        <v>82</v>
      </c>
      <c r="U240" s="3" t="s">
        <v>49</v>
      </c>
      <c r="V240" s="3" t="s">
        <v>1999</v>
      </c>
      <c r="W240" s="3" t="s">
        <v>223</v>
      </c>
      <c r="X240" s="3" t="s">
        <v>1373</v>
      </c>
      <c r="Y240" s="3" t="s">
        <v>2000</v>
      </c>
      <c r="Z240" s="3" t="s">
        <v>2001</v>
      </c>
      <c r="AA240" s="3" t="s">
        <v>79</v>
      </c>
      <c r="AB240" s="3" t="s">
        <v>116</v>
      </c>
      <c r="AC240" s="3" t="s">
        <v>2002</v>
      </c>
      <c r="AD240" s="14">
        <v>45427</v>
      </c>
      <c r="AE240" s="14"/>
      <c r="AF240" s="3"/>
    </row>
    <row r="241" spans="1:32" ht="39.6" hidden="1">
      <c r="A241" s="3" t="s">
        <v>2003</v>
      </c>
      <c r="B241" s="3" t="s">
        <v>2004</v>
      </c>
      <c r="C241" s="3" t="s">
        <v>2005</v>
      </c>
      <c r="D241" s="3" t="s">
        <v>59</v>
      </c>
      <c r="E241" s="3" t="s">
        <v>36</v>
      </c>
      <c r="F241" s="3" t="s">
        <v>254</v>
      </c>
      <c r="G241" s="3" t="s">
        <v>82</v>
      </c>
      <c r="H241" s="3" t="s">
        <v>49</v>
      </c>
      <c r="I241" s="3" t="s">
        <v>2006</v>
      </c>
      <c r="J241" s="3" t="s">
        <v>223</v>
      </c>
      <c r="K241" s="3" t="s">
        <v>41</v>
      </c>
      <c r="L241" s="3" t="s">
        <v>2007</v>
      </c>
      <c r="M241" s="3" t="s">
        <v>225</v>
      </c>
      <c r="N241" s="3" t="s">
        <v>53</v>
      </c>
      <c r="O241" s="3" t="s">
        <v>226</v>
      </c>
      <c r="P241" s="3" t="s">
        <v>1720</v>
      </c>
      <c r="Q241" s="3" t="s">
        <v>1721</v>
      </c>
      <c r="R241" s="3" t="s">
        <v>36</v>
      </c>
      <c r="S241" s="3" t="s">
        <v>221</v>
      </c>
      <c r="T241" s="3" t="s">
        <v>37</v>
      </c>
      <c r="U241" s="3" t="s">
        <v>49</v>
      </c>
      <c r="V241" s="3" t="s">
        <v>1723</v>
      </c>
      <c r="W241" s="3" t="s">
        <v>223</v>
      </c>
      <c r="X241" s="3" t="s">
        <v>41</v>
      </c>
      <c r="Y241" s="3" t="s">
        <v>1724</v>
      </c>
      <c r="Z241" s="3" t="s">
        <v>1615</v>
      </c>
      <c r="AA241" s="3" t="s">
        <v>79</v>
      </c>
      <c r="AB241" s="3" t="s">
        <v>1310</v>
      </c>
      <c r="AC241" s="3" t="s">
        <v>2008</v>
      </c>
      <c r="AD241" s="14">
        <v>45384</v>
      </c>
      <c r="AE241" s="14">
        <v>45657</v>
      </c>
      <c r="AF241" s="3"/>
    </row>
    <row r="242" spans="1:32" ht="369.6" hidden="1">
      <c r="A242" s="3" t="s">
        <v>915</v>
      </c>
      <c r="B242" s="3" t="s">
        <v>916</v>
      </c>
      <c r="C242" s="3" t="s">
        <v>2009</v>
      </c>
      <c r="D242" s="3" t="s">
        <v>59</v>
      </c>
      <c r="E242" s="3" t="s">
        <v>36</v>
      </c>
      <c r="F242" s="3" t="s">
        <v>48</v>
      </c>
      <c r="G242" s="3" t="s">
        <v>37</v>
      </c>
      <c r="H242" s="3" t="s">
        <v>49</v>
      </c>
      <c r="I242" s="3" t="s">
        <v>154</v>
      </c>
      <c r="J242" s="3" t="s">
        <v>40</v>
      </c>
      <c r="K242" s="3" t="s">
        <v>41</v>
      </c>
      <c r="L242" s="3" t="s">
        <v>918</v>
      </c>
      <c r="M242" s="3" t="s">
        <v>919</v>
      </c>
      <c r="N242" s="3" t="s">
        <v>79</v>
      </c>
      <c r="O242" s="3" t="s">
        <v>920</v>
      </c>
      <c r="P242" s="3" t="s">
        <v>2010</v>
      </c>
      <c r="Q242" s="3" t="s">
        <v>2011</v>
      </c>
      <c r="R242" s="3" t="s">
        <v>36</v>
      </c>
      <c r="S242" s="3" t="s">
        <v>48</v>
      </c>
      <c r="T242" s="3" t="s">
        <v>37</v>
      </c>
      <c r="U242" s="3" t="s">
        <v>49</v>
      </c>
      <c r="V242" s="3" t="s">
        <v>2012</v>
      </c>
      <c r="W242" s="3" t="s">
        <v>40</v>
      </c>
      <c r="X242" s="3" t="s">
        <v>41</v>
      </c>
      <c r="Y242" s="3" t="s">
        <v>2013</v>
      </c>
      <c r="Z242" s="3" t="s">
        <v>2014</v>
      </c>
      <c r="AA242" s="3" t="s">
        <v>53</v>
      </c>
      <c r="AB242" s="3" t="s">
        <v>270</v>
      </c>
      <c r="AC242" s="3" t="s">
        <v>2015</v>
      </c>
      <c r="AD242" s="14">
        <v>45434</v>
      </c>
      <c r="AE242" s="14">
        <v>45799</v>
      </c>
      <c r="AF242" s="3"/>
    </row>
    <row r="243" spans="1:32" ht="316.89999999999998" hidden="1">
      <c r="A243" s="3" t="s">
        <v>2016</v>
      </c>
      <c r="B243" s="3" t="s">
        <v>2017</v>
      </c>
      <c r="C243" s="3" t="s">
        <v>2018</v>
      </c>
      <c r="D243" s="3" t="s">
        <v>59</v>
      </c>
      <c r="E243" s="3" t="s">
        <v>36</v>
      </c>
      <c r="F243" s="3" t="s">
        <v>48</v>
      </c>
      <c r="G243" s="3" t="s">
        <v>37</v>
      </c>
      <c r="H243" s="3" t="s">
        <v>49</v>
      </c>
      <c r="I243" s="3" t="s">
        <v>2019</v>
      </c>
      <c r="J243" s="3" t="s">
        <v>40</v>
      </c>
      <c r="K243" s="3" t="s">
        <v>41</v>
      </c>
      <c r="L243" s="3" t="s">
        <v>2020</v>
      </c>
      <c r="M243" s="3" t="s">
        <v>2021</v>
      </c>
      <c r="N243" s="3" t="s">
        <v>53</v>
      </c>
      <c r="O243" s="3" t="s">
        <v>1530</v>
      </c>
      <c r="P243" s="3" t="s">
        <v>2022</v>
      </c>
      <c r="Q243" s="3" t="s">
        <v>2023</v>
      </c>
      <c r="R243" s="3" t="s">
        <v>36</v>
      </c>
      <c r="S243" s="3" t="s">
        <v>48</v>
      </c>
      <c r="T243" s="3" t="s">
        <v>37</v>
      </c>
      <c r="U243" s="3" t="s">
        <v>49</v>
      </c>
      <c r="V243" s="3" t="s">
        <v>2024</v>
      </c>
      <c r="W243" s="3" t="s">
        <v>40</v>
      </c>
      <c r="X243" s="3" t="s">
        <v>41</v>
      </c>
      <c r="Y243" s="3" t="s">
        <v>2025</v>
      </c>
      <c r="Z243" s="3" t="s">
        <v>139</v>
      </c>
      <c r="AA243" s="3" t="s">
        <v>63</v>
      </c>
      <c r="AB243" s="3" t="s">
        <v>64</v>
      </c>
      <c r="AC243" s="3" t="s">
        <v>2026</v>
      </c>
      <c r="AD243" s="14">
        <v>45352</v>
      </c>
      <c r="AE243" s="14"/>
      <c r="AF243" s="3"/>
    </row>
    <row r="244" spans="1:32" ht="39.6" hidden="1">
      <c r="A244" s="3" t="s">
        <v>2027</v>
      </c>
      <c r="B244" s="3" t="s">
        <v>2028</v>
      </c>
      <c r="C244" s="3"/>
      <c r="D244" s="3" t="s">
        <v>59</v>
      </c>
      <c r="E244" s="3" t="s">
        <v>36</v>
      </c>
      <c r="F244" s="3"/>
      <c r="G244" s="3" t="s">
        <v>37</v>
      </c>
      <c r="H244" s="3" t="s">
        <v>78</v>
      </c>
      <c r="I244" s="3" t="s">
        <v>2029</v>
      </c>
      <c r="J244" s="3" t="s">
        <v>40</v>
      </c>
      <c r="K244" s="3" t="s">
        <v>41</v>
      </c>
      <c r="L244" s="3" t="s">
        <v>2030</v>
      </c>
      <c r="M244" s="3" t="s">
        <v>184</v>
      </c>
      <c r="N244" s="3" t="s">
        <v>53</v>
      </c>
      <c r="O244" s="3" t="s">
        <v>54</v>
      </c>
      <c r="P244" s="3" t="s">
        <v>2031</v>
      </c>
      <c r="Q244" s="3" t="s">
        <v>2032</v>
      </c>
      <c r="R244" s="3" t="s">
        <v>36</v>
      </c>
      <c r="S244" s="3" t="s">
        <v>48</v>
      </c>
      <c r="T244" s="3" t="s">
        <v>37</v>
      </c>
      <c r="U244" s="3" t="s">
        <v>49</v>
      </c>
      <c r="V244" s="3" t="s">
        <v>2033</v>
      </c>
      <c r="W244" s="3" t="s">
        <v>40</v>
      </c>
      <c r="X244" s="3" t="s">
        <v>41</v>
      </c>
      <c r="Y244" s="3" t="s">
        <v>2034</v>
      </c>
      <c r="Z244" s="3" t="s">
        <v>2035</v>
      </c>
      <c r="AA244" s="3" t="s">
        <v>63</v>
      </c>
      <c r="AB244" s="3" t="s">
        <v>270</v>
      </c>
      <c r="AC244" s="3" t="s">
        <v>2036</v>
      </c>
      <c r="AD244" s="14">
        <v>45433</v>
      </c>
      <c r="AE244" s="14"/>
      <c r="AF244" s="3"/>
    </row>
    <row r="245" spans="1:32" ht="118.9" hidden="1">
      <c r="A245" s="3" t="s">
        <v>88</v>
      </c>
      <c r="B245" s="3" t="s">
        <v>89</v>
      </c>
      <c r="C245" s="3" t="s">
        <v>59</v>
      </c>
      <c r="D245" s="3" t="s">
        <v>59</v>
      </c>
      <c r="E245" s="3" t="s">
        <v>36</v>
      </c>
      <c r="F245" s="3" t="s">
        <v>48</v>
      </c>
      <c r="G245" s="3" t="s">
        <v>82</v>
      </c>
      <c r="H245" s="3" t="s">
        <v>38</v>
      </c>
      <c r="I245" s="3" t="s">
        <v>91</v>
      </c>
      <c r="J245" s="3" t="s">
        <v>40</v>
      </c>
      <c r="K245" s="3" t="s">
        <v>41</v>
      </c>
      <c r="L245" s="3" t="s">
        <v>92</v>
      </c>
      <c r="M245" s="3" t="s">
        <v>93</v>
      </c>
      <c r="N245" s="3" t="s">
        <v>79</v>
      </c>
      <c r="O245" s="3" t="s">
        <v>94</v>
      </c>
      <c r="P245" s="3" t="s">
        <v>2037</v>
      </c>
      <c r="Q245" s="3" t="s">
        <v>2038</v>
      </c>
      <c r="R245" s="3" t="s">
        <v>36</v>
      </c>
      <c r="S245" s="3" t="s">
        <v>48</v>
      </c>
      <c r="T245" s="3" t="s">
        <v>37</v>
      </c>
      <c r="U245" s="3" t="s">
        <v>49</v>
      </c>
      <c r="V245" s="3" t="s">
        <v>2039</v>
      </c>
      <c r="W245" s="3" t="s">
        <v>40</v>
      </c>
      <c r="X245" s="3" t="s">
        <v>41</v>
      </c>
      <c r="Y245" s="3" t="s">
        <v>2040</v>
      </c>
      <c r="Z245" s="3" t="s">
        <v>736</v>
      </c>
      <c r="AA245" s="3" t="s">
        <v>63</v>
      </c>
      <c r="AB245" s="3" t="s">
        <v>658</v>
      </c>
      <c r="AC245" s="3" t="s">
        <v>2041</v>
      </c>
      <c r="AD245" s="14">
        <v>45352</v>
      </c>
      <c r="AE245" s="14">
        <v>45747</v>
      </c>
      <c r="AF245" s="3"/>
    </row>
    <row r="246" spans="1:32" ht="409.6" hidden="1">
      <c r="A246" s="3" t="s">
        <v>2042</v>
      </c>
      <c r="B246" s="3" t="s">
        <v>2043</v>
      </c>
      <c r="C246" s="3" t="s">
        <v>2044</v>
      </c>
      <c r="D246" s="3" t="s">
        <v>59</v>
      </c>
      <c r="E246" s="3" t="s">
        <v>36</v>
      </c>
      <c r="F246" s="3"/>
      <c r="G246" s="3" t="s">
        <v>37</v>
      </c>
      <c r="H246" s="3" t="s">
        <v>38</v>
      </c>
      <c r="I246" s="3" t="s">
        <v>2045</v>
      </c>
      <c r="J246" s="3" t="s">
        <v>40</v>
      </c>
      <c r="K246" s="3" t="s">
        <v>41</v>
      </c>
      <c r="L246" s="3" t="s">
        <v>2046</v>
      </c>
      <c r="M246" s="3" t="s">
        <v>2047</v>
      </c>
      <c r="N246" s="3" t="s">
        <v>79</v>
      </c>
      <c r="O246" s="3" t="s">
        <v>54</v>
      </c>
      <c r="P246" s="3" t="s">
        <v>2048</v>
      </c>
      <c r="Q246" s="3" t="s">
        <v>2049</v>
      </c>
      <c r="R246" s="3" t="s">
        <v>36</v>
      </c>
      <c r="S246" s="3" t="s">
        <v>48</v>
      </c>
      <c r="T246" s="3" t="s">
        <v>37</v>
      </c>
      <c r="U246" s="3" t="s">
        <v>49</v>
      </c>
      <c r="V246" s="3" t="s">
        <v>2050</v>
      </c>
      <c r="W246" s="3" t="s">
        <v>40</v>
      </c>
      <c r="X246" s="3" t="s">
        <v>41</v>
      </c>
      <c r="Y246" s="3" t="s">
        <v>2051</v>
      </c>
      <c r="Z246" s="3" t="s">
        <v>2052</v>
      </c>
      <c r="AA246" s="3" t="s">
        <v>79</v>
      </c>
      <c r="AB246" s="3" t="s">
        <v>344</v>
      </c>
      <c r="AC246" s="3" t="s">
        <v>2053</v>
      </c>
      <c r="AD246" s="14">
        <v>45444</v>
      </c>
      <c r="AE246" s="14">
        <v>45809</v>
      </c>
      <c r="AF246" s="3"/>
    </row>
    <row r="247" spans="1:32" ht="250.9" hidden="1">
      <c r="A247" s="3" t="s">
        <v>2054</v>
      </c>
      <c r="B247" s="3" t="s">
        <v>2055</v>
      </c>
      <c r="C247" s="3" t="s">
        <v>2056</v>
      </c>
      <c r="D247" s="3" t="s">
        <v>59</v>
      </c>
      <c r="E247" s="3" t="s">
        <v>36</v>
      </c>
      <c r="F247" s="3" t="s">
        <v>247</v>
      </c>
      <c r="G247" s="3" t="s">
        <v>82</v>
      </c>
      <c r="H247" s="3" t="s">
        <v>38</v>
      </c>
      <c r="I247" s="3" t="s">
        <v>2057</v>
      </c>
      <c r="J247" s="3" t="s">
        <v>223</v>
      </c>
      <c r="K247" s="3" t="s">
        <v>41</v>
      </c>
      <c r="L247" s="3" t="s">
        <v>2058</v>
      </c>
      <c r="M247" s="3" t="s">
        <v>2059</v>
      </c>
      <c r="N247" s="3" t="s">
        <v>53</v>
      </c>
      <c r="O247" s="3" t="s">
        <v>240</v>
      </c>
      <c r="P247" s="3" t="s">
        <v>2060</v>
      </c>
      <c r="Q247" s="3" t="s">
        <v>2061</v>
      </c>
      <c r="R247" s="3" t="s">
        <v>36</v>
      </c>
      <c r="S247" s="3" t="s">
        <v>221</v>
      </c>
      <c r="T247" s="3" t="s">
        <v>37</v>
      </c>
      <c r="U247" s="3" t="s">
        <v>49</v>
      </c>
      <c r="V247" s="3" t="s">
        <v>2062</v>
      </c>
      <c r="W247" s="3" t="s">
        <v>223</v>
      </c>
      <c r="X247" s="3" t="s">
        <v>41</v>
      </c>
      <c r="Y247" s="3" t="s">
        <v>2063</v>
      </c>
      <c r="Z247" s="3" t="s">
        <v>1966</v>
      </c>
      <c r="AA247" s="3" t="s">
        <v>53</v>
      </c>
      <c r="AB247" s="3" t="s">
        <v>54</v>
      </c>
      <c r="AC247" s="3" t="s">
        <v>2064</v>
      </c>
      <c r="AD247" s="14">
        <v>45433</v>
      </c>
      <c r="AE247" s="14">
        <v>45626</v>
      </c>
      <c r="AF247" s="3"/>
    </row>
    <row r="248" spans="1:32" ht="409.6" hidden="1">
      <c r="A248" s="3" t="s">
        <v>75</v>
      </c>
      <c r="B248" s="3" t="s">
        <v>76</v>
      </c>
      <c r="C248" s="3" t="s">
        <v>2065</v>
      </c>
      <c r="D248" s="3" t="s">
        <v>59</v>
      </c>
      <c r="E248" s="3"/>
      <c r="F248" s="3"/>
      <c r="G248" s="3" t="s">
        <v>37</v>
      </c>
      <c r="H248" s="3" t="s">
        <v>78</v>
      </c>
      <c r="I248" s="3"/>
      <c r="J248" s="3" t="s">
        <v>40</v>
      </c>
      <c r="K248" s="3"/>
      <c r="L248" s="3"/>
      <c r="M248" s="3"/>
      <c r="N248" s="3" t="s">
        <v>79</v>
      </c>
      <c r="O248" s="3"/>
      <c r="P248" s="3" t="s">
        <v>2066</v>
      </c>
      <c r="Q248" s="3" t="s">
        <v>2067</v>
      </c>
      <c r="R248" s="3" t="s">
        <v>36</v>
      </c>
      <c r="S248" s="3" t="s">
        <v>48</v>
      </c>
      <c r="T248" s="3" t="s">
        <v>37</v>
      </c>
      <c r="U248" s="3" t="s">
        <v>49</v>
      </c>
      <c r="V248" s="3" t="s">
        <v>2068</v>
      </c>
      <c r="W248" s="3" t="s">
        <v>40</v>
      </c>
      <c r="X248" s="3" t="s">
        <v>41</v>
      </c>
      <c r="Y248" s="3" t="s">
        <v>114</v>
      </c>
      <c r="Z248" s="3" t="s">
        <v>52</v>
      </c>
      <c r="AA248" s="3" t="s">
        <v>63</v>
      </c>
      <c r="AB248" s="3" t="s">
        <v>54</v>
      </c>
      <c r="AC248" s="3" t="s">
        <v>2069</v>
      </c>
      <c r="AD248" s="14">
        <v>45435</v>
      </c>
      <c r="AE248" s="14">
        <v>45778</v>
      </c>
      <c r="AF248" s="3"/>
    </row>
    <row r="249" spans="1:32" ht="409.6" hidden="1">
      <c r="A249" s="3" t="s">
        <v>2054</v>
      </c>
      <c r="B249" s="3" t="s">
        <v>2055</v>
      </c>
      <c r="C249" s="3" t="s">
        <v>2070</v>
      </c>
      <c r="D249" s="3" t="s">
        <v>348</v>
      </c>
      <c r="E249" s="3" t="s">
        <v>36</v>
      </c>
      <c r="F249" s="3" t="s">
        <v>247</v>
      </c>
      <c r="G249" s="3" t="s">
        <v>82</v>
      </c>
      <c r="H249" s="3" t="s">
        <v>38</v>
      </c>
      <c r="I249" s="3" t="s">
        <v>2057</v>
      </c>
      <c r="J249" s="3" t="s">
        <v>223</v>
      </c>
      <c r="K249" s="3" t="s">
        <v>41</v>
      </c>
      <c r="L249" s="3" t="s">
        <v>2058</v>
      </c>
      <c r="M249" s="3" t="s">
        <v>2059</v>
      </c>
      <c r="N249" s="3" t="s">
        <v>53</v>
      </c>
      <c r="O249" s="3" t="s">
        <v>240</v>
      </c>
      <c r="P249" s="3" t="s">
        <v>2066</v>
      </c>
      <c r="Q249" s="3" t="s">
        <v>2067</v>
      </c>
      <c r="R249" s="3" t="s">
        <v>36</v>
      </c>
      <c r="S249" s="3" t="s">
        <v>48</v>
      </c>
      <c r="T249" s="3" t="s">
        <v>37</v>
      </c>
      <c r="U249" s="3" t="s">
        <v>49</v>
      </c>
      <c r="V249" s="3" t="s">
        <v>2068</v>
      </c>
      <c r="W249" s="3" t="s">
        <v>40</v>
      </c>
      <c r="X249" s="3" t="s">
        <v>41</v>
      </c>
      <c r="Y249" s="3" t="s">
        <v>114</v>
      </c>
      <c r="Z249" s="3" t="s">
        <v>52</v>
      </c>
      <c r="AA249" s="3" t="s">
        <v>63</v>
      </c>
      <c r="AB249" s="3" t="s">
        <v>54</v>
      </c>
      <c r="AC249" s="3" t="s">
        <v>2071</v>
      </c>
      <c r="AD249" s="14">
        <v>45444</v>
      </c>
      <c r="AE249" s="14">
        <v>45808</v>
      </c>
      <c r="AF249" s="3"/>
    </row>
    <row r="250" spans="1:32" ht="39.6" hidden="1">
      <c r="A250" s="3" t="s">
        <v>915</v>
      </c>
      <c r="B250" s="3" t="s">
        <v>916</v>
      </c>
      <c r="C250" s="3"/>
      <c r="D250" s="3" t="s">
        <v>59</v>
      </c>
      <c r="E250" s="3" t="s">
        <v>36</v>
      </c>
      <c r="F250" s="3" t="s">
        <v>48</v>
      </c>
      <c r="G250" s="3" t="s">
        <v>37</v>
      </c>
      <c r="H250" s="3" t="s">
        <v>49</v>
      </c>
      <c r="I250" s="3" t="s">
        <v>154</v>
      </c>
      <c r="J250" s="3" t="s">
        <v>40</v>
      </c>
      <c r="K250" s="3" t="s">
        <v>41</v>
      </c>
      <c r="L250" s="3" t="s">
        <v>918</v>
      </c>
      <c r="M250" s="3" t="s">
        <v>919</v>
      </c>
      <c r="N250" s="3" t="s">
        <v>79</v>
      </c>
      <c r="O250" s="3" t="s">
        <v>920</v>
      </c>
      <c r="P250" s="3" t="s">
        <v>57</v>
      </c>
      <c r="Q250" s="3" t="s">
        <v>58</v>
      </c>
      <c r="R250" s="3" t="s">
        <v>36</v>
      </c>
      <c r="S250" s="3" t="s">
        <v>48</v>
      </c>
      <c r="T250" s="3" t="s">
        <v>37</v>
      </c>
      <c r="U250" s="3" t="s">
        <v>49</v>
      </c>
      <c r="V250" s="3" t="s">
        <v>60</v>
      </c>
      <c r="W250" s="3" t="s">
        <v>40</v>
      </c>
      <c r="X250" s="3" t="s">
        <v>41</v>
      </c>
      <c r="Y250" s="3" t="s">
        <v>61</v>
      </c>
      <c r="Z250" s="3" t="s">
        <v>62</v>
      </c>
      <c r="AA250" s="3" t="s">
        <v>63</v>
      </c>
      <c r="AB250" s="3" t="s">
        <v>64</v>
      </c>
      <c r="AC250" s="3" t="s">
        <v>2072</v>
      </c>
      <c r="AD250" s="14">
        <v>45433</v>
      </c>
      <c r="AE250" s="14"/>
      <c r="AF250" s="3"/>
    </row>
    <row r="251" spans="1:32" ht="39.6" hidden="1">
      <c r="A251" s="3" t="s">
        <v>915</v>
      </c>
      <c r="B251" s="3" t="s">
        <v>916</v>
      </c>
      <c r="C251" s="3" t="s">
        <v>2073</v>
      </c>
      <c r="D251" s="3" t="s">
        <v>35</v>
      </c>
      <c r="E251" s="3" t="s">
        <v>36</v>
      </c>
      <c r="F251" s="3" t="s">
        <v>48</v>
      </c>
      <c r="G251" s="3" t="s">
        <v>37</v>
      </c>
      <c r="H251" s="3" t="s">
        <v>49</v>
      </c>
      <c r="I251" s="3" t="s">
        <v>154</v>
      </c>
      <c r="J251" s="3" t="s">
        <v>40</v>
      </c>
      <c r="K251" s="3" t="s">
        <v>41</v>
      </c>
      <c r="L251" s="3" t="s">
        <v>918</v>
      </c>
      <c r="M251" s="3" t="s">
        <v>919</v>
      </c>
      <c r="N251" s="3" t="s">
        <v>79</v>
      </c>
      <c r="O251" s="3" t="s">
        <v>920</v>
      </c>
      <c r="P251" s="3" t="s">
        <v>2074</v>
      </c>
      <c r="Q251" s="3" t="s">
        <v>2075</v>
      </c>
      <c r="R251" s="3" t="s">
        <v>36</v>
      </c>
      <c r="S251" s="3" t="s">
        <v>48</v>
      </c>
      <c r="T251" s="3" t="s">
        <v>37</v>
      </c>
      <c r="U251" s="3" t="s">
        <v>49</v>
      </c>
      <c r="V251" s="3" t="s">
        <v>2076</v>
      </c>
      <c r="W251" s="3" t="s">
        <v>40</v>
      </c>
      <c r="X251" s="3" t="s">
        <v>41</v>
      </c>
      <c r="Y251" s="3" t="s">
        <v>2077</v>
      </c>
      <c r="Z251" s="3" t="s">
        <v>2078</v>
      </c>
      <c r="AA251" s="3" t="s">
        <v>79</v>
      </c>
      <c r="AB251" s="3" t="s">
        <v>100</v>
      </c>
      <c r="AC251" s="3" t="s">
        <v>2079</v>
      </c>
      <c r="AD251" s="14">
        <v>45433</v>
      </c>
      <c r="AE251" s="14"/>
      <c r="AF251" s="3"/>
    </row>
    <row r="252" spans="1:32" ht="52.9" hidden="1">
      <c r="A252" s="3" t="s">
        <v>1730</v>
      </c>
      <c r="B252" s="3" t="s">
        <v>1731</v>
      </c>
      <c r="C252" s="3" t="s">
        <v>2080</v>
      </c>
      <c r="D252" s="3" t="s">
        <v>348</v>
      </c>
      <c r="E252" s="3" t="s">
        <v>36</v>
      </c>
      <c r="F252" s="3" t="s">
        <v>221</v>
      </c>
      <c r="G252" s="3" t="s">
        <v>82</v>
      </c>
      <c r="H252" s="3" t="s">
        <v>49</v>
      </c>
      <c r="I252" s="3" t="s">
        <v>1733</v>
      </c>
      <c r="J252" s="3" t="s">
        <v>223</v>
      </c>
      <c r="K252" s="3" t="s">
        <v>41</v>
      </c>
      <c r="L252" s="3" t="s">
        <v>1734</v>
      </c>
      <c r="M252" s="3" t="s">
        <v>1735</v>
      </c>
      <c r="N252" s="3" t="s">
        <v>63</v>
      </c>
      <c r="O252" s="3" t="s">
        <v>301</v>
      </c>
      <c r="P252" s="3" t="s">
        <v>1984</v>
      </c>
      <c r="Q252" s="3" t="s">
        <v>1985</v>
      </c>
      <c r="R252" s="3"/>
      <c r="S252" s="3" t="s">
        <v>221</v>
      </c>
      <c r="T252" s="3" t="s">
        <v>37</v>
      </c>
      <c r="U252" s="3" t="s">
        <v>49</v>
      </c>
      <c r="V252" s="3"/>
      <c r="W252" s="3" t="s">
        <v>223</v>
      </c>
      <c r="X252" s="3"/>
      <c r="Y252" s="3"/>
      <c r="Z252" s="3"/>
      <c r="AA252" s="3" t="s">
        <v>79</v>
      </c>
      <c r="AB252" s="3"/>
      <c r="AC252" s="3" t="s">
        <v>2081</v>
      </c>
      <c r="AD252" s="14">
        <v>45439</v>
      </c>
      <c r="AE252" s="14"/>
      <c r="AF252" s="3"/>
    </row>
    <row r="253" spans="1:32" ht="39.6" hidden="1">
      <c r="A253" s="3" t="s">
        <v>151</v>
      </c>
      <c r="B253" s="3" t="s">
        <v>152</v>
      </c>
      <c r="C253" s="3"/>
      <c r="D253" s="3" t="s">
        <v>35</v>
      </c>
      <c r="E253" s="3" t="s">
        <v>36</v>
      </c>
      <c r="F253" s="3"/>
      <c r="G253" s="3" t="s">
        <v>37</v>
      </c>
      <c r="H253" s="3" t="s">
        <v>38</v>
      </c>
      <c r="I253" s="3" t="s">
        <v>154</v>
      </c>
      <c r="J253" s="3" t="s">
        <v>40</v>
      </c>
      <c r="K253" s="3" t="s">
        <v>41</v>
      </c>
      <c r="L253" s="3" t="s">
        <v>149</v>
      </c>
      <c r="M253" s="3" t="s">
        <v>155</v>
      </c>
      <c r="N253" s="3" t="s">
        <v>123</v>
      </c>
      <c r="O253" s="3" t="s">
        <v>54</v>
      </c>
      <c r="P253" s="3" t="s">
        <v>2082</v>
      </c>
      <c r="Q253" s="3" t="s">
        <v>2083</v>
      </c>
      <c r="R253" s="3" t="s">
        <v>36</v>
      </c>
      <c r="S253" s="3"/>
      <c r="T253" s="3" t="s">
        <v>37</v>
      </c>
      <c r="U253" s="3" t="s">
        <v>73</v>
      </c>
      <c r="V253" s="3" t="s">
        <v>97</v>
      </c>
      <c r="W253" s="3" t="s">
        <v>40</v>
      </c>
      <c r="X253" s="3" t="s">
        <v>41</v>
      </c>
      <c r="Y253" s="3" t="s">
        <v>149</v>
      </c>
      <c r="Z253" s="3" t="s">
        <v>99</v>
      </c>
      <c r="AA253" s="3" t="s">
        <v>63</v>
      </c>
      <c r="AB253" s="3" t="s">
        <v>100</v>
      </c>
      <c r="AC253" s="3" t="s">
        <v>2084</v>
      </c>
      <c r="AD253" s="14">
        <v>45439</v>
      </c>
      <c r="AE253" s="14"/>
      <c r="AF253" s="3"/>
    </row>
    <row r="254" spans="1:32" ht="409.6" hidden="1">
      <c r="A254" s="3" t="s">
        <v>2085</v>
      </c>
      <c r="B254" s="3" t="s">
        <v>2086</v>
      </c>
      <c r="C254" s="3" t="s">
        <v>2087</v>
      </c>
      <c r="D254" s="3" t="s">
        <v>59</v>
      </c>
      <c r="E254" s="3" t="s">
        <v>36</v>
      </c>
      <c r="F254" s="3" t="s">
        <v>221</v>
      </c>
      <c r="G254" s="3" t="s">
        <v>82</v>
      </c>
      <c r="H254" s="3" t="s">
        <v>38</v>
      </c>
      <c r="I254" s="3" t="s">
        <v>2088</v>
      </c>
      <c r="J254" s="3" t="s">
        <v>223</v>
      </c>
      <c r="K254" s="3" t="s">
        <v>41</v>
      </c>
      <c r="L254" s="3" t="s">
        <v>2089</v>
      </c>
      <c r="M254" s="3" t="s">
        <v>2090</v>
      </c>
      <c r="N254" s="3" t="s">
        <v>123</v>
      </c>
      <c r="O254" s="3" t="s">
        <v>295</v>
      </c>
      <c r="P254" s="3" t="s">
        <v>2091</v>
      </c>
      <c r="Q254" s="3" t="s">
        <v>2092</v>
      </c>
      <c r="R254" s="3" t="s">
        <v>36</v>
      </c>
      <c r="S254" s="3" t="s">
        <v>221</v>
      </c>
      <c r="T254" s="3" t="s">
        <v>37</v>
      </c>
      <c r="U254" s="3" t="s">
        <v>38</v>
      </c>
      <c r="V254" s="3" t="s">
        <v>2093</v>
      </c>
      <c r="W254" s="3" t="s">
        <v>223</v>
      </c>
      <c r="X254" s="3" t="s">
        <v>41</v>
      </c>
      <c r="Y254" s="3" t="s">
        <v>2094</v>
      </c>
      <c r="Z254" s="3" t="s">
        <v>2095</v>
      </c>
      <c r="AA254" s="3" t="s">
        <v>79</v>
      </c>
      <c r="AB254" s="3" t="s">
        <v>201</v>
      </c>
      <c r="AC254" s="3" t="s">
        <v>2096</v>
      </c>
      <c r="AD254" s="14">
        <v>45460</v>
      </c>
      <c r="AE254" s="14">
        <v>46010</v>
      </c>
      <c r="AF254" s="3"/>
    </row>
    <row r="255" spans="1:32" ht="52.9" hidden="1">
      <c r="A255" s="3" t="s">
        <v>764</v>
      </c>
      <c r="B255" s="3" t="s">
        <v>765</v>
      </c>
      <c r="C255" s="3" t="s">
        <v>2097</v>
      </c>
      <c r="D255" s="3" t="s">
        <v>59</v>
      </c>
      <c r="E255" s="3"/>
      <c r="F255" s="3" t="s">
        <v>221</v>
      </c>
      <c r="G255" s="3" t="s">
        <v>82</v>
      </c>
      <c r="H255" s="3" t="s">
        <v>49</v>
      </c>
      <c r="I255" s="3"/>
      <c r="J255" s="3" t="s">
        <v>223</v>
      </c>
      <c r="K255" s="3"/>
      <c r="L255" s="3"/>
      <c r="M255" s="3"/>
      <c r="N255" s="3" t="s">
        <v>53</v>
      </c>
      <c r="O255" s="3"/>
      <c r="P255" s="3" t="s">
        <v>2098</v>
      </c>
      <c r="Q255" s="3" t="s">
        <v>2099</v>
      </c>
      <c r="R255" s="3" t="s">
        <v>467</v>
      </c>
      <c r="S255" s="3" t="s">
        <v>221</v>
      </c>
      <c r="T255" s="3" t="s">
        <v>37</v>
      </c>
      <c r="U255" s="3" t="s">
        <v>38</v>
      </c>
      <c r="V255" s="3" t="s">
        <v>2100</v>
      </c>
      <c r="W255" s="3" t="s">
        <v>223</v>
      </c>
      <c r="X255" s="3" t="s">
        <v>41</v>
      </c>
      <c r="Y255" s="3" t="s">
        <v>2101</v>
      </c>
      <c r="Z255" s="3" t="s">
        <v>470</v>
      </c>
      <c r="AA255" s="3" t="s">
        <v>44</v>
      </c>
      <c r="AB255" s="3" t="s">
        <v>116</v>
      </c>
      <c r="AC255" s="3" t="s">
        <v>2102</v>
      </c>
      <c r="AD255" s="14">
        <v>45337</v>
      </c>
      <c r="AE255" s="14">
        <v>45519</v>
      </c>
      <c r="AF255" s="3"/>
    </row>
    <row r="256" spans="1:32" ht="52.9" hidden="1">
      <c r="A256" s="3" t="s">
        <v>2103</v>
      </c>
      <c r="B256" s="3" t="s">
        <v>2104</v>
      </c>
      <c r="C256" s="3" t="s">
        <v>2105</v>
      </c>
      <c r="D256" s="3" t="s">
        <v>59</v>
      </c>
      <c r="E256" s="3" t="s">
        <v>36</v>
      </c>
      <c r="F256" s="3" t="s">
        <v>48</v>
      </c>
      <c r="G256" s="3" t="s">
        <v>37</v>
      </c>
      <c r="H256" s="3" t="s">
        <v>38</v>
      </c>
      <c r="I256" s="3" t="s">
        <v>2106</v>
      </c>
      <c r="J256" s="3" t="s">
        <v>40</v>
      </c>
      <c r="K256" s="3" t="s">
        <v>41</v>
      </c>
      <c r="L256" s="3" t="s">
        <v>2107</v>
      </c>
      <c r="M256" s="3" t="s">
        <v>939</v>
      </c>
      <c r="N256" s="3" t="s">
        <v>79</v>
      </c>
      <c r="O256" s="3" t="s">
        <v>54</v>
      </c>
      <c r="P256" s="3" t="s">
        <v>2108</v>
      </c>
      <c r="Q256" s="3" t="s">
        <v>2109</v>
      </c>
      <c r="R256" s="3" t="s">
        <v>36</v>
      </c>
      <c r="S256" s="3" t="s">
        <v>48</v>
      </c>
      <c r="T256" s="3" t="s">
        <v>37</v>
      </c>
      <c r="U256" s="3" t="s">
        <v>49</v>
      </c>
      <c r="V256" s="3" t="s">
        <v>2110</v>
      </c>
      <c r="W256" s="3" t="s">
        <v>40</v>
      </c>
      <c r="X256" s="3" t="s">
        <v>41</v>
      </c>
      <c r="Y256" s="3" t="s">
        <v>2111</v>
      </c>
      <c r="Z256" s="3" t="s">
        <v>1676</v>
      </c>
      <c r="AA256" s="3" t="s">
        <v>79</v>
      </c>
      <c r="AB256" s="3" t="s">
        <v>251</v>
      </c>
      <c r="AC256" s="3" t="s">
        <v>2112</v>
      </c>
      <c r="AD256" s="14">
        <v>45448</v>
      </c>
      <c r="AE256" s="14">
        <v>45835</v>
      </c>
      <c r="AF256" s="3"/>
    </row>
    <row r="257" spans="1:32" ht="250.9" hidden="1">
      <c r="A257" s="3" t="s">
        <v>32</v>
      </c>
      <c r="B257" s="3" t="s">
        <v>33</v>
      </c>
      <c r="C257" s="3" t="s">
        <v>2113</v>
      </c>
      <c r="D257" s="3" t="s">
        <v>59</v>
      </c>
      <c r="E257" s="3" t="s">
        <v>36</v>
      </c>
      <c r="F257" s="3"/>
      <c r="G257" s="3" t="s">
        <v>37</v>
      </c>
      <c r="H257" s="3" t="s">
        <v>38</v>
      </c>
      <c r="I257" s="3" t="s">
        <v>39</v>
      </c>
      <c r="J257" s="3" t="s">
        <v>40</v>
      </c>
      <c r="K257" s="3" t="s">
        <v>41</v>
      </c>
      <c r="L257" s="3" t="s">
        <v>42</v>
      </c>
      <c r="M257" s="3" t="s">
        <v>43</v>
      </c>
      <c r="N257" s="3" t="s">
        <v>44</v>
      </c>
      <c r="O257" s="3" t="s">
        <v>45</v>
      </c>
      <c r="P257" s="3" t="s">
        <v>2114</v>
      </c>
      <c r="Q257" s="3" t="s">
        <v>2115</v>
      </c>
      <c r="R257" s="3" t="s">
        <v>36</v>
      </c>
      <c r="S257" s="3" t="s">
        <v>48</v>
      </c>
      <c r="T257" s="3" t="s">
        <v>37</v>
      </c>
      <c r="U257" s="3" t="s">
        <v>73</v>
      </c>
      <c r="V257" s="3" t="s">
        <v>2116</v>
      </c>
      <c r="W257" s="3" t="s">
        <v>40</v>
      </c>
      <c r="X257" s="3" t="s">
        <v>41</v>
      </c>
      <c r="Y257" s="3" t="s">
        <v>2107</v>
      </c>
      <c r="Z257" s="3" t="s">
        <v>2117</v>
      </c>
      <c r="AA257" s="3" t="s">
        <v>63</v>
      </c>
      <c r="AB257" s="3" t="s">
        <v>2118</v>
      </c>
      <c r="AC257" s="3" t="s">
        <v>2119</v>
      </c>
      <c r="AD257" s="14">
        <v>45362</v>
      </c>
      <c r="AE257" s="14">
        <v>45499</v>
      </c>
      <c r="AF257" s="3" t="s">
        <v>109</v>
      </c>
    </row>
    <row r="258" spans="1:32" ht="52.9" hidden="1">
      <c r="A258" s="3" t="s">
        <v>365</v>
      </c>
      <c r="B258" s="3" t="s">
        <v>366</v>
      </c>
      <c r="C258" s="3"/>
      <c r="D258" s="3" t="s">
        <v>35</v>
      </c>
      <c r="E258" s="3"/>
      <c r="F258" s="3" t="s">
        <v>221</v>
      </c>
      <c r="G258" s="3" t="s">
        <v>82</v>
      </c>
      <c r="H258" s="3" t="s">
        <v>38</v>
      </c>
      <c r="I258" s="3"/>
      <c r="J258" s="3" t="s">
        <v>223</v>
      </c>
      <c r="K258" s="3"/>
      <c r="L258" s="3"/>
      <c r="M258" s="3"/>
      <c r="N258" s="3" t="s">
        <v>44</v>
      </c>
      <c r="O258" s="3"/>
      <c r="P258" s="3" t="s">
        <v>2120</v>
      </c>
      <c r="Q258" s="3" t="s">
        <v>2121</v>
      </c>
      <c r="R258" s="3" t="s">
        <v>36</v>
      </c>
      <c r="S258" s="3" t="s">
        <v>221</v>
      </c>
      <c r="T258" s="3" t="s">
        <v>82</v>
      </c>
      <c r="U258" s="3" t="s">
        <v>78</v>
      </c>
      <c r="V258" s="3" t="s">
        <v>2122</v>
      </c>
      <c r="W258" s="3" t="s">
        <v>223</v>
      </c>
      <c r="X258" s="3" t="s">
        <v>41</v>
      </c>
      <c r="Y258" s="3" t="s">
        <v>2123</v>
      </c>
      <c r="Z258" s="3" t="s">
        <v>2124</v>
      </c>
      <c r="AA258" s="3" t="s">
        <v>123</v>
      </c>
      <c r="AB258" s="3" t="s">
        <v>270</v>
      </c>
      <c r="AC258" s="3" t="s">
        <v>2125</v>
      </c>
      <c r="AD258" s="14">
        <v>45444</v>
      </c>
      <c r="AE258" s="14">
        <v>45534</v>
      </c>
      <c r="AF258" s="3"/>
    </row>
    <row r="259" spans="1:32" ht="52.9" hidden="1">
      <c r="A259" s="3" t="s">
        <v>2126</v>
      </c>
      <c r="B259" s="3" t="s">
        <v>2127</v>
      </c>
      <c r="C259" s="3"/>
      <c r="D259" s="3" t="s">
        <v>35</v>
      </c>
      <c r="E259" s="3"/>
      <c r="F259" s="3" t="s">
        <v>48</v>
      </c>
      <c r="G259" s="3" t="s">
        <v>82</v>
      </c>
      <c r="H259" s="3" t="s">
        <v>38</v>
      </c>
      <c r="I259" s="3"/>
      <c r="J259" s="3" t="s">
        <v>40</v>
      </c>
      <c r="K259" s="3"/>
      <c r="L259" s="3"/>
      <c r="M259" s="3"/>
      <c r="N259" s="3" t="s">
        <v>79</v>
      </c>
      <c r="O259" s="3"/>
      <c r="P259" s="3" t="s">
        <v>2128</v>
      </c>
      <c r="Q259" s="3" t="s">
        <v>2129</v>
      </c>
      <c r="R259" s="3" t="s">
        <v>36</v>
      </c>
      <c r="S259" s="3"/>
      <c r="T259" s="3" t="s">
        <v>82</v>
      </c>
      <c r="U259" s="3" t="s">
        <v>49</v>
      </c>
      <c r="V259" s="3" t="s">
        <v>2130</v>
      </c>
      <c r="W259" s="3" t="s">
        <v>40</v>
      </c>
      <c r="X259" s="3" t="s">
        <v>41</v>
      </c>
      <c r="Y259" s="3" t="s">
        <v>2030</v>
      </c>
      <c r="Z259" s="3" t="s">
        <v>52</v>
      </c>
      <c r="AA259" s="3" t="s">
        <v>63</v>
      </c>
      <c r="AB259" s="3" t="s">
        <v>54</v>
      </c>
      <c r="AC259" s="3" t="s">
        <v>2131</v>
      </c>
      <c r="AD259" s="14">
        <v>45432</v>
      </c>
      <c r="AE259" s="14"/>
      <c r="AF259" s="3"/>
    </row>
    <row r="260" spans="1:32" ht="145.15" hidden="1">
      <c r="A260" s="3" t="s">
        <v>2132</v>
      </c>
      <c r="B260" s="3" t="s">
        <v>2133</v>
      </c>
      <c r="C260" s="3" t="s">
        <v>2134</v>
      </c>
      <c r="D260" s="3" t="s">
        <v>59</v>
      </c>
      <c r="E260" s="3"/>
      <c r="F260" s="3" t="s">
        <v>221</v>
      </c>
      <c r="G260" s="3" t="s">
        <v>82</v>
      </c>
      <c r="H260" s="3" t="s">
        <v>49</v>
      </c>
      <c r="I260" s="3"/>
      <c r="J260" s="3" t="s">
        <v>223</v>
      </c>
      <c r="K260" s="3"/>
      <c r="L260" s="3"/>
      <c r="M260" s="3"/>
      <c r="N260" s="3" t="s">
        <v>285</v>
      </c>
      <c r="O260" s="3"/>
      <c r="P260" s="3" t="s">
        <v>2135</v>
      </c>
      <c r="Q260" s="3" t="s">
        <v>2136</v>
      </c>
      <c r="R260" s="3" t="s">
        <v>36</v>
      </c>
      <c r="S260" s="3" t="s">
        <v>221</v>
      </c>
      <c r="T260" s="3" t="s">
        <v>37</v>
      </c>
      <c r="U260" s="3" t="s">
        <v>49</v>
      </c>
      <c r="V260" s="3" t="s">
        <v>2137</v>
      </c>
      <c r="W260" s="3" t="s">
        <v>223</v>
      </c>
      <c r="X260" s="3" t="s">
        <v>41</v>
      </c>
      <c r="Y260" s="3" t="s">
        <v>2138</v>
      </c>
      <c r="Z260" s="3" t="s">
        <v>1615</v>
      </c>
      <c r="AA260" s="3" t="s">
        <v>79</v>
      </c>
      <c r="AB260" s="3" t="s">
        <v>226</v>
      </c>
      <c r="AC260" s="3" t="s">
        <v>2139</v>
      </c>
      <c r="AD260" s="14">
        <v>45447</v>
      </c>
      <c r="AE260" s="14">
        <v>45636</v>
      </c>
      <c r="AF260" s="3"/>
    </row>
    <row r="261" spans="1:32" ht="316.89999999999998" hidden="1">
      <c r="A261" s="3" t="s">
        <v>2140</v>
      </c>
      <c r="B261" s="3" t="s">
        <v>2141</v>
      </c>
      <c r="C261" s="3" t="s">
        <v>2142</v>
      </c>
      <c r="D261" s="3" t="s">
        <v>59</v>
      </c>
      <c r="E261" s="3" t="s">
        <v>36</v>
      </c>
      <c r="F261" s="3"/>
      <c r="G261" s="3" t="s">
        <v>37</v>
      </c>
      <c r="H261" s="3" t="s">
        <v>38</v>
      </c>
      <c r="I261" s="3" t="s">
        <v>2045</v>
      </c>
      <c r="J261" s="3" t="s">
        <v>40</v>
      </c>
      <c r="K261" s="3" t="s">
        <v>41</v>
      </c>
      <c r="L261" s="3" t="s">
        <v>2143</v>
      </c>
      <c r="M261" s="3" t="s">
        <v>2144</v>
      </c>
      <c r="N261" s="3" t="s">
        <v>79</v>
      </c>
      <c r="O261" s="3" t="s">
        <v>409</v>
      </c>
      <c r="P261" s="3" t="s">
        <v>2145</v>
      </c>
      <c r="Q261" s="3" t="s">
        <v>2146</v>
      </c>
      <c r="R261" s="3" t="s">
        <v>36</v>
      </c>
      <c r="S261" s="3"/>
      <c r="T261" s="3" t="s">
        <v>37</v>
      </c>
      <c r="U261" s="3" t="s">
        <v>73</v>
      </c>
      <c r="V261" s="3" t="s">
        <v>2147</v>
      </c>
      <c r="W261" s="3" t="s">
        <v>40</v>
      </c>
      <c r="X261" s="3" t="s">
        <v>41</v>
      </c>
      <c r="Y261" s="3" t="s">
        <v>2034</v>
      </c>
      <c r="Z261" s="3" t="s">
        <v>2148</v>
      </c>
      <c r="AA261" s="3" t="s">
        <v>63</v>
      </c>
      <c r="AB261" s="3" t="s">
        <v>643</v>
      </c>
      <c r="AC261" s="3" t="s">
        <v>2149</v>
      </c>
      <c r="AD261" s="14">
        <v>45446</v>
      </c>
      <c r="AE261" s="14">
        <v>45729</v>
      </c>
      <c r="AF261" s="3"/>
    </row>
    <row r="262" spans="1:32" ht="118.9" hidden="1">
      <c r="A262" s="3" t="s">
        <v>2150</v>
      </c>
      <c r="B262" s="3" t="s">
        <v>2151</v>
      </c>
      <c r="C262" s="3" t="s">
        <v>2152</v>
      </c>
      <c r="D262" s="3" t="s">
        <v>348</v>
      </c>
      <c r="E262" s="3" t="s">
        <v>36</v>
      </c>
      <c r="F262" s="3" t="s">
        <v>221</v>
      </c>
      <c r="G262" s="3" t="s">
        <v>37</v>
      </c>
      <c r="H262" s="3" t="s">
        <v>49</v>
      </c>
      <c r="I262" s="3" t="s">
        <v>2153</v>
      </c>
      <c r="J262" s="3" t="s">
        <v>223</v>
      </c>
      <c r="K262" s="3" t="s">
        <v>41</v>
      </c>
      <c r="L262" s="3" t="s">
        <v>2154</v>
      </c>
      <c r="M262" s="3" t="s">
        <v>1735</v>
      </c>
      <c r="N262" s="3" t="s">
        <v>63</v>
      </c>
      <c r="O262" s="3" t="s">
        <v>301</v>
      </c>
      <c r="P262" s="3" t="s">
        <v>1861</v>
      </c>
      <c r="Q262" s="3" t="s">
        <v>1862</v>
      </c>
      <c r="R262" s="3" t="s">
        <v>36</v>
      </c>
      <c r="S262" s="3" t="s">
        <v>221</v>
      </c>
      <c r="T262" s="3" t="s">
        <v>37</v>
      </c>
      <c r="U262" s="3" t="s">
        <v>38</v>
      </c>
      <c r="V262" s="3" t="s">
        <v>1863</v>
      </c>
      <c r="W262" s="3" t="s">
        <v>223</v>
      </c>
      <c r="X262" s="3" t="s">
        <v>41</v>
      </c>
      <c r="Y262" s="3" t="s">
        <v>1739</v>
      </c>
      <c r="Z262" s="3" t="s">
        <v>1740</v>
      </c>
      <c r="AA262" s="3" t="s">
        <v>79</v>
      </c>
      <c r="AB262" s="3" t="s">
        <v>1741</v>
      </c>
      <c r="AC262" s="3" t="s">
        <v>2155</v>
      </c>
      <c r="AD262" s="14">
        <v>45327</v>
      </c>
      <c r="AE262" s="14">
        <v>45441</v>
      </c>
      <c r="AF262" s="3"/>
    </row>
    <row r="263" spans="1:32" ht="184.9" hidden="1">
      <c r="A263" s="3" t="s">
        <v>624</v>
      </c>
      <c r="B263" s="3" t="s">
        <v>625</v>
      </c>
      <c r="C263" s="3" t="s">
        <v>2156</v>
      </c>
      <c r="D263" s="3" t="s">
        <v>59</v>
      </c>
      <c r="E263" s="3" t="s">
        <v>36</v>
      </c>
      <c r="F263" s="3" t="s">
        <v>247</v>
      </c>
      <c r="G263" s="3" t="s">
        <v>82</v>
      </c>
      <c r="H263" s="3" t="s">
        <v>49</v>
      </c>
      <c r="I263" s="3" t="s">
        <v>626</v>
      </c>
      <c r="J263" s="3" t="s">
        <v>223</v>
      </c>
      <c r="K263" s="3" t="s">
        <v>356</v>
      </c>
      <c r="L263" s="3" t="s">
        <v>627</v>
      </c>
      <c r="M263" s="3" t="s">
        <v>628</v>
      </c>
      <c r="N263" s="3" t="s">
        <v>53</v>
      </c>
      <c r="O263" s="3" t="s">
        <v>278</v>
      </c>
      <c r="P263" s="3" t="s">
        <v>2157</v>
      </c>
      <c r="Q263" s="3" t="s">
        <v>2158</v>
      </c>
      <c r="R263" s="3" t="s">
        <v>36</v>
      </c>
      <c r="S263" s="3" t="s">
        <v>221</v>
      </c>
      <c r="T263" s="3" t="s">
        <v>37</v>
      </c>
      <c r="U263" s="3" t="s">
        <v>38</v>
      </c>
      <c r="V263" s="3" t="s">
        <v>562</v>
      </c>
      <c r="W263" s="3" t="s">
        <v>223</v>
      </c>
      <c r="X263" s="3" t="s">
        <v>41</v>
      </c>
      <c r="Y263" s="3" t="s">
        <v>563</v>
      </c>
      <c r="Z263" s="3" t="s">
        <v>2159</v>
      </c>
      <c r="AA263" s="3" t="s">
        <v>79</v>
      </c>
      <c r="AB263" s="3" t="s">
        <v>811</v>
      </c>
      <c r="AC263" s="3" t="s">
        <v>2160</v>
      </c>
      <c r="AD263" s="14">
        <v>45474</v>
      </c>
      <c r="AE263" s="14">
        <v>45626</v>
      </c>
      <c r="AF263" s="3"/>
    </row>
    <row r="264" spans="1:32" ht="132" hidden="1">
      <c r="A264" s="3" t="s">
        <v>398</v>
      </c>
      <c r="B264" s="3" t="s">
        <v>399</v>
      </c>
      <c r="C264" s="3" t="s">
        <v>2161</v>
      </c>
      <c r="D264" s="3" t="s">
        <v>59</v>
      </c>
      <c r="E264" s="3" t="s">
        <v>36</v>
      </c>
      <c r="F264" s="3"/>
      <c r="G264" s="3" t="s">
        <v>82</v>
      </c>
      <c r="H264" s="3" t="s">
        <v>49</v>
      </c>
      <c r="I264" s="3" t="s">
        <v>400</v>
      </c>
      <c r="J264" s="3" t="s">
        <v>40</v>
      </c>
      <c r="K264" s="3" t="s">
        <v>41</v>
      </c>
      <c r="L264" s="3" t="s">
        <v>401</v>
      </c>
      <c r="M264" s="3" t="s">
        <v>402</v>
      </c>
      <c r="N264" s="3" t="s">
        <v>79</v>
      </c>
      <c r="O264" s="3" t="s">
        <v>116</v>
      </c>
      <c r="P264" s="3" t="s">
        <v>57</v>
      </c>
      <c r="Q264" s="3" t="s">
        <v>58</v>
      </c>
      <c r="R264" s="3" t="s">
        <v>36</v>
      </c>
      <c r="S264" s="3" t="s">
        <v>48</v>
      </c>
      <c r="T264" s="3" t="s">
        <v>37</v>
      </c>
      <c r="U264" s="3" t="s">
        <v>49</v>
      </c>
      <c r="V264" s="3" t="s">
        <v>60</v>
      </c>
      <c r="W264" s="3" t="s">
        <v>40</v>
      </c>
      <c r="X264" s="3" t="s">
        <v>41</v>
      </c>
      <c r="Y264" s="3" t="s">
        <v>61</v>
      </c>
      <c r="Z264" s="3" t="s">
        <v>62</v>
      </c>
      <c r="AA264" s="3" t="s">
        <v>63</v>
      </c>
      <c r="AB264" s="3" t="s">
        <v>64</v>
      </c>
      <c r="AC264" s="3" t="s">
        <v>2162</v>
      </c>
      <c r="AD264" s="14">
        <v>45433</v>
      </c>
      <c r="AE264" s="14"/>
      <c r="AF264" s="3"/>
    </row>
    <row r="265" spans="1:32" ht="39.6" hidden="1">
      <c r="A265" s="3" t="s">
        <v>2163</v>
      </c>
      <c r="B265" s="3" t="s">
        <v>2164</v>
      </c>
      <c r="C265" s="3" t="s">
        <v>2165</v>
      </c>
      <c r="D265" s="3" t="s">
        <v>35</v>
      </c>
      <c r="E265" s="3" t="s">
        <v>36</v>
      </c>
      <c r="F265" s="3" t="s">
        <v>221</v>
      </c>
      <c r="G265" s="3" t="s">
        <v>37</v>
      </c>
      <c r="H265" s="3" t="s">
        <v>38</v>
      </c>
      <c r="I265" s="3" t="s">
        <v>2166</v>
      </c>
      <c r="J265" s="3" t="s">
        <v>223</v>
      </c>
      <c r="K265" s="3" t="s">
        <v>41</v>
      </c>
      <c r="L265" s="3" t="s">
        <v>2167</v>
      </c>
      <c r="M265" s="3" t="s">
        <v>2168</v>
      </c>
      <c r="N265" s="3" t="s">
        <v>79</v>
      </c>
      <c r="O265" s="3" t="s">
        <v>643</v>
      </c>
      <c r="P265" s="3" t="s">
        <v>2169</v>
      </c>
      <c r="Q265" s="3" t="s">
        <v>2170</v>
      </c>
      <c r="R265" s="3" t="s">
        <v>36</v>
      </c>
      <c r="S265" s="3" t="s">
        <v>221</v>
      </c>
      <c r="T265" s="3" t="s">
        <v>37</v>
      </c>
      <c r="U265" s="3" t="s">
        <v>49</v>
      </c>
      <c r="V265" s="3" t="s">
        <v>2171</v>
      </c>
      <c r="W265" s="3" t="s">
        <v>223</v>
      </c>
      <c r="X265" s="3" t="s">
        <v>41</v>
      </c>
      <c r="Y265" s="3" t="s">
        <v>2172</v>
      </c>
      <c r="Z265" s="3" t="s">
        <v>1709</v>
      </c>
      <c r="AA265" s="3" t="s">
        <v>79</v>
      </c>
      <c r="AB265" s="3" t="s">
        <v>643</v>
      </c>
      <c r="AC265" s="3" t="s">
        <v>2173</v>
      </c>
      <c r="AD265" s="14">
        <v>45489</v>
      </c>
      <c r="AE265" s="14"/>
      <c r="AF265" s="3"/>
    </row>
    <row r="266" spans="1:32" ht="39.6" hidden="1">
      <c r="A266" s="3" t="s">
        <v>151</v>
      </c>
      <c r="B266" s="3" t="s">
        <v>152</v>
      </c>
      <c r="C266" s="3"/>
      <c r="D266" s="3" t="s">
        <v>59</v>
      </c>
      <c r="E266" s="3" t="s">
        <v>36</v>
      </c>
      <c r="F266" s="3"/>
      <c r="G266" s="3" t="s">
        <v>37</v>
      </c>
      <c r="H266" s="3" t="s">
        <v>38</v>
      </c>
      <c r="I266" s="3" t="s">
        <v>154</v>
      </c>
      <c r="J266" s="3" t="s">
        <v>40</v>
      </c>
      <c r="K266" s="3" t="s">
        <v>41</v>
      </c>
      <c r="L266" s="3" t="s">
        <v>149</v>
      </c>
      <c r="M266" s="3" t="s">
        <v>155</v>
      </c>
      <c r="N266" s="3" t="s">
        <v>123</v>
      </c>
      <c r="O266" s="3" t="s">
        <v>54</v>
      </c>
      <c r="P266" s="3" t="s">
        <v>2174</v>
      </c>
      <c r="Q266" s="3" t="s">
        <v>2175</v>
      </c>
      <c r="R266" s="3" t="s">
        <v>36</v>
      </c>
      <c r="S266" s="3"/>
      <c r="T266" s="3" t="s">
        <v>37</v>
      </c>
      <c r="U266" s="3" t="s">
        <v>49</v>
      </c>
      <c r="V266" s="3" t="s">
        <v>2176</v>
      </c>
      <c r="W266" s="3" t="s">
        <v>40</v>
      </c>
      <c r="X266" s="3" t="s">
        <v>41</v>
      </c>
      <c r="Y266" s="3" t="s">
        <v>2040</v>
      </c>
      <c r="Z266" s="3" t="s">
        <v>2148</v>
      </c>
      <c r="AA266" s="3" t="s">
        <v>63</v>
      </c>
      <c r="AB266" s="3" t="s">
        <v>643</v>
      </c>
      <c r="AC266" s="3" t="s">
        <v>2177</v>
      </c>
      <c r="AD266" s="14">
        <v>45448</v>
      </c>
      <c r="AE266" s="14">
        <v>45838</v>
      </c>
      <c r="AF266" s="3"/>
    </row>
    <row r="267" spans="1:32" ht="52.9" hidden="1">
      <c r="A267" s="3" t="s">
        <v>1730</v>
      </c>
      <c r="B267" s="3" t="s">
        <v>1731</v>
      </c>
      <c r="C267" s="3"/>
      <c r="D267" s="3" t="s">
        <v>59</v>
      </c>
      <c r="E267" s="3" t="s">
        <v>36</v>
      </c>
      <c r="F267" s="3" t="s">
        <v>221</v>
      </c>
      <c r="G267" s="3" t="s">
        <v>82</v>
      </c>
      <c r="H267" s="3" t="s">
        <v>49</v>
      </c>
      <c r="I267" s="3" t="s">
        <v>1733</v>
      </c>
      <c r="J267" s="3" t="s">
        <v>223</v>
      </c>
      <c r="K267" s="3" t="s">
        <v>41</v>
      </c>
      <c r="L267" s="3" t="s">
        <v>1734</v>
      </c>
      <c r="M267" s="3" t="s">
        <v>1735</v>
      </c>
      <c r="N267" s="3" t="s">
        <v>63</v>
      </c>
      <c r="O267" s="3" t="s">
        <v>301</v>
      </c>
      <c r="P267" s="3" t="s">
        <v>2178</v>
      </c>
      <c r="Q267" s="3" t="s">
        <v>2179</v>
      </c>
      <c r="R267" s="3"/>
      <c r="S267" s="3" t="s">
        <v>221</v>
      </c>
      <c r="T267" s="3" t="s">
        <v>82</v>
      </c>
      <c r="U267" s="3" t="s">
        <v>73</v>
      </c>
      <c r="V267" s="3"/>
      <c r="W267" s="3" t="s">
        <v>223</v>
      </c>
      <c r="X267" s="3"/>
      <c r="Y267" s="3"/>
      <c r="Z267" s="3"/>
      <c r="AA267" s="3" t="s">
        <v>281</v>
      </c>
      <c r="AB267" s="3"/>
      <c r="AC267" s="3" t="s">
        <v>2180</v>
      </c>
      <c r="AD267" s="14">
        <v>45413</v>
      </c>
      <c r="AE267" s="14"/>
      <c r="AF267" s="3"/>
    </row>
    <row r="268" spans="1:32" ht="52.9" hidden="1">
      <c r="A268" s="3" t="s">
        <v>1730</v>
      </c>
      <c r="B268" s="3" t="s">
        <v>1731</v>
      </c>
      <c r="C268" s="3"/>
      <c r="D268" s="3" t="s">
        <v>348</v>
      </c>
      <c r="E268" s="3" t="s">
        <v>36</v>
      </c>
      <c r="F268" s="3" t="s">
        <v>221</v>
      </c>
      <c r="G268" s="3" t="s">
        <v>82</v>
      </c>
      <c r="H268" s="3" t="s">
        <v>49</v>
      </c>
      <c r="I268" s="3" t="s">
        <v>1733</v>
      </c>
      <c r="J268" s="3" t="s">
        <v>223</v>
      </c>
      <c r="K268" s="3" t="s">
        <v>41</v>
      </c>
      <c r="L268" s="3" t="s">
        <v>1734</v>
      </c>
      <c r="M268" s="3" t="s">
        <v>1735</v>
      </c>
      <c r="N268" s="3" t="s">
        <v>63</v>
      </c>
      <c r="O268" s="3" t="s">
        <v>301</v>
      </c>
      <c r="P268" s="3" t="s">
        <v>2181</v>
      </c>
      <c r="Q268" s="3" t="s">
        <v>2182</v>
      </c>
      <c r="R268" s="3" t="s">
        <v>36</v>
      </c>
      <c r="S268" s="3" t="s">
        <v>254</v>
      </c>
      <c r="T268" s="3" t="s">
        <v>82</v>
      </c>
      <c r="U268" s="3" t="s">
        <v>49</v>
      </c>
      <c r="V268" s="3" t="s">
        <v>2183</v>
      </c>
      <c r="W268" s="3" t="s">
        <v>223</v>
      </c>
      <c r="X268" s="3" t="s">
        <v>41</v>
      </c>
      <c r="Y268" s="3" t="s">
        <v>2184</v>
      </c>
      <c r="Z268" s="3" t="s">
        <v>2185</v>
      </c>
      <c r="AA268" s="3" t="s">
        <v>79</v>
      </c>
      <c r="AB268" s="3" t="s">
        <v>1610</v>
      </c>
      <c r="AC268" s="3" t="s">
        <v>2186</v>
      </c>
      <c r="AD268" s="14">
        <v>45322</v>
      </c>
      <c r="AE268" s="14"/>
      <c r="AF268" s="3"/>
    </row>
    <row r="269" spans="1:32" ht="92.45" hidden="1">
      <c r="A269" s="3" t="s">
        <v>1928</v>
      </c>
      <c r="B269" s="3" t="s">
        <v>1929</v>
      </c>
      <c r="C269" s="3" t="s">
        <v>2187</v>
      </c>
      <c r="D269" s="3" t="s">
        <v>59</v>
      </c>
      <c r="E269" s="3" t="s">
        <v>36</v>
      </c>
      <c r="F269" s="3" t="s">
        <v>247</v>
      </c>
      <c r="G269" s="3" t="s">
        <v>37</v>
      </c>
      <c r="H269" s="3" t="s">
        <v>38</v>
      </c>
      <c r="I269" s="3" t="s">
        <v>1931</v>
      </c>
      <c r="J269" s="3" t="s">
        <v>223</v>
      </c>
      <c r="K269" s="3" t="s">
        <v>780</v>
      </c>
      <c r="L269" s="3" t="s">
        <v>1932</v>
      </c>
      <c r="M269" s="3" t="s">
        <v>1933</v>
      </c>
      <c r="N269" s="3" t="s">
        <v>79</v>
      </c>
      <c r="O269" s="3" t="s">
        <v>543</v>
      </c>
      <c r="P269" s="3" t="s">
        <v>2188</v>
      </c>
      <c r="Q269" s="3" t="s">
        <v>2189</v>
      </c>
      <c r="R269" s="3" t="s">
        <v>36</v>
      </c>
      <c r="S269" s="3" t="s">
        <v>221</v>
      </c>
      <c r="T269" s="3" t="s">
        <v>37</v>
      </c>
      <c r="U269" s="3" t="s">
        <v>49</v>
      </c>
      <c r="V269" s="3" t="s">
        <v>1936</v>
      </c>
      <c r="W269" s="3" t="s">
        <v>223</v>
      </c>
      <c r="X269" s="3" t="s">
        <v>780</v>
      </c>
      <c r="Y269" s="3" t="s">
        <v>1937</v>
      </c>
      <c r="Z269" s="3" t="s">
        <v>1956</v>
      </c>
      <c r="AA269" s="3" t="s">
        <v>79</v>
      </c>
      <c r="AB269" s="3" t="s">
        <v>543</v>
      </c>
      <c r="AC269" s="3" t="s">
        <v>2190</v>
      </c>
      <c r="AD269" s="14">
        <v>45474</v>
      </c>
      <c r="AE269" s="14">
        <v>45839</v>
      </c>
      <c r="AF269" s="3"/>
    </row>
    <row r="270" spans="1:32" ht="79.150000000000006" hidden="1">
      <c r="A270" s="3" t="s">
        <v>1593</v>
      </c>
      <c r="B270" s="3" t="s">
        <v>1594</v>
      </c>
      <c r="C270" s="3" t="s">
        <v>2191</v>
      </c>
      <c r="D270" s="3" t="s">
        <v>59</v>
      </c>
      <c r="E270" s="3" t="s">
        <v>36</v>
      </c>
      <c r="F270" s="3" t="s">
        <v>247</v>
      </c>
      <c r="G270" s="3" t="s">
        <v>37</v>
      </c>
      <c r="H270" s="3" t="s">
        <v>38</v>
      </c>
      <c r="I270" s="3" t="s">
        <v>1596</v>
      </c>
      <c r="J270" s="3" t="s">
        <v>223</v>
      </c>
      <c r="K270" s="3" t="s">
        <v>41</v>
      </c>
      <c r="L270" s="3" t="s">
        <v>1597</v>
      </c>
      <c r="M270" s="3" t="s">
        <v>987</v>
      </c>
      <c r="N270" s="3" t="s">
        <v>44</v>
      </c>
      <c r="O270" s="3" t="s">
        <v>270</v>
      </c>
      <c r="P270" s="3" t="s">
        <v>2192</v>
      </c>
      <c r="Q270" s="3" t="s">
        <v>2193</v>
      </c>
      <c r="R270" s="3" t="s">
        <v>36</v>
      </c>
      <c r="S270" s="3" t="s">
        <v>247</v>
      </c>
      <c r="T270" s="3" t="s">
        <v>37</v>
      </c>
      <c r="U270" s="3" t="s">
        <v>38</v>
      </c>
      <c r="V270" s="3" t="s">
        <v>2194</v>
      </c>
      <c r="W270" s="3" t="s">
        <v>223</v>
      </c>
      <c r="X270" s="3" t="s">
        <v>356</v>
      </c>
      <c r="Y270" s="3" t="s">
        <v>1006</v>
      </c>
      <c r="Z270" s="3" t="s">
        <v>663</v>
      </c>
      <c r="AA270" s="3" t="s">
        <v>63</v>
      </c>
      <c r="AB270" s="3" t="s">
        <v>251</v>
      </c>
      <c r="AC270" s="3" t="s">
        <v>2195</v>
      </c>
      <c r="AD270" s="14">
        <v>45475</v>
      </c>
      <c r="AE270" s="14"/>
      <c r="AF270" s="3"/>
    </row>
    <row r="271" spans="1:32" ht="105.6" hidden="1">
      <c r="A271" s="3" t="s">
        <v>2196</v>
      </c>
      <c r="B271" s="3" t="s">
        <v>2197</v>
      </c>
      <c r="C271" s="3" t="s">
        <v>2198</v>
      </c>
      <c r="D271" s="3" t="s">
        <v>59</v>
      </c>
      <c r="E271" s="3" t="s">
        <v>36</v>
      </c>
      <c r="F271" s="3" t="s">
        <v>247</v>
      </c>
      <c r="G271" s="3" t="s">
        <v>82</v>
      </c>
      <c r="H271" s="3" t="s">
        <v>78</v>
      </c>
      <c r="I271" s="3" t="s">
        <v>419</v>
      </c>
      <c r="J271" s="3" t="s">
        <v>223</v>
      </c>
      <c r="K271" s="3" t="s">
        <v>41</v>
      </c>
      <c r="L271" s="3" t="s">
        <v>420</v>
      </c>
      <c r="M271" s="3" t="s">
        <v>2199</v>
      </c>
      <c r="N271" s="3" t="s">
        <v>123</v>
      </c>
      <c r="O271" s="3" t="s">
        <v>240</v>
      </c>
      <c r="P271" s="3" t="s">
        <v>2200</v>
      </c>
      <c r="Q271" s="3" t="s">
        <v>2201</v>
      </c>
      <c r="R271" s="3" t="s">
        <v>36</v>
      </c>
      <c r="S271" s="3" t="s">
        <v>247</v>
      </c>
      <c r="T271" s="3" t="s">
        <v>82</v>
      </c>
      <c r="U271" s="3" t="s">
        <v>49</v>
      </c>
      <c r="V271" s="3" t="s">
        <v>2202</v>
      </c>
      <c r="W271" s="3" t="s">
        <v>223</v>
      </c>
      <c r="X271" s="3" t="s">
        <v>41</v>
      </c>
      <c r="Y271" s="3" t="s">
        <v>2203</v>
      </c>
      <c r="Z271" s="3" t="s">
        <v>307</v>
      </c>
      <c r="AA271" s="3" t="s">
        <v>53</v>
      </c>
      <c r="AB271" s="3" t="s">
        <v>308</v>
      </c>
      <c r="AC271" s="3" t="s">
        <v>2204</v>
      </c>
      <c r="AD271" s="14">
        <v>45461</v>
      </c>
      <c r="AE271" s="14">
        <v>45825</v>
      </c>
      <c r="AF271" s="3"/>
    </row>
    <row r="272" spans="1:32" ht="396" hidden="1">
      <c r="A272" s="3" t="s">
        <v>2205</v>
      </c>
      <c r="B272" s="3" t="s">
        <v>2206</v>
      </c>
      <c r="C272" s="3" t="s">
        <v>2207</v>
      </c>
      <c r="D272" s="3" t="s">
        <v>59</v>
      </c>
      <c r="E272" s="3"/>
      <c r="F272" s="3" t="s">
        <v>274</v>
      </c>
      <c r="G272" s="3" t="s">
        <v>82</v>
      </c>
      <c r="H272" s="3" t="s">
        <v>38</v>
      </c>
      <c r="I272" s="3"/>
      <c r="J272" s="3" t="s">
        <v>223</v>
      </c>
      <c r="K272" s="3"/>
      <c r="L272" s="3"/>
      <c r="M272" s="3"/>
      <c r="N272" s="3" t="s">
        <v>79</v>
      </c>
      <c r="O272" s="3"/>
      <c r="P272" s="3" t="s">
        <v>2208</v>
      </c>
      <c r="Q272" s="3" t="s">
        <v>2209</v>
      </c>
      <c r="R272" s="3" t="s">
        <v>467</v>
      </c>
      <c r="S272" s="3" t="s">
        <v>221</v>
      </c>
      <c r="T272" s="3" t="s">
        <v>82</v>
      </c>
      <c r="U272" s="3" t="s">
        <v>49</v>
      </c>
      <c r="V272" s="3" t="s">
        <v>2210</v>
      </c>
      <c r="W272" s="3" t="s">
        <v>223</v>
      </c>
      <c r="X272" s="3" t="s">
        <v>41</v>
      </c>
      <c r="Y272" s="3" t="s">
        <v>2211</v>
      </c>
      <c r="Z272" s="3" t="s">
        <v>2212</v>
      </c>
      <c r="AA272" s="3" t="s">
        <v>79</v>
      </c>
      <c r="AB272" s="3" t="s">
        <v>100</v>
      </c>
      <c r="AC272" s="3" t="s">
        <v>2213</v>
      </c>
      <c r="AD272" s="14">
        <v>45462</v>
      </c>
      <c r="AE272" s="14">
        <v>45615</v>
      </c>
      <c r="AF272" s="3"/>
    </row>
    <row r="273" spans="1:32" ht="52.9" hidden="1">
      <c r="A273" s="3" t="s">
        <v>2214</v>
      </c>
      <c r="B273" s="3" t="s">
        <v>2215</v>
      </c>
      <c r="C273" s="3"/>
      <c r="D273" s="3" t="s">
        <v>35</v>
      </c>
      <c r="E273" s="3" t="s">
        <v>36</v>
      </c>
      <c r="F273" s="3"/>
      <c r="G273" s="3" t="s">
        <v>37</v>
      </c>
      <c r="H273" s="3" t="s">
        <v>38</v>
      </c>
      <c r="I273" s="3" t="s">
        <v>2216</v>
      </c>
      <c r="J273" s="3" t="s">
        <v>40</v>
      </c>
      <c r="K273" s="3" t="s">
        <v>41</v>
      </c>
      <c r="L273" s="3" t="s">
        <v>2217</v>
      </c>
      <c r="M273" s="3" t="s">
        <v>2218</v>
      </c>
      <c r="N273" s="3" t="s">
        <v>53</v>
      </c>
      <c r="O273" s="3" t="s">
        <v>2219</v>
      </c>
      <c r="P273" s="3" t="s">
        <v>2220</v>
      </c>
      <c r="Q273" s="3" t="s">
        <v>2221</v>
      </c>
      <c r="R273" s="3" t="s">
        <v>36</v>
      </c>
      <c r="S273" s="3" t="s">
        <v>48</v>
      </c>
      <c r="T273" s="3" t="s">
        <v>37</v>
      </c>
      <c r="U273" s="3" t="s">
        <v>49</v>
      </c>
      <c r="V273" s="3" t="s">
        <v>2222</v>
      </c>
      <c r="W273" s="3" t="s">
        <v>40</v>
      </c>
      <c r="X273" s="3" t="s">
        <v>41</v>
      </c>
      <c r="Y273" s="3" t="s">
        <v>2223</v>
      </c>
      <c r="Z273" s="3" t="s">
        <v>2224</v>
      </c>
      <c r="AA273" s="3" t="s">
        <v>285</v>
      </c>
      <c r="AB273" s="3" t="s">
        <v>721</v>
      </c>
      <c r="AC273" s="3" t="s">
        <v>2225</v>
      </c>
      <c r="AD273" s="14">
        <v>45433</v>
      </c>
      <c r="AE273" s="14"/>
      <c r="AF273" s="3"/>
    </row>
    <row r="274" spans="1:32" ht="250.9" hidden="1">
      <c r="A274" s="3" t="s">
        <v>2226</v>
      </c>
      <c r="B274" s="3" t="s">
        <v>2227</v>
      </c>
      <c r="C274" s="3" t="s">
        <v>2113</v>
      </c>
      <c r="D274" s="3" t="s">
        <v>59</v>
      </c>
      <c r="E274" s="3" t="s">
        <v>36</v>
      </c>
      <c r="F274" s="3" t="s">
        <v>48</v>
      </c>
      <c r="G274" s="3" t="s">
        <v>37</v>
      </c>
      <c r="H274" s="3" t="s">
        <v>49</v>
      </c>
      <c r="I274" s="3" t="s">
        <v>2106</v>
      </c>
      <c r="J274" s="3" t="s">
        <v>40</v>
      </c>
      <c r="K274" s="3" t="s">
        <v>41</v>
      </c>
      <c r="L274" s="3" t="s">
        <v>2051</v>
      </c>
      <c r="M274" s="3" t="s">
        <v>2228</v>
      </c>
      <c r="N274" s="3" t="s">
        <v>79</v>
      </c>
      <c r="O274" s="3" t="s">
        <v>344</v>
      </c>
      <c r="P274" s="3" t="s">
        <v>2114</v>
      </c>
      <c r="Q274" s="3" t="s">
        <v>2115</v>
      </c>
      <c r="R274" s="3" t="s">
        <v>36</v>
      </c>
      <c r="S274" s="3" t="s">
        <v>48</v>
      </c>
      <c r="T274" s="3" t="s">
        <v>37</v>
      </c>
      <c r="U274" s="3" t="s">
        <v>73</v>
      </c>
      <c r="V274" s="3" t="s">
        <v>2116</v>
      </c>
      <c r="W274" s="3" t="s">
        <v>40</v>
      </c>
      <c r="X274" s="3" t="s">
        <v>41</v>
      </c>
      <c r="Y274" s="3" t="s">
        <v>2107</v>
      </c>
      <c r="Z274" s="3" t="s">
        <v>2117</v>
      </c>
      <c r="AA274" s="3" t="s">
        <v>63</v>
      </c>
      <c r="AB274" s="3" t="s">
        <v>2118</v>
      </c>
      <c r="AC274" s="3" t="s">
        <v>2229</v>
      </c>
      <c r="AD274" s="14">
        <v>45364</v>
      </c>
      <c r="AE274" s="14"/>
      <c r="AF274" s="3"/>
    </row>
    <row r="275" spans="1:32" ht="145.15" hidden="1">
      <c r="A275" s="3" t="s">
        <v>2230</v>
      </c>
      <c r="B275" s="3" t="s">
        <v>2231</v>
      </c>
      <c r="C275" s="3" t="s">
        <v>2232</v>
      </c>
      <c r="D275" s="3" t="s">
        <v>59</v>
      </c>
      <c r="E275" s="3" t="s">
        <v>36</v>
      </c>
      <c r="F275" s="3" t="s">
        <v>254</v>
      </c>
      <c r="G275" s="3" t="s">
        <v>37</v>
      </c>
      <c r="H275" s="3" t="s">
        <v>78</v>
      </c>
      <c r="I275" s="3" t="s">
        <v>2233</v>
      </c>
      <c r="J275" s="3" t="s">
        <v>223</v>
      </c>
      <c r="K275" s="3" t="s">
        <v>780</v>
      </c>
      <c r="L275" s="3" t="s">
        <v>2234</v>
      </c>
      <c r="M275" s="3" t="s">
        <v>1655</v>
      </c>
      <c r="N275" s="3" t="s">
        <v>79</v>
      </c>
      <c r="O275" s="3" t="s">
        <v>811</v>
      </c>
      <c r="P275" s="3" t="s">
        <v>2235</v>
      </c>
      <c r="Q275" s="3" t="s">
        <v>2236</v>
      </c>
      <c r="R275" s="3" t="s">
        <v>36</v>
      </c>
      <c r="S275" s="3" t="s">
        <v>247</v>
      </c>
      <c r="T275" s="3" t="s">
        <v>37</v>
      </c>
      <c r="U275" s="3" t="s">
        <v>38</v>
      </c>
      <c r="V275" s="3" t="s">
        <v>2237</v>
      </c>
      <c r="W275" s="3" t="s">
        <v>223</v>
      </c>
      <c r="X275" s="3" t="s">
        <v>780</v>
      </c>
      <c r="Y275" s="3" t="s">
        <v>2238</v>
      </c>
      <c r="Z275" s="3" t="s">
        <v>1024</v>
      </c>
      <c r="AA275" s="3" t="s">
        <v>53</v>
      </c>
      <c r="AB275" s="3" t="s">
        <v>270</v>
      </c>
      <c r="AC275" s="3" t="s">
        <v>2239</v>
      </c>
      <c r="AD275" s="14">
        <v>45154</v>
      </c>
      <c r="AE275" s="14"/>
      <c r="AF275" s="3"/>
    </row>
    <row r="276" spans="1:32" ht="52.9" hidden="1">
      <c r="A276" s="3" t="s">
        <v>2240</v>
      </c>
      <c r="B276" s="3" t="s">
        <v>2241</v>
      </c>
      <c r="C276" s="3"/>
      <c r="D276" s="3" t="s">
        <v>59</v>
      </c>
      <c r="E276" s="3"/>
      <c r="F276" s="3"/>
      <c r="G276" s="3" t="s">
        <v>37</v>
      </c>
      <c r="H276" s="3" t="s">
        <v>38</v>
      </c>
      <c r="I276" s="3"/>
      <c r="J276" s="3" t="s">
        <v>40</v>
      </c>
      <c r="K276" s="3"/>
      <c r="L276" s="3"/>
      <c r="M276" s="3"/>
      <c r="N276" s="3" t="s">
        <v>79</v>
      </c>
      <c r="O276" s="3"/>
      <c r="P276" s="3" t="s">
        <v>57</v>
      </c>
      <c r="Q276" s="3" t="s">
        <v>58</v>
      </c>
      <c r="R276" s="3" t="s">
        <v>36</v>
      </c>
      <c r="S276" s="3" t="s">
        <v>48</v>
      </c>
      <c r="T276" s="3" t="s">
        <v>37</v>
      </c>
      <c r="U276" s="3" t="s">
        <v>49</v>
      </c>
      <c r="V276" s="3" t="s">
        <v>60</v>
      </c>
      <c r="W276" s="3" t="s">
        <v>40</v>
      </c>
      <c r="X276" s="3" t="s">
        <v>41</v>
      </c>
      <c r="Y276" s="3" t="s">
        <v>61</v>
      </c>
      <c r="Z276" s="3" t="s">
        <v>62</v>
      </c>
      <c r="AA276" s="3" t="s">
        <v>63</v>
      </c>
      <c r="AB276" s="3" t="s">
        <v>64</v>
      </c>
      <c r="AC276" s="3" t="s">
        <v>2242</v>
      </c>
      <c r="AD276" s="14">
        <v>45461</v>
      </c>
      <c r="AE276" s="14"/>
      <c r="AF276" s="3"/>
    </row>
    <row r="277" spans="1:32" ht="52.9" hidden="1">
      <c r="A277" s="3" t="s">
        <v>2150</v>
      </c>
      <c r="B277" s="3" t="s">
        <v>2151</v>
      </c>
      <c r="C277" s="3"/>
      <c r="D277" s="3" t="s">
        <v>59</v>
      </c>
      <c r="E277" s="3" t="s">
        <v>36</v>
      </c>
      <c r="F277" s="3" t="s">
        <v>221</v>
      </c>
      <c r="G277" s="3" t="s">
        <v>37</v>
      </c>
      <c r="H277" s="3" t="s">
        <v>49</v>
      </c>
      <c r="I277" s="3" t="s">
        <v>2153</v>
      </c>
      <c r="J277" s="3" t="s">
        <v>223</v>
      </c>
      <c r="K277" s="3" t="s">
        <v>41</v>
      </c>
      <c r="L277" s="3" t="s">
        <v>2154</v>
      </c>
      <c r="M277" s="3" t="s">
        <v>1735</v>
      </c>
      <c r="N277" s="3" t="s">
        <v>63</v>
      </c>
      <c r="O277" s="3" t="s">
        <v>301</v>
      </c>
      <c r="P277" s="3" t="s">
        <v>2178</v>
      </c>
      <c r="Q277" s="3" t="s">
        <v>2179</v>
      </c>
      <c r="R277" s="3"/>
      <c r="S277" s="3" t="s">
        <v>221</v>
      </c>
      <c r="T277" s="3" t="s">
        <v>82</v>
      </c>
      <c r="U277" s="3" t="s">
        <v>73</v>
      </c>
      <c r="V277" s="3"/>
      <c r="W277" s="3" t="s">
        <v>223</v>
      </c>
      <c r="X277" s="3"/>
      <c r="Y277" s="3"/>
      <c r="Z277" s="3"/>
      <c r="AA277" s="3" t="s">
        <v>281</v>
      </c>
      <c r="AB277" s="3"/>
      <c r="AC277" s="3" t="s">
        <v>2243</v>
      </c>
      <c r="AD277" s="14">
        <v>45413</v>
      </c>
      <c r="AE277" s="14"/>
      <c r="AF277" s="3"/>
    </row>
    <row r="278" spans="1:32" ht="184.9" hidden="1">
      <c r="A278" s="3" t="s">
        <v>2244</v>
      </c>
      <c r="B278" s="3" t="s">
        <v>2245</v>
      </c>
      <c r="C278" s="3" t="s">
        <v>2246</v>
      </c>
      <c r="D278" s="3" t="s">
        <v>59</v>
      </c>
      <c r="E278" s="3" t="s">
        <v>36</v>
      </c>
      <c r="F278" s="3" t="s">
        <v>221</v>
      </c>
      <c r="G278" s="3" t="s">
        <v>37</v>
      </c>
      <c r="H278" s="3" t="s">
        <v>49</v>
      </c>
      <c r="I278" s="3" t="s">
        <v>2247</v>
      </c>
      <c r="J278" s="3" t="s">
        <v>223</v>
      </c>
      <c r="K278" s="3" t="s">
        <v>41</v>
      </c>
      <c r="L278" s="3" t="s">
        <v>2248</v>
      </c>
      <c r="M278" s="3" t="s">
        <v>2249</v>
      </c>
      <c r="N278" s="3" t="s">
        <v>79</v>
      </c>
      <c r="O278" s="3" t="s">
        <v>251</v>
      </c>
      <c r="P278" s="3" t="s">
        <v>2250</v>
      </c>
      <c r="Q278" s="3" t="s">
        <v>2251</v>
      </c>
      <c r="R278" s="3"/>
      <c r="S278" s="3" t="s">
        <v>221</v>
      </c>
      <c r="T278" s="3" t="s">
        <v>37</v>
      </c>
      <c r="U278" s="3" t="s">
        <v>78</v>
      </c>
      <c r="V278" s="3"/>
      <c r="W278" s="3" t="s">
        <v>223</v>
      </c>
      <c r="X278" s="3"/>
      <c r="Y278" s="3"/>
      <c r="Z278" s="3"/>
      <c r="AA278" s="3" t="s">
        <v>53</v>
      </c>
      <c r="AB278" s="3"/>
      <c r="AC278" s="3" t="s">
        <v>2252</v>
      </c>
      <c r="AD278" s="14">
        <v>45468</v>
      </c>
      <c r="AE278" s="14">
        <v>45596</v>
      </c>
      <c r="AF278" s="3" t="s">
        <v>56</v>
      </c>
    </row>
    <row r="279" spans="1:32" ht="39.6" hidden="1">
      <c r="A279" s="3" t="s">
        <v>2016</v>
      </c>
      <c r="B279" s="3" t="s">
        <v>2017</v>
      </c>
      <c r="C279" s="3"/>
      <c r="D279" s="3" t="s">
        <v>35</v>
      </c>
      <c r="E279" s="3" t="s">
        <v>36</v>
      </c>
      <c r="F279" s="3" t="s">
        <v>48</v>
      </c>
      <c r="G279" s="3" t="s">
        <v>37</v>
      </c>
      <c r="H279" s="3" t="s">
        <v>49</v>
      </c>
      <c r="I279" s="3" t="s">
        <v>2019</v>
      </c>
      <c r="J279" s="3" t="s">
        <v>40</v>
      </c>
      <c r="K279" s="3" t="s">
        <v>41</v>
      </c>
      <c r="L279" s="3" t="s">
        <v>2020</v>
      </c>
      <c r="M279" s="3" t="s">
        <v>2021</v>
      </c>
      <c r="N279" s="3" t="s">
        <v>53</v>
      </c>
      <c r="O279" s="3" t="s">
        <v>1530</v>
      </c>
      <c r="P279" s="3" t="s">
        <v>2253</v>
      </c>
      <c r="Q279" s="3" t="s">
        <v>2254</v>
      </c>
      <c r="R279" s="3" t="s">
        <v>36</v>
      </c>
      <c r="S279" s="3"/>
      <c r="T279" s="3" t="s">
        <v>37</v>
      </c>
      <c r="U279" s="3" t="s">
        <v>49</v>
      </c>
      <c r="V279" s="3" t="s">
        <v>2255</v>
      </c>
      <c r="W279" s="3" t="s">
        <v>40</v>
      </c>
      <c r="X279" s="3" t="s">
        <v>41</v>
      </c>
      <c r="Y279" s="3" t="s">
        <v>2256</v>
      </c>
      <c r="Z279" s="3" t="s">
        <v>1776</v>
      </c>
      <c r="AA279" s="3" t="s">
        <v>79</v>
      </c>
      <c r="AB279" s="3" t="s">
        <v>506</v>
      </c>
      <c r="AC279" s="3" t="s">
        <v>2257</v>
      </c>
      <c r="AD279" s="14">
        <v>45429</v>
      </c>
      <c r="AE279" s="14"/>
      <c r="AF279" s="3"/>
    </row>
    <row r="280" spans="1:32" ht="39.6" hidden="1">
      <c r="A280" s="3" t="s">
        <v>2258</v>
      </c>
      <c r="B280" s="3" t="s">
        <v>2259</v>
      </c>
      <c r="C280" s="3" t="s">
        <v>2260</v>
      </c>
      <c r="D280" s="3" t="s">
        <v>35</v>
      </c>
      <c r="E280" s="3" t="s">
        <v>36</v>
      </c>
      <c r="F280" s="3"/>
      <c r="G280" s="3" t="s">
        <v>37</v>
      </c>
      <c r="H280" s="3" t="s">
        <v>49</v>
      </c>
      <c r="I280" s="3" t="s">
        <v>2039</v>
      </c>
      <c r="J280" s="3" t="s">
        <v>40</v>
      </c>
      <c r="K280" s="3" t="s">
        <v>41</v>
      </c>
      <c r="L280" s="3" t="s">
        <v>2040</v>
      </c>
      <c r="M280" s="3" t="s">
        <v>2261</v>
      </c>
      <c r="N280" s="3" t="s">
        <v>44</v>
      </c>
      <c r="O280" s="3" t="s">
        <v>2262</v>
      </c>
      <c r="P280" s="3" t="s">
        <v>2263</v>
      </c>
      <c r="Q280" s="3" t="s">
        <v>2264</v>
      </c>
      <c r="R280" s="3" t="s">
        <v>36</v>
      </c>
      <c r="S280" s="3"/>
      <c r="T280" s="3" t="s">
        <v>37</v>
      </c>
      <c r="U280" s="3" t="s">
        <v>49</v>
      </c>
      <c r="V280" s="3" t="s">
        <v>2265</v>
      </c>
      <c r="W280" s="3" t="s">
        <v>40</v>
      </c>
      <c r="X280" s="3" t="s">
        <v>41</v>
      </c>
      <c r="Y280" s="3" t="s">
        <v>2266</v>
      </c>
      <c r="Z280" s="3" t="s">
        <v>1655</v>
      </c>
      <c r="AA280" s="3" t="s">
        <v>63</v>
      </c>
      <c r="AB280" s="3" t="s">
        <v>811</v>
      </c>
      <c r="AC280" s="3" t="s">
        <v>2267</v>
      </c>
      <c r="AD280" s="14">
        <v>45476</v>
      </c>
      <c r="AE280" s="14"/>
      <c r="AF280" s="3"/>
    </row>
    <row r="281" spans="1:32" ht="52.9" hidden="1">
      <c r="A281" s="3" t="s">
        <v>2268</v>
      </c>
      <c r="B281" s="3" t="s">
        <v>2269</v>
      </c>
      <c r="C281" s="3" t="s">
        <v>2270</v>
      </c>
      <c r="D281" s="3" t="s">
        <v>59</v>
      </c>
      <c r="E281" s="3"/>
      <c r="F281" s="3"/>
      <c r="G281" s="3" t="s">
        <v>37</v>
      </c>
      <c r="H281" s="3" t="s">
        <v>38</v>
      </c>
      <c r="I281" s="3"/>
      <c r="J281" s="3" t="s">
        <v>40</v>
      </c>
      <c r="K281" s="3"/>
      <c r="L281" s="3"/>
      <c r="M281" s="3"/>
      <c r="N281" s="3" t="s">
        <v>44</v>
      </c>
      <c r="O281" s="3"/>
      <c r="P281" s="3" t="s">
        <v>2037</v>
      </c>
      <c r="Q281" s="3" t="s">
        <v>2038</v>
      </c>
      <c r="R281" s="3" t="s">
        <v>36</v>
      </c>
      <c r="S281" s="3" t="s">
        <v>48</v>
      </c>
      <c r="T281" s="3" t="s">
        <v>37</v>
      </c>
      <c r="U281" s="3" t="s">
        <v>49</v>
      </c>
      <c r="V281" s="3" t="s">
        <v>2039</v>
      </c>
      <c r="W281" s="3" t="s">
        <v>40</v>
      </c>
      <c r="X281" s="3" t="s">
        <v>41</v>
      </c>
      <c r="Y281" s="3" t="s">
        <v>2040</v>
      </c>
      <c r="Z281" s="3" t="s">
        <v>736</v>
      </c>
      <c r="AA281" s="3" t="s">
        <v>63</v>
      </c>
      <c r="AB281" s="3" t="s">
        <v>658</v>
      </c>
      <c r="AC281" s="3" t="s">
        <v>2271</v>
      </c>
      <c r="AD281" s="14">
        <v>45435</v>
      </c>
      <c r="AE281" s="14">
        <v>45778</v>
      </c>
      <c r="AF281" s="3"/>
    </row>
    <row r="282" spans="1:32" ht="52.9" hidden="1">
      <c r="A282" s="3" t="s">
        <v>2126</v>
      </c>
      <c r="B282" s="3" t="s">
        <v>2127</v>
      </c>
      <c r="C282" s="3" t="s">
        <v>2272</v>
      </c>
      <c r="D282" s="3" t="s">
        <v>59</v>
      </c>
      <c r="E282" s="3"/>
      <c r="F282" s="3" t="s">
        <v>48</v>
      </c>
      <c r="G282" s="3" t="s">
        <v>82</v>
      </c>
      <c r="H282" s="3" t="s">
        <v>38</v>
      </c>
      <c r="I282" s="3"/>
      <c r="J282" s="3" t="s">
        <v>40</v>
      </c>
      <c r="K282" s="3"/>
      <c r="L282" s="3"/>
      <c r="M282" s="3"/>
      <c r="N282" s="3" t="s">
        <v>79</v>
      </c>
      <c r="O282" s="3"/>
      <c r="P282" s="3" t="s">
        <v>2273</v>
      </c>
      <c r="Q282" s="3" t="s">
        <v>2274</v>
      </c>
      <c r="R282" s="3" t="s">
        <v>36</v>
      </c>
      <c r="S282" s="3" t="s">
        <v>48</v>
      </c>
      <c r="T282" s="3" t="s">
        <v>82</v>
      </c>
      <c r="U282" s="3" t="s">
        <v>73</v>
      </c>
      <c r="V282" s="3" t="s">
        <v>2275</v>
      </c>
      <c r="W282" s="3" t="s">
        <v>40</v>
      </c>
      <c r="X282" s="3" t="s">
        <v>41</v>
      </c>
      <c r="Y282" s="3" t="s">
        <v>106</v>
      </c>
      <c r="Z282" s="3" t="s">
        <v>130</v>
      </c>
      <c r="AA282" s="3" t="s">
        <v>69</v>
      </c>
      <c r="AB282" s="3" t="s">
        <v>54</v>
      </c>
      <c r="AC282" s="3" t="s">
        <v>2276</v>
      </c>
      <c r="AD282" s="14">
        <v>45478</v>
      </c>
      <c r="AE282" s="14">
        <v>45565</v>
      </c>
      <c r="AF282" s="3"/>
    </row>
    <row r="283" spans="1:32" ht="39.6" hidden="1">
      <c r="A283" s="3" t="s">
        <v>2277</v>
      </c>
      <c r="B283" s="3" t="s">
        <v>2278</v>
      </c>
      <c r="C283" s="3"/>
      <c r="D283" s="3" t="s">
        <v>59</v>
      </c>
      <c r="E283" s="3" t="s">
        <v>36</v>
      </c>
      <c r="F283" s="3" t="s">
        <v>274</v>
      </c>
      <c r="G283" s="3" t="s">
        <v>37</v>
      </c>
      <c r="H283" s="3" t="s">
        <v>49</v>
      </c>
      <c r="I283" s="3" t="s">
        <v>2279</v>
      </c>
      <c r="J283" s="3" t="s">
        <v>223</v>
      </c>
      <c r="K283" s="3" t="s">
        <v>41</v>
      </c>
      <c r="L283" s="3" t="s">
        <v>2280</v>
      </c>
      <c r="M283" s="3" t="s">
        <v>2281</v>
      </c>
      <c r="N283" s="3" t="s">
        <v>44</v>
      </c>
      <c r="O283" s="3" t="s">
        <v>270</v>
      </c>
      <c r="P283" s="3" t="s">
        <v>2282</v>
      </c>
      <c r="Q283" s="3" t="s">
        <v>2283</v>
      </c>
      <c r="R283" s="3" t="s">
        <v>36</v>
      </c>
      <c r="S283" s="3" t="s">
        <v>247</v>
      </c>
      <c r="T283" s="3" t="s">
        <v>37</v>
      </c>
      <c r="U283" s="3" t="s">
        <v>49</v>
      </c>
      <c r="V283" s="3" t="s">
        <v>2284</v>
      </c>
      <c r="W283" s="3" t="s">
        <v>223</v>
      </c>
      <c r="X283" s="3" t="s">
        <v>41</v>
      </c>
      <c r="Y283" s="3" t="s">
        <v>2285</v>
      </c>
      <c r="Z283" s="3" t="s">
        <v>2286</v>
      </c>
      <c r="AA283" s="3" t="s">
        <v>53</v>
      </c>
      <c r="AB283" s="3" t="s">
        <v>338</v>
      </c>
      <c r="AC283" s="3" t="s">
        <v>2287</v>
      </c>
      <c r="AD283" s="14">
        <v>45078</v>
      </c>
      <c r="AE283" s="14"/>
      <c r="AF283" s="3"/>
    </row>
    <row r="284" spans="1:32" ht="39.6" hidden="1">
      <c r="A284" s="3" t="s">
        <v>88</v>
      </c>
      <c r="B284" s="3" t="s">
        <v>89</v>
      </c>
      <c r="C284" s="3"/>
      <c r="D284" s="3" t="s">
        <v>59</v>
      </c>
      <c r="E284" s="3" t="s">
        <v>36</v>
      </c>
      <c r="F284" s="3" t="s">
        <v>48</v>
      </c>
      <c r="G284" s="3" t="s">
        <v>82</v>
      </c>
      <c r="H284" s="3" t="s">
        <v>38</v>
      </c>
      <c r="I284" s="3" t="s">
        <v>91</v>
      </c>
      <c r="J284" s="3" t="s">
        <v>40</v>
      </c>
      <c r="K284" s="3" t="s">
        <v>41</v>
      </c>
      <c r="L284" s="3" t="s">
        <v>92</v>
      </c>
      <c r="M284" s="3" t="s">
        <v>93</v>
      </c>
      <c r="N284" s="3" t="s">
        <v>79</v>
      </c>
      <c r="O284" s="3" t="s">
        <v>94</v>
      </c>
      <c r="P284" s="3" t="s">
        <v>2288</v>
      </c>
      <c r="Q284" s="3" t="s">
        <v>2289</v>
      </c>
      <c r="R284" s="3" t="s">
        <v>213</v>
      </c>
      <c r="S284" s="3" t="s">
        <v>48</v>
      </c>
      <c r="T284" s="3" t="s">
        <v>37</v>
      </c>
      <c r="U284" s="3" t="s">
        <v>49</v>
      </c>
      <c r="V284" s="3" t="s">
        <v>2275</v>
      </c>
      <c r="W284" s="3" t="s">
        <v>40</v>
      </c>
      <c r="X284" s="3" t="s">
        <v>41</v>
      </c>
      <c r="Y284" s="3" t="s">
        <v>106</v>
      </c>
      <c r="Z284" s="3" t="s">
        <v>130</v>
      </c>
      <c r="AA284" s="3" t="s">
        <v>281</v>
      </c>
      <c r="AB284" s="3" t="s">
        <v>54</v>
      </c>
      <c r="AC284" s="3" t="s">
        <v>2290</v>
      </c>
      <c r="AD284" s="14">
        <v>45478</v>
      </c>
      <c r="AE284" s="14">
        <v>45565</v>
      </c>
      <c r="AF284" s="3"/>
    </row>
    <row r="285" spans="1:32" ht="92.45" hidden="1">
      <c r="A285" s="3" t="s">
        <v>2291</v>
      </c>
      <c r="B285" s="3" t="s">
        <v>2292</v>
      </c>
      <c r="C285" s="3" t="s">
        <v>2293</v>
      </c>
      <c r="D285" s="3" t="s">
        <v>348</v>
      </c>
      <c r="E285" s="3" t="s">
        <v>36</v>
      </c>
      <c r="F285" s="3" t="s">
        <v>247</v>
      </c>
      <c r="G285" s="3" t="s">
        <v>37</v>
      </c>
      <c r="H285" s="3" t="s">
        <v>49</v>
      </c>
      <c r="I285" s="3" t="s">
        <v>1644</v>
      </c>
      <c r="J285" s="3" t="s">
        <v>223</v>
      </c>
      <c r="K285" s="3" t="s">
        <v>41</v>
      </c>
      <c r="L285" s="3" t="s">
        <v>1641</v>
      </c>
      <c r="M285" s="3" t="s">
        <v>2294</v>
      </c>
      <c r="N285" s="3" t="s">
        <v>53</v>
      </c>
      <c r="O285" s="3" t="s">
        <v>308</v>
      </c>
      <c r="P285" s="3" t="s">
        <v>2295</v>
      </c>
      <c r="Q285" s="3" t="s">
        <v>2296</v>
      </c>
      <c r="R285" s="3"/>
      <c r="S285" s="3" t="s">
        <v>247</v>
      </c>
      <c r="T285" s="3" t="s">
        <v>37</v>
      </c>
      <c r="U285" s="3" t="s">
        <v>49</v>
      </c>
      <c r="V285" s="3"/>
      <c r="W285" s="3" t="s">
        <v>223</v>
      </c>
      <c r="X285" s="3"/>
      <c r="Y285" s="3"/>
      <c r="Z285" s="3"/>
      <c r="AA285" s="3" t="s">
        <v>285</v>
      </c>
      <c r="AB285" s="3"/>
      <c r="AC285" s="3" t="s">
        <v>2297</v>
      </c>
      <c r="AD285" s="14">
        <v>45482</v>
      </c>
      <c r="AE285" s="14">
        <v>45838</v>
      </c>
      <c r="AF285" s="3"/>
    </row>
    <row r="286" spans="1:32" ht="52.9" hidden="1">
      <c r="A286" s="3" t="s">
        <v>915</v>
      </c>
      <c r="B286" s="3" t="s">
        <v>916</v>
      </c>
      <c r="C286" s="3" t="s">
        <v>2298</v>
      </c>
      <c r="D286" s="3" t="s">
        <v>35</v>
      </c>
      <c r="E286" s="3" t="s">
        <v>36</v>
      </c>
      <c r="F286" s="3" t="s">
        <v>48</v>
      </c>
      <c r="G286" s="3" t="s">
        <v>37</v>
      </c>
      <c r="H286" s="3" t="s">
        <v>49</v>
      </c>
      <c r="I286" s="3" t="s">
        <v>154</v>
      </c>
      <c r="J286" s="3" t="s">
        <v>40</v>
      </c>
      <c r="K286" s="3" t="s">
        <v>41</v>
      </c>
      <c r="L286" s="3" t="s">
        <v>918</v>
      </c>
      <c r="M286" s="3" t="s">
        <v>919</v>
      </c>
      <c r="N286" s="3" t="s">
        <v>79</v>
      </c>
      <c r="O286" s="3" t="s">
        <v>920</v>
      </c>
      <c r="P286" s="3" t="s">
        <v>2288</v>
      </c>
      <c r="Q286" s="3" t="s">
        <v>2289</v>
      </c>
      <c r="R286" s="3" t="s">
        <v>213</v>
      </c>
      <c r="S286" s="3" t="s">
        <v>48</v>
      </c>
      <c r="T286" s="3" t="s">
        <v>37</v>
      </c>
      <c r="U286" s="3" t="s">
        <v>49</v>
      </c>
      <c r="V286" s="3" t="s">
        <v>2275</v>
      </c>
      <c r="W286" s="3" t="s">
        <v>40</v>
      </c>
      <c r="X286" s="3" t="s">
        <v>41</v>
      </c>
      <c r="Y286" s="3" t="s">
        <v>106</v>
      </c>
      <c r="Z286" s="3" t="s">
        <v>130</v>
      </c>
      <c r="AA286" s="3" t="s">
        <v>281</v>
      </c>
      <c r="AB286" s="3" t="s">
        <v>54</v>
      </c>
      <c r="AC286" s="3" t="s">
        <v>2299</v>
      </c>
      <c r="AD286" s="14">
        <v>45478</v>
      </c>
      <c r="AE286" s="14">
        <v>45565</v>
      </c>
      <c r="AF286" s="3"/>
    </row>
    <row r="287" spans="1:32" ht="132" hidden="1">
      <c r="A287" s="3" t="s">
        <v>624</v>
      </c>
      <c r="B287" s="3" t="s">
        <v>625</v>
      </c>
      <c r="C287" s="3" t="s">
        <v>2300</v>
      </c>
      <c r="D287" s="3" t="s">
        <v>59</v>
      </c>
      <c r="E287" s="3" t="s">
        <v>36</v>
      </c>
      <c r="F287" s="3" t="s">
        <v>247</v>
      </c>
      <c r="G287" s="3" t="s">
        <v>82</v>
      </c>
      <c r="H287" s="3" t="s">
        <v>49</v>
      </c>
      <c r="I287" s="3" t="s">
        <v>626</v>
      </c>
      <c r="J287" s="3" t="s">
        <v>223</v>
      </c>
      <c r="K287" s="3" t="s">
        <v>356</v>
      </c>
      <c r="L287" s="3" t="s">
        <v>627</v>
      </c>
      <c r="M287" s="3" t="s">
        <v>628</v>
      </c>
      <c r="N287" s="3" t="s">
        <v>53</v>
      </c>
      <c r="O287" s="3" t="s">
        <v>278</v>
      </c>
      <c r="P287" s="3" t="s">
        <v>2301</v>
      </c>
      <c r="Q287" s="3" t="s">
        <v>2302</v>
      </c>
      <c r="R287" s="3" t="s">
        <v>36</v>
      </c>
      <c r="S287" s="3" t="s">
        <v>247</v>
      </c>
      <c r="T287" s="3" t="s">
        <v>37</v>
      </c>
      <c r="U287" s="3" t="s">
        <v>49</v>
      </c>
      <c r="V287" s="3" t="s">
        <v>2303</v>
      </c>
      <c r="W287" s="3" t="s">
        <v>223</v>
      </c>
      <c r="X287" s="3" t="s">
        <v>41</v>
      </c>
      <c r="Y287" s="3" t="s">
        <v>2304</v>
      </c>
      <c r="Z287" s="3" t="s">
        <v>2305</v>
      </c>
      <c r="AA287" s="3" t="s">
        <v>79</v>
      </c>
      <c r="AB287" s="3" t="s">
        <v>270</v>
      </c>
      <c r="AC287" s="3" t="s">
        <v>2306</v>
      </c>
      <c r="AD287" s="14">
        <v>45537</v>
      </c>
      <c r="AE287" s="14"/>
      <c r="AF287" s="3"/>
    </row>
    <row r="288" spans="1:32" ht="66" hidden="1">
      <c r="A288" s="3" t="s">
        <v>1593</v>
      </c>
      <c r="B288" s="3" t="s">
        <v>1594</v>
      </c>
      <c r="C288" s="3" t="s">
        <v>2307</v>
      </c>
      <c r="D288" s="3" t="s">
        <v>59</v>
      </c>
      <c r="E288" s="3" t="s">
        <v>36</v>
      </c>
      <c r="F288" s="3" t="s">
        <v>247</v>
      </c>
      <c r="G288" s="3" t="s">
        <v>37</v>
      </c>
      <c r="H288" s="3" t="s">
        <v>38</v>
      </c>
      <c r="I288" s="3" t="s">
        <v>1596</v>
      </c>
      <c r="J288" s="3" t="s">
        <v>223</v>
      </c>
      <c r="K288" s="3" t="s">
        <v>41</v>
      </c>
      <c r="L288" s="3" t="s">
        <v>1597</v>
      </c>
      <c r="M288" s="3" t="s">
        <v>987</v>
      </c>
      <c r="N288" s="3" t="s">
        <v>44</v>
      </c>
      <c r="O288" s="3" t="s">
        <v>270</v>
      </c>
      <c r="P288" s="3" t="s">
        <v>2308</v>
      </c>
      <c r="Q288" s="3" t="s">
        <v>2309</v>
      </c>
      <c r="R288" s="3" t="s">
        <v>36</v>
      </c>
      <c r="S288" s="3" t="s">
        <v>221</v>
      </c>
      <c r="T288" s="3" t="s">
        <v>37</v>
      </c>
      <c r="U288" s="3" t="s">
        <v>49</v>
      </c>
      <c r="V288" s="3" t="s">
        <v>661</v>
      </c>
      <c r="W288" s="3" t="s">
        <v>223</v>
      </c>
      <c r="X288" s="3" t="s">
        <v>41</v>
      </c>
      <c r="Y288" s="3" t="s">
        <v>662</v>
      </c>
      <c r="Z288" s="3" t="s">
        <v>663</v>
      </c>
      <c r="AA288" s="3" t="s">
        <v>63</v>
      </c>
      <c r="AB288" s="3" t="s">
        <v>251</v>
      </c>
      <c r="AC288" s="3" t="s">
        <v>2310</v>
      </c>
      <c r="AD288" s="14">
        <v>45481</v>
      </c>
      <c r="AE288" s="14">
        <v>46022</v>
      </c>
      <c r="AF288" s="3"/>
    </row>
    <row r="289" spans="1:32" ht="171.6" hidden="1">
      <c r="A289" s="3" t="s">
        <v>2205</v>
      </c>
      <c r="B289" s="3" t="s">
        <v>2206</v>
      </c>
      <c r="C289" s="3" t="s">
        <v>2311</v>
      </c>
      <c r="D289" s="3" t="s">
        <v>348</v>
      </c>
      <c r="E289" s="3"/>
      <c r="F289" s="3" t="s">
        <v>274</v>
      </c>
      <c r="G289" s="3" t="s">
        <v>82</v>
      </c>
      <c r="H289" s="3" t="s">
        <v>38</v>
      </c>
      <c r="I289" s="3"/>
      <c r="J289" s="3" t="s">
        <v>223</v>
      </c>
      <c r="K289" s="3"/>
      <c r="L289" s="3"/>
      <c r="M289" s="3"/>
      <c r="N289" s="3" t="s">
        <v>79</v>
      </c>
      <c r="O289" s="3"/>
      <c r="P289" s="3" t="s">
        <v>309</v>
      </c>
      <c r="Q289" s="3" t="s">
        <v>310</v>
      </c>
      <c r="R289" s="3" t="s">
        <v>36</v>
      </c>
      <c r="S289" s="3" t="s">
        <v>247</v>
      </c>
      <c r="T289" s="3" t="s">
        <v>37</v>
      </c>
      <c r="U289" s="3" t="s">
        <v>49</v>
      </c>
      <c r="V289" s="3" t="s">
        <v>311</v>
      </c>
      <c r="W289" s="3" t="s">
        <v>223</v>
      </c>
      <c r="X289" s="3" t="s">
        <v>41</v>
      </c>
      <c r="Y289" s="3" t="s">
        <v>312</v>
      </c>
      <c r="Z289" s="3" t="s">
        <v>313</v>
      </c>
      <c r="AA289" s="3" t="s">
        <v>63</v>
      </c>
      <c r="AB289" s="3" t="s">
        <v>308</v>
      </c>
      <c r="AC289" s="3" t="s">
        <v>2312</v>
      </c>
      <c r="AD289" s="14">
        <v>45481</v>
      </c>
      <c r="AE289" s="14"/>
      <c r="AF289" s="3"/>
    </row>
    <row r="290" spans="1:32" ht="105.6" hidden="1">
      <c r="A290" s="3" t="s">
        <v>2244</v>
      </c>
      <c r="B290" s="3" t="s">
        <v>2245</v>
      </c>
      <c r="C290" s="3" t="s">
        <v>2313</v>
      </c>
      <c r="D290" s="3" t="s">
        <v>59</v>
      </c>
      <c r="E290" s="3" t="s">
        <v>36</v>
      </c>
      <c r="F290" s="3" t="s">
        <v>221</v>
      </c>
      <c r="G290" s="3" t="s">
        <v>37</v>
      </c>
      <c r="H290" s="3" t="s">
        <v>49</v>
      </c>
      <c r="I290" s="3" t="s">
        <v>2247</v>
      </c>
      <c r="J290" s="3" t="s">
        <v>223</v>
      </c>
      <c r="K290" s="3" t="s">
        <v>41</v>
      </c>
      <c r="L290" s="3" t="s">
        <v>2248</v>
      </c>
      <c r="M290" s="3" t="s">
        <v>2249</v>
      </c>
      <c r="N290" s="3" t="s">
        <v>79</v>
      </c>
      <c r="O290" s="3" t="s">
        <v>251</v>
      </c>
      <c r="P290" s="3" t="s">
        <v>2314</v>
      </c>
      <c r="Q290" s="3" t="s">
        <v>2315</v>
      </c>
      <c r="R290" s="3" t="s">
        <v>36</v>
      </c>
      <c r="S290" s="3" t="s">
        <v>221</v>
      </c>
      <c r="T290" s="3" t="s">
        <v>37</v>
      </c>
      <c r="U290" s="3" t="s">
        <v>38</v>
      </c>
      <c r="V290" s="3" t="s">
        <v>2316</v>
      </c>
      <c r="W290" s="3" t="s">
        <v>223</v>
      </c>
      <c r="X290" s="3" t="s">
        <v>41</v>
      </c>
      <c r="Y290" s="3" t="s">
        <v>383</v>
      </c>
      <c r="Z290" s="3" t="s">
        <v>384</v>
      </c>
      <c r="AA290" s="3" t="s">
        <v>53</v>
      </c>
      <c r="AB290" s="3" t="s">
        <v>385</v>
      </c>
      <c r="AC290" s="3" t="s">
        <v>2317</v>
      </c>
      <c r="AD290" s="14">
        <v>45470</v>
      </c>
      <c r="AE290" s="14">
        <v>45688</v>
      </c>
      <c r="AF290" s="3"/>
    </row>
    <row r="291" spans="1:32" ht="66" hidden="1">
      <c r="A291" s="3" t="s">
        <v>2318</v>
      </c>
      <c r="B291" s="3" t="s">
        <v>2319</v>
      </c>
      <c r="C291" s="3" t="s">
        <v>2320</v>
      </c>
      <c r="D291" s="3" t="s">
        <v>35</v>
      </c>
      <c r="E291" s="3" t="s">
        <v>36</v>
      </c>
      <c r="F291" s="3" t="s">
        <v>247</v>
      </c>
      <c r="G291" s="3" t="s">
        <v>37</v>
      </c>
      <c r="H291" s="3" t="s">
        <v>49</v>
      </c>
      <c r="I291" s="3" t="s">
        <v>2321</v>
      </c>
      <c r="J291" s="3" t="s">
        <v>223</v>
      </c>
      <c r="K291" s="3" t="s">
        <v>41</v>
      </c>
      <c r="L291" s="3" t="s">
        <v>2322</v>
      </c>
      <c r="M291" s="3" t="s">
        <v>2323</v>
      </c>
      <c r="N291" s="3" t="s">
        <v>53</v>
      </c>
      <c r="O291" s="3" t="s">
        <v>699</v>
      </c>
      <c r="P291" s="3" t="s">
        <v>2324</v>
      </c>
      <c r="Q291" s="3" t="s">
        <v>2325</v>
      </c>
      <c r="R291" s="3" t="s">
        <v>36</v>
      </c>
      <c r="S291" s="3" t="s">
        <v>221</v>
      </c>
      <c r="T291" s="3" t="s">
        <v>37</v>
      </c>
      <c r="U291" s="3" t="s">
        <v>49</v>
      </c>
      <c r="V291" s="3" t="s">
        <v>2326</v>
      </c>
      <c r="W291" s="3" t="s">
        <v>223</v>
      </c>
      <c r="X291" s="3" t="s">
        <v>41</v>
      </c>
      <c r="Y291" s="3" t="s">
        <v>2327</v>
      </c>
      <c r="Z291" s="3" t="s">
        <v>2328</v>
      </c>
      <c r="AA291" s="3" t="s">
        <v>63</v>
      </c>
      <c r="AB291" s="3" t="s">
        <v>226</v>
      </c>
      <c r="AC291" s="3" t="s">
        <v>2329</v>
      </c>
      <c r="AD291" s="14">
        <v>45488</v>
      </c>
      <c r="AE291" s="14"/>
      <c r="AF291" s="3"/>
    </row>
    <row r="292" spans="1:32" ht="250.9" hidden="1">
      <c r="A292" s="3" t="s">
        <v>2330</v>
      </c>
      <c r="B292" s="3" t="s">
        <v>2331</v>
      </c>
      <c r="C292" s="3" t="s">
        <v>2332</v>
      </c>
      <c r="D292" s="3" t="s">
        <v>59</v>
      </c>
      <c r="E292" s="3" t="s">
        <v>36</v>
      </c>
      <c r="F292" s="3" t="s">
        <v>274</v>
      </c>
      <c r="G292" s="3" t="s">
        <v>82</v>
      </c>
      <c r="H292" s="3" t="s">
        <v>78</v>
      </c>
      <c r="I292" s="3" t="s">
        <v>2333</v>
      </c>
      <c r="J292" s="3" t="s">
        <v>223</v>
      </c>
      <c r="K292" s="3" t="s">
        <v>780</v>
      </c>
      <c r="L292" s="3" t="s">
        <v>2334</v>
      </c>
      <c r="M292" s="3" t="s">
        <v>2335</v>
      </c>
      <c r="N292" s="3" t="s">
        <v>44</v>
      </c>
      <c r="O292" s="3" t="s">
        <v>721</v>
      </c>
      <c r="P292" s="3" t="s">
        <v>2336</v>
      </c>
      <c r="Q292" s="3" t="s">
        <v>2337</v>
      </c>
      <c r="R292" s="3" t="s">
        <v>36</v>
      </c>
      <c r="S292" s="3"/>
      <c r="T292" s="3" t="s">
        <v>82</v>
      </c>
      <c r="U292" s="3" t="s">
        <v>38</v>
      </c>
      <c r="V292" s="3" t="s">
        <v>2338</v>
      </c>
      <c r="W292" s="3" t="s">
        <v>2339</v>
      </c>
      <c r="X292" s="3" t="s">
        <v>41</v>
      </c>
      <c r="Y292" s="3" t="s">
        <v>2340</v>
      </c>
      <c r="Z292" s="3" t="s">
        <v>2341</v>
      </c>
      <c r="AA292" s="3" t="s">
        <v>63</v>
      </c>
      <c r="AB292" s="3" t="s">
        <v>1147</v>
      </c>
      <c r="AC292" s="3" t="s">
        <v>2342</v>
      </c>
      <c r="AD292" s="14">
        <v>45490</v>
      </c>
      <c r="AE292" s="14"/>
      <c r="AF292" s="3"/>
    </row>
    <row r="293" spans="1:32" ht="145.15" hidden="1">
      <c r="A293" s="3" t="s">
        <v>283</v>
      </c>
      <c r="B293" s="3" t="s">
        <v>284</v>
      </c>
      <c r="C293" s="3" t="s">
        <v>2343</v>
      </c>
      <c r="D293" s="3" t="s">
        <v>59</v>
      </c>
      <c r="E293" s="3"/>
      <c r="F293" s="3" t="s">
        <v>221</v>
      </c>
      <c r="G293" s="3" t="s">
        <v>82</v>
      </c>
      <c r="H293" s="3" t="s">
        <v>49</v>
      </c>
      <c r="I293" s="3"/>
      <c r="J293" s="3" t="s">
        <v>223</v>
      </c>
      <c r="K293" s="3"/>
      <c r="L293" s="3"/>
      <c r="M293" s="3"/>
      <c r="N293" s="3" t="s">
        <v>285</v>
      </c>
      <c r="O293" s="3"/>
      <c r="P293" s="3" t="s">
        <v>2344</v>
      </c>
      <c r="Q293" s="3" t="s">
        <v>2345</v>
      </c>
      <c r="R293" s="3"/>
      <c r="S293" s="3" t="s">
        <v>221</v>
      </c>
      <c r="T293" s="3" t="s">
        <v>37</v>
      </c>
      <c r="U293" s="3" t="s">
        <v>73</v>
      </c>
      <c r="V293" s="3"/>
      <c r="W293" s="3" t="s">
        <v>223</v>
      </c>
      <c r="X293" s="3"/>
      <c r="Y293" s="3"/>
      <c r="Z293" s="3"/>
      <c r="AA293" s="3" t="s">
        <v>285</v>
      </c>
      <c r="AB293" s="3"/>
      <c r="AC293" s="3" t="s">
        <v>2346</v>
      </c>
      <c r="AD293" s="14">
        <v>45488</v>
      </c>
      <c r="AE293" s="14">
        <v>45565</v>
      </c>
      <c r="AF293" s="3" t="s">
        <v>2347</v>
      </c>
    </row>
    <row r="294" spans="1:32" ht="52.9" hidden="1">
      <c r="A294" s="3" t="s">
        <v>2348</v>
      </c>
      <c r="B294" s="3" t="s">
        <v>2349</v>
      </c>
      <c r="C294" s="3" t="s">
        <v>2350</v>
      </c>
      <c r="D294" s="3" t="s">
        <v>59</v>
      </c>
      <c r="E294" s="3" t="s">
        <v>36</v>
      </c>
      <c r="F294" s="3" t="s">
        <v>221</v>
      </c>
      <c r="G294" s="3" t="s">
        <v>37</v>
      </c>
      <c r="H294" s="3" t="s">
        <v>38</v>
      </c>
      <c r="I294" s="3" t="s">
        <v>2351</v>
      </c>
      <c r="J294" s="3" t="s">
        <v>223</v>
      </c>
      <c r="K294" s="3" t="s">
        <v>780</v>
      </c>
      <c r="L294" s="3" t="s">
        <v>2352</v>
      </c>
      <c r="M294" s="3" t="s">
        <v>2353</v>
      </c>
      <c r="N294" s="3" t="s">
        <v>44</v>
      </c>
      <c r="O294" s="3" t="s">
        <v>2354</v>
      </c>
      <c r="P294" s="3" t="s">
        <v>2355</v>
      </c>
      <c r="Q294" s="3" t="s">
        <v>2356</v>
      </c>
      <c r="R294" s="3" t="s">
        <v>36</v>
      </c>
      <c r="S294" s="3" t="s">
        <v>221</v>
      </c>
      <c r="T294" s="3" t="s">
        <v>37</v>
      </c>
      <c r="U294" s="3" t="s">
        <v>49</v>
      </c>
      <c r="V294" s="3" t="s">
        <v>2357</v>
      </c>
      <c r="W294" s="3" t="s">
        <v>223</v>
      </c>
      <c r="X294" s="3" t="s">
        <v>780</v>
      </c>
      <c r="Y294" s="3" t="s">
        <v>2358</v>
      </c>
      <c r="Z294" s="3" t="s">
        <v>2359</v>
      </c>
      <c r="AA294" s="3" t="s">
        <v>63</v>
      </c>
      <c r="AB294" s="3" t="s">
        <v>2354</v>
      </c>
      <c r="AC294" s="3" t="s">
        <v>2360</v>
      </c>
      <c r="AD294" s="14">
        <v>45492</v>
      </c>
      <c r="AE294" s="14">
        <v>45838</v>
      </c>
      <c r="AF294" s="3"/>
    </row>
    <row r="295" spans="1:32" ht="290.45" hidden="1">
      <c r="A295" s="3" t="s">
        <v>2361</v>
      </c>
      <c r="B295" s="3" t="s">
        <v>2362</v>
      </c>
      <c r="C295" s="3" t="s">
        <v>2363</v>
      </c>
      <c r="D295" s="3" t="s">
        <v>348</v>
      </c>
      <c r="E295" s="3" t="s">
        <v>36</v>
      </c>
      <c r="F295" s="3" t="s">
        <v>221</v>
      </c>
      <c r="G295" s="3" t="s">
        <v>82</v>
      </c>
      <c r="H295" s="3" t="s">
        <v>49</v>
      </c>
      <c r="I295" s="3" t="s">
        <v>2364</v>
      </c>
      <c r="J295" s="3" t="s">
        <v>223</v>
      </c>
      <c r="K295" s="3" t="s">
        <v>41</v>
      </c>
      <c r="L295" s="3" t="s">
        <v>2365</v>
      </c>
      <c r="M295" s="3" t="s">
        <v>1085</v>
      </c>
      <c r="N295" s="3" t="s">
        <v>53</v>
      </c>
      <c r="O295" s="3" t="s">
        <v>658</v>
      </c>
      <c r="P295" s="3" t="s">
        <v>2366</v>
      </c>
      <c r="Q295" s="3" t="s">
        <v>2367</v>
      </c>
      <c r="R295" s="3" t="s">
        <v>36</v>
      </c>
      <c r="S295" s="3" t="s">
        <v>221</v>
      </c>
      <c r="T295" s="3" t="s">
        <v>82</v>
      </c>
      <c r="U295" s="3" t="s">
        <v>73</v>
      </c>
      <c r="V295" s="3" t="s">
        <v>2368</v>
      </c>
      <c r="W295" s="3" t="s">
        <v>223</v>
      </c>
      <c r="X295" s="3" t="s">
        <v>41</v>
      </c>
      <c r="Y295" s="3" t="s">
        <v>2369</v>
      </c>
      <c r="Z295" s="3" t="s">
        <v>692</v>
      </c>
      <c r="AA295" s="3" t="s">
        <v>63</v>
      </c>
      <c r="AB295" s="3" t="s">
        <v>658</v>
      </c>
      <c r="AC295" s="3" t="s">
        <v>2370</v>
      </c>
      <c r="AD295" s="14">
        <v>45502</v>
      </c>
      <c r="AE295" s="14">
        <v>45628</v>
      </c>
      <c r="AF295" s="3"/>
    </row>
    <row r="296" spans="1:32" ht="409.6" hidden="1">
      <c r="A296" s="3" t="s">
        <v>451</v>
      </c>
      <c r="B296" s="3" t="s">
        <v>452</v>
      </c>
      <c r="C296" s="3" t="s">
        <v>2371</v>
      </c>
      <c r="D296" s="3" t="s">
        <v>59</v>
      </c>
      <c r="E296" s="3" t="s">
        <v>36</v>
      </c>
      <c r="F296" s="3" t="s">
        <v>221</v>
      </c>
      <c r="G296" s="3" t="s">
        <v>37</v>
      </c>
      <c r="H296" s="3" t="s">
        <v>38</v>
      </c>
      <c r="I296" s="3" t="s">
        <v>454</v>
      </c>
      <c r="J296" s="3" t="s">
        <v>223</v>
      </c>
      <c r="K296" s="3" t="s">
        <v>41</v>
      </c>
      <c r="L296" s="3" t="s">
        <v>455</v>
      </c>
      <c r="M296" s="3" t="s">
        <v>456</v>
      </c>
      <c r="N296" s="3" t="s">
        <v>79</v>
      </c>
      <c r="O296" s="3" t="s">
        <v>100</v>
      </c>
      <c r="P296" s="3" t="s">
        <v>2372</v>
      </c>
      <c r="Q296" s="3" t="s">
        <v>2373</v>
      </c>
      <c r="R296" s="3" t="s">
        <v>36</v>
      </c>
      <c r="S296" s="3" t="s">
        <v>254</v>
      </c>
      <c r="T296" s="3" t="s">
        <v>37</v>
      </c>
      <c r="U296" s="3" t="s">
        <v>49</v>
      </c>
      <c r="V296" s="3" t="s">
        <v>2374</v>
      </c>
      <c r="W296" s="3" t="s">
        <v>223</v>
      </c>
      <c r="X296" s="3" t="s">
        <v>41</v>
      </c>
      <c r="Y296" s="3" t="s">
        <v>2375</v>
      </c>
      <c r="Z296" s="3" t="s">
        <v>363</v>
      </c>
      <c r="AA296" s="3" t="s">
        <v>44</v>
      </c>
      <c r="AB296" s="3" t="s">
        <v>270</v>
      </c>
      <c r="AC296" s="3" t="s">
        <v>2376</v>
      </c>
      <c r="AD296" s="14">
        <v>45475</v>
      </c>
      <c r="AE296" s="14">
        <v>45660</v>
      </c>
      <c r="AF296" s="3"/>
    </row>
    <row r="297" spans="1:32" ht="118.9" hidden="1">
      <c r="A297" s="3" t="s">
        <v>1002</v>
      </c>
      <c r="B297" s="3" t="s">
        <v>1003</v>
      </c>
      <c r="C297" s="3" t="s">
        <v>2377</v>
      </c>
      <c r="D297" s="3" t="s">
        <v>35</v>
      </c>
      <c r="E297" s="3" t="s">
        <v>36</v>
      </c>
      <c r="F297" s="3" t="s">
        <v>221</v>
      </c>
      <c r="G297" s="3" t="s">
        <v>37</v>
      </c>
      <c r="H297" s="3" t="s">
        <v>49</v>
      </c>
      <c r="I297" s="3" t="s">
        <v>1005</v>
      </c>
      <c r="J297" s="3" t="s">
        <v>223</v>
      </c>
      <c r="K297" s="3" t="s">
        <v>356</v>
      </c>
      <c r="L297" s="3" t="s">
        <v>1006</v>
      </c>
      <c r="M297" s="3" t="s">
        <v>1007</v>
      </c>
      <c r="N297" s="3" t="s">
        <v>53</v>
      </c>
      <c r="O297" s="3" t="s">
        <v>240</v>
      </c>
      <c r="P297" s="3" t="s">
        <v>2378</v>
      </c>
      <c r="Q297" s="3" t="s">
        <v>2379</v>
      </c>
      <c r="R297" s="3" t="s">
        <v>36</v>
      </c>
      <c r="S297" s="3" t="s">
        <v>221</v>
      </c>
      <c r="T297" s="3" t="s">
        <v>37</v>
      </c>
      <c r="U297" s="3" t="s">
        <v>49</v>
      </c>
      <c r="V297" s="3" t="s">
        <v>2380</v>
      </c>
      <c r="W297" s="3" t="s">
        <v>223</v>
      </c>
      <c r="X297" s="3" t="s">
        <v>41</v>
      </c>
      <c r="Y297" s="3" t="s">
        <v>2381</v>
      </c>
      <c r="Z297" s="3" t="s">
        <v>1615</v>
      </c>
      <c r="AA297" s="3" t="s">
        <v>79</v>
      </c>
      <c r="AB297" s="3" t="s">
        <v>226</v>
      </c>
      <c r="AC297" s="3" t="s">
        <v>2382</v>
      </c>
      <c r="AD297" s="14">
        <v>45488</v>
      </c>
      <c r="AE297" s="14">
        <v>45544</v>
      </c>
      <c r="AF297" s="3" t="s">
        <v>56</v>
      </c>
    </row>
    <row r="298" spans="1:32" ht="409.6" hidden="1">
      <c r="A298" s="3" t="s">
        <v>2383</v>
      </c>
      <c r="B298" s="3" t="s">
        <v>2384</v>
      </c>
      <c r="C298" s="3" t="s">
        <v>2385</v>
      </c>
      <c r="D298" s="3" t="s">
        <v>59</v>
      </c>
      <c r="E298" s="3" t="s">
        <v>36</v>
      </c>
      <c r="F298" s="3" t="s">
        <v>221</v>
      </c>
      <c r="G298" s="3" t="s">
        <v>82</v>
      </c>
      <c r="H298" s="3" t="s">
        <v>49</v>
      </c>
      <c r="I298" s="3" t="s">
        <v>1483</v>
      </c>
      <c r="J298" s="3" t="s">
        <v>223</v>
      </c>
      <c r="K298" s="3" t="s">
        <v>41</v>
      </c>
      <c r="L298" s="3" t="s">
        <v>2386</v>
      </c>
      <c r="M298" s="3" t="s">
        <v>911</v>
      </c>
      <c r="N298" s="3" t="s">
        <v>79</v>
      </c>
      <c r="O298" s="3" t="s">
        <v>721</v>
      </c>
      <c r="P298" s="3" t="s">
        <v>2387</v>
      </c>
      <c r="Q298" s="3" t="s">
        <v>2388</v>
      </c>
      <c r="R298" s="3" t="s">
        <v>2389</v>
      </c>
      <c r="S298" s="3" t="s">
        <v>221</v>
      </c>
      <c r="T298" s="3" t="s">
        <v>37</v>
      </c>
      <c r="U298" s="3" t="s">
        <v>49</v>
      </c>
      <c r="V298" s="3" t="s">
        <v>2390</v>
      </c>
      <c r="W298" s="3" t="s">
        <v>223</v>
      </c>
      <c r="X298" s="3" t="s">
        <v>41</v>
      </c>
      <c r="Y298" s="3" t="s">
        <v>2391</v>
      </c>
      <c r="Z298" s="3" t="s">
        <v>1529</v>
      </c>
      <c r="AA298" s="3" t="s">
        <v>79</v>
      </c>
      <c r="AB298" s="3" t="s">
        <v>1530</v>
      </c>
      <c r="AC298" s="3" t="s">
        <v>2392</v>
      </c>
      <c r="AD298" s="14">
        <v>45492</v>
      </c>
      <c r="AE298" s="14"/>
      <c r="AF298" s="3"/>
    </row>
    <row r="299" spans="1:32" ht="92.45" hidden="1">
      <c r="A299" s="3" t="s">
        <v>417</v>
      </c>
      <c r="B299" s="3" t="s">
        <v>418</v>
      </c>
      <c r="C299" s="3" t="s">
        <v>2393</v>
      </c>
      <c r="D299" s="3" t="s">
        <v>59</v>
      </c>
      <c r="E299" s="3" t="s">
        <v>36</v>
      </c>
      <c r="F299" s="3" t="s">
        <v>247</v>
      </c>
      <c r="G299" s="3" t="s">
        <v>82</v>
      </c>
      <c r="H299" s="3" t="s">
        <v>38</v>
      </c>
      <c r="I299" s="3" t="s">
        <v>419</v>
      </c>
      <c r="J299" s="3" t="s">
        <v>223</v>
      </c>
      <c r="K299" s="3" t="s">
        <v>41</v>
      </c>
      <c r="L299" s="3" t="s">
        <v>420</v>
      </c>
      <c r="M299" s="3" t="s">
        <v>421</v>
      </c>
      <c r="N299" s="3" t="s">
        <v>44</v>
      </c>
      <c r="O299" s="3" t="s">
        <v>270</v>
      </c>
      <c r="P299" s="3" t="s">
        <v>2394</v>
      </c>
      <c r="Q299" s="3" t="s">
        <v>2395</v>
      </c>
      <c r="R299" s="3" t="s">
        <v>36</v>
      </c>
      <c r="S299" s="3" t="s">
        <v>254</v>
      </c>
      <c r="T299" s="3" t="s">
        <v>37</v>
      </c>
      <c r="U299" s="3" t="s">
        <v>49</v>
      </c>
      <c r="V299" s="3" t="s">
        <v>2396</v>
      </c>
      <c r="W299" s="3" t="s">
        <v>223</v>
      </c>
      <c r="X299" s="3" t="s">
        <v>41</v>
      </c>
      <c r="Y299" s="3" t="s">
        <v>2397</v>
      </c>
      <c r="Z299" s="3" t="s">
        <v>1748</v>
      </c>
      <c r="AA299" s="3" t="s">
        <v>63</v>
      </c>
      <c r="AB299" s="3" t="s">
        <v>86</v>
      </c>
      <c r="AC299" s="3" t="s">
        <v>2398</v>
      </c>
      <c r="AD299" s="14">
        <v>44965</v>
      </c>
      <c r="AE299" s="14">
        <v>45334</v>
      </c>
      <c r="AF299" s="3"/>
    </row>
    <row r="300" spans="1:32" ht="145.15" hidden="1">
      <c r="A300" s="3" t="s">
        <v>2399</v>
      </c>
      <c r="B300" s="3" t="s">
        <v>2400</v>
      </c>
      <c r="C300" s="3" t="s">
        <v>2401</v>
      </c>
      <c r="D300" s="3" t="s">
        <v>59</v>
      </c>
      <c r="E300" s="3" t="s">
        <v>36</v>
      </c>
      <c r="F300" s="3" t="s">
        <v>274</v>
      </c>
      <c r="G300" s="3" t="s">
        <v>37</v>
      </c>
      <c r="H300" s="3" t="s">
        <v>49</v>
      </c>
      <c r="I300" s="3" t="s">
        <v>2402</v>
      </c>
      <c r="J300" s="3" t="s">
        <v>223</v>
      </c>
      <c r="K300" s="3" t="s">
        <v>41</v>
      </c>
      <c r="L300" s="3" t="s">
        <v>2403</v>
      </c>
      <c r="M300" s="3" t="s">
        <v>2404</v>
      </c>
      <c r="N300" s="3" t="s">
        <v>79</v>
      </c>
      <c r="O300" s="3" t="s">
        <v>811</v>
      </c>
      <c r="P300" s="3" t="s">
        <v>2405</v>
      </c>
      <c r="Q300" s="3" t="s">
        <v>2406</v>
      </c>
      <c r="R300" s="3" t="s">
        <v>36</v>
      </c>
      <c r="S300" s="3" t="s">
        <v>247</v>
      </c>
      <c r="T300" s="3" t="s">
        <v>37</v>
      </c>
      <c r="U300" s="3" t="s">
        <v>49</v>
      </c>
      <c r="V300" s="3" t="s">
        <v>2407</v>
      </c>
      <c r="W300" s="3" t="s">
        <v>223</v>
      </c>
      <c r="X300" s="3" t="s">
        <v>780</v>
      </c>
      <c r="Y300" s="3" t="s">
        <v>2408</v>
      </c>
      <c r="Z300" s="3" t="s">
        <v>2409</v>
      </c>
      <c r="AA300" s="3" t="s">
        <v>53</v>
      </c>
      <c r="AB300" s="3" t="s">
        <v>557</v>
      </c>
      <c r="AC300" s="3" t="s">
        <v>2410</v>
      </c>
      <c r="AD300" s="14">
        <v>45505</v>
      </c>
      <c r="AE300" s="14">
        <v>45898</v>
      </c>
      <c r="AF300" s="3"/>
    </row>
    <row r="301" spans="1:32" ht="409.6" hidden="1">
      <c r="A301" s="3" t="s">
        <v>2348</v>
      </c>
      <c r="B301" s="3" t="s">
        <v>2349</v>
      </c>
      <c r="C301" s="3" t="s">
        <v>2411</v>
      </c>
      <c r="D301" s="3" t="s">
        <v>59</v>
      </c>
      <c r="E301" s="3" t="s">
        <v>36</v>
      </c>
      <c r="F301" s="3" t="s">
        <v>221</v>
      </c>
      <c r="G301" s="3" t="s">
        <v>37</v>
      </c>
      <c r="H301" s="3" t="s">
        <v>38</v>
      </c>
      <c r="I301" s="3" t="s">
        <v>2351</v>
      </c>
      <c r="J301" s="3" t="s">
        <v>223</v>
      </c>
      <c r="K301" s="3" t="s">
        <v>780</v>
      </c>
      <c r="L301" s="3" t="s">
        <v>2352</v>
      </c>
      <c r="M301" s="3" t="s">
        <v>2353</v>
      </c>
      <c r="N301" s="3" t="s">
        <v>44</v>
      </c>
      <c r="O301" s="3" t="s">
        <v>2354</v>
      </c>
      <c r="P301" s="3" t="s">
        <v>2412</v>
      </c>
      <c r="Q301" s="3" t="s">
        <v>2413</v>
      </c>
      <c r="R301" s="3"/>
      <c r="S301" s="3" t="s">
        <v>221</v>
      </c>
      <c r="T301" s="3" t="s">
        <v>82</v>
      </c>
      <c r="U301" s="3" t="s">
        <v>73</v>
      </c>
      <c r="V301" s="3"/>
      <c r="W301" s="3" t="s">
        <v>223</v>
      </c>
      <c r="X301" s="3"/>
      <c r="Y301" s="3"/>
      <c r="Z301" s="3"/>
      <c r="AA301" s="3" t="s">
        <v>281</v>
      </c>
      <c r="AB301" s="3"/>
      <c r="AC301" s="3" t="s">
        <v>2414</v>
      </c>
      <c r="AD301" s="14">
        <v>45505</v>
      </c>
      <c r="AE301" s="14"/>
      <c r="AF301" s="3"/>
    </row>
    <row r="302" spans="1:32" ht="250.9" hidden="1">
      <c r="A302" s="3" t="s">
        <v>2415</v>
      </c>
      <c r="B302" s="3" t="s">
        <v>2416</v>
      </c>
      <c r="C302" s="3" t="s">
        <v>2417</v>
      </c>
      <c r="D302" s="3" t="s">
        <v>59</v>
      </c>
      <c r="E302" s="3" t="s">
        <v>36</v>
      </c>
      <c r="F302" s="3" t="s">
        <v>221</v>
      </c>
      <c r="G302" s="3" t="s">
        <v>82</v>
      </c>
      <c r="H302" s="3" t="s">
        <v>38</v>
      </c>
      <c r="I302" s="3" t="s">
        <v>2418</v>
      </c>
      <c r="J302" s="3" t="s">
        <v>223</v>
      </c>
      <c r="K302" s="3" t="s">
        <v>41</v>
      </c>
      <c r="L302" s="3" t="s">
        <v>2419</v>
      </c>
      <c r="M302" s="3" t="s">
        <v>2420</v>
      </c>
      <c r="N302" s="3" t="s">
        <v>44</v>
      </c>
      <c r="O302" s="3" t="s">
        <v>226</v>
      </c>
      <c r="P302" s="3" t="s">
        <v>2421</v>
      </c>
      <c r="Q302" s="3" t="s">
        <v>2422</v>
      </c>
      <c r="R302" s="3" t="s">
        <v>467</v>
      </c>
      <c r="S302" s="3" t="s">
        <v>221</v>
      </c>
      <c r="T302" s="3" t="s">
        <v>37</v>
      </c>
      <c r="U302" s="3" t="s">
        <v>38</v>
      </c>
      <c r="V302" s="3" t="s">
        <v>2423</v>
      </c>
      <c r="W302" s="3" t="s">
        <v>223</v>
      </c>
      <c r="X302" s="3" t="s">
        <v>41</v>
      </c>
      <c r="Y302" s="3" t="s">
        <v>2424</v>
      </c>
      <c r="Z302" s="3" t="s">
        <v>2425</v>
      </c>
      <c r="AA302" s="3" t="s">
        <v>53</v>
      </c>
      <c r="AB302" s="3" t="s">
        <v>116</v>
      </c>
      <c r="AC302" s="3" t="s">
        <v>2426</v>
      </c>
      <c r="AD302" s="14">
        <v>45505</v>
      </c>
      <c r="AE302" s="14">
        <v>45870</v>
      </c>
      <c r="AF302" s="3"/>
    </row>
    <row r="303" spans="1:32" ht="158.44999999999999" hidden="1">
      <c r="A303" s="3" t="s">
        <v>2427</v>
      </c>
      <c r="B303" s="3" t="s">
        <v>2428</v>
      </c>
      <c r="C303" s="3" t="s">
        <v>2429</v>
      </c>
      <c r="D303" s="3" t="s">
        <v>59</v>
      </c>
      <c r="E303" s="3" t="s">
        <v>36</v>
      </c>
      <c r="F303" s="3" t="s">
        <v>221</v>
      </c>
      <c r="G303" s="3" t="s">
        <v>82</v>
      </c>
      <c r="H303" s="3" t="s">
        <v>78</v>
      </c>
      <c r="I303" s="3" t="s">
        <v>2430</v>
      </c>
      <c r="J303" s="3" t="s">
        <v>223</v>
      </c>
      <c r="K303" s="3" t="s">
        <v>41</v>
      </c>
      <c r="L303" s="3" t="s">
        <v>2431</v>
      </c>
      <c r="M303" s="3" t="s">
        <v>2432</v>
      </c>
      <c r="N303" s="3" t="s">
        <v>123</v>
      </c>
      <c r="O303" s="3" t="s">
        <v>270</v>
      </c>
      <c r="P303" s="3" t="s">
        <v>2433</v>
      </c>
      <c r="Q303" s="3" t="s">
        <v>2434</v>
      </c>
      <c r="R303" s="3" t="s">
        <v>36</v>
      </c>
      <c r="S303" s="3" t="s">
        <v>221</v>
      </c>
      <c r="T303" s="3" t="s">
        <v>37</v>
      </c>
      <c r="U303" s="3" t="s">
        <v>38</v>
      </c>
      <c r="V303" s="3" t="s">
        <v>2435</v>
      </c>
      <c r="W303" s="3" t="s">
        <v>223</v>
      </c>
      <c r="X303" s="3" t="s">
        <v>41</v>
      </c>
      <c r="Y303" s="3" t="s">
        <v>2436</v>
      </c>
      <c r="Z303" s="3" t="s">
        <v>2437</v>
      </c>
      <c r="AA303" s="3" t="s">
        <v>53</v>
      </c>
      <c r="AB303" s="3" t="s">
        <v>100</v>
      </c>
      <c r="AC303" s="3" t="s">
        <v>2438</v>
      </c>
      <c r="AD303" s="14">
        <v>45505</v>
      </c>
      <c r="AE303" s="14">
        <v>45869</v>
      </c>
      <c r="AF303" s="3"/>
    </row>
    <row r="304" spans="1:32" ht="211.15" hidden="1">
      <c r="A304" s="3" t="s">
        <v>507</v>
      </c>
      <c r="B304" s="3" t="s">
        <v>508</v>
      </c>
      <c r="C304" s="3" t="s">
        <v>2439</v>
      </c>
      <c r="D304" s="3" t="s">
        <v>59</v>
      </c>
      <c r="E304" s="3" t="s">
        <v>36</v>
      </c>
      <c r="F304" s="3" t="s">
        <v>254</v>
      </c>
      <c r="G304" s="3" t="s">
        <v>82</v>
      </c>
      <c r="H304" s="3" t="s">
        <v>49</v>
      </c>
      <c r="I304" s="3" t="s">
        <v>509</v>
      </c>
      <c r="J304" s="3" t="s">
        <v>223</v>
      </c>
      <c r="K304" s="3" t="s">
        <v>41</v>
      </c>
      <c r="L304" s="3" t="s">
        <v>510</v>
      </c>
      <c r="M304" s="3" t="s">
        <v>511</v>
      </c>
      <c r="N304" s="3" t="s">
        <v>53</v>
      </c>
      <c r="O304" s="3" t="s">
        <v>506</v>
      </c>
      <c r="P304" s="3" t="s">
        <v>2440</v>
      </c>
      <c r="Q304" s="3" t="s">
        <v>2441</v>
      </c>
      <c r="R304" s="3" t="s">
        <v>36</v>
      </c>
      <c r="S304" s="3" t="s">
        <v>254</v>
      </c>
      <c r="T304" s="3" t="s">
        <v>37</v>
      </c>
      <c r="U304" s="3" t="s">
        <v>49</v>
      </c>
      <c r="V304" s="3" t="s">
        <v>2442</v>
      </c>
      <c r="W304" s="3" t="s">
        <v>223</v>
      </c>
      <c r="X304" s="3" t="s">
        <v>41</v>
      </c>
      <c r="Y304" s="3" t="s">
        <v>2443</v>
      </c>
      <c r="Z304" s="3" t="s">
        <v>2444</v>
      </c>
      <c r="AA304" s="3" t="s">
        <v>79</v>
      </c>
      <c r="AB304" s="3" t="s">
        <v>571</v>
      </c>
      <c r="AC304" s="3" t="s">
        <v>2445</v>
      </c>
      <c r="AD304" s="14">
        <v>45499</v>
      </c>
      <c r="AE304" s="14">
        <v>45863</v>
      </c>
      <c r="AF304" s="3"/>
    </row>
    <row r="305" spans="1:32" ht="92.45" hidden="1">
      <c r="A305" s="3" t="s">
        <v>507</v>
      </c>
      <c r="B305" s="3" t="s">
        <v>508</v>
      </c>
      <c r="C305" s="3" t="s">
        <v>2446</v>
      </c>
      <c r="D305" s="3" t="s">
        <v>59</v>
      </c>
      <c r="E305" s="3" t="s">
        <v>36</v>
      </c>
      <c r="F305" s="3" t="s">
        <v>254</v>
      </c>
      <c r="G305" s="3" t="s">
        <v>82</v>
      </c>
      <c r="H305" s="3" t="s">
        <v>49</v>
      </c>
      <c r="I305" s="3" t="s">
        <v>509</v>
      </c>
      <c r="J305" s="3" t="s">
        <v>223</v>
      </c>
      <c r="K305" s="3" t="s">
        <v>41</v>
      </c>
      <c r="L305" s="3" t="s">
        <v>510</v>
      </c>
      <c r="M305" s="3" t="s">
        <v>511</v>
      </c>
      <c r="N305" s="3" t="s">
        <v>53</v>
      </c>
      <c r="O305" s="3" t="s">
        <v>506</v>
      </c>
      <c r="P305" s="3" t="s">
        <v>2447</v>
      </c>
      <c r="Q305" s="3" t="s">
        <v>2448</v>
      </c>
      <c r="R305" s="3" t="s">
        <v>36</v>
      </c>
      <c r="S305" s="3" t="s">
        <v>221</v>
      </c>
      <c r="T305" s="3" t="s">
        <v>82</v>
      </c>
      <c r="U305" s="3" t="s">
        <v>49</v>
      </c>
      <c r="V305" s="3" t="s">
        <v>2449</v>
      </c>
      <c r="W305" s="3" t="s">
        <v>223</v>
      </c>
      <c r="X305" s="3" t="s">
        <v>41</v>
      </c>
      <c r="Y305" s="3" t="s">
        <v>1237</v>
      </c>
      <c r="Z305" s="3" t="s">
        <v>2450</v>
      </c>
      <c r="AA305" s="3" t="s">
        <v>281</v>
      </c>
      <c r="AB305" s="3" t="s">
        <v>1741</v>
      </c>
      <c r="AC305" s="3" t="s">
        <v>2451</v>
      </c>
      <c r="AD305" s="14">
        <v>45504</v>
      </c>
      <c r="AE305" s="14">
        <v>45596</v>
      </c>
      <c r="AF305" s="3"/>
    </row>
    <row r="306" spans="1:32" ht="39.6" hidden="1">
      <c r="A306" s="3" t="s">
        <v>2452</v>
      </c>
      <c r="B306" s="3" t="s">
        <v>2453</v>
      </c>
      <c r="C306" s="3"/>
      <c r="D306" s="3" t="s">
        <v>59</v>
      </c>
      <c r="E306" s="3" t="s">
        <v>36</v>
      </c>
      <c r="F306" s="3" t="s">
        <v>221</v>
      </c>
      <c r="G306" s="3" t="s">
        <v>82</v>
      </c>
      <c r="H306" s="3" t="s">
        <v>49</v>
      </c>
      <c r="I306" s="3" t="s">
        <v>2454</v>
      </c>
      <c r="J306" s="3" t="s">
        <v>223</v>
      </c>
      <c r="K306" s="3" t="s">
        <v>41</v>
      </c>
      <c r="L306" s="3" t="s">
        <v>2365</v>
      </c>
      <c r="M306" s="3" t="s">
        <v>657</v>
      </c>
      <c r="N306" s="3" t="s">
        <v>44</v>
      </c>
      <c r="O306" s="3" t="s">
        <v>658</v>
      </c>
      <c r="P306" s="3" t="s">
        <v>2455</v>
      </c>
      <c r="Q306" s="3" t="s">
        <v>2456</v>
      </c>
      <c r="R306" s="3" t="s">
        <v>36</v>
      </c>
      <c r="S306" s="3" t="s">
        <v>221</v>
      </c>
      <c r="T306" s="3" t="s">
        <v>82</v>
      </c>
      <c r="U306" s="3" t="s">
        <v>49</v>
      </c>
      <c r="V306" s="3" t="s">
        <v>2457</v>
      </c>
      <c r="W306" s="3" t="s">
        <v>223</v>
      </c>
      <c r="X306" s="3" t="s">
        <v>41</v>
      </c>
      <c r="Y306" s="3" t="s">
        <v>2458</v>
      </c>
      <c r="Z306" s="3" t="s">
        <v>692</v>
      </c>
      <c r="AA306" s="3" t="s">
        <v>63</v>
      </c>
      <c r="AB306" s="3" t="s">
        <v>658</v>
      </c>
      <c r="AC306" s="3" t="s">
        <v>2459</v>
      </c>
      <c r="AD306" s="14">
        <v>45443</v>
      </c>
      <c r="AE306" s="14"/>
      <c r="AF306" s="3"/>
    </row>
    <row r="307" spans="1:32" ht="409.6" hidden="1">
      <c r="A307" s="3" t="s">
        <v>2460</v>
      </c>
      <c r="B307" s="3" t="s">
        <v>2461</v>
      </c>
      <c r="C307" s="3" t="s">
        <v>2462</v>
      </c>
      <c r="D307" s="3" t="s">
        <v>59</v>
      </c>
      <c r="E307" s="3" t="s">
        <v>36</v>
      </c>
      <c r="F307" s="3" t="s">
        <v>221</v>
      </c>
      <c r="G307" s="3" t="s">
        <v>37</v>
      </c>
      <c r="H307" s="3" t="s">
        <v>38</v>
      </c>
      <c r="I307" s="3" t="s">
        <v>2463</v>
      </c>
      <c r="J307" s="3" t="s">
        <v>223</v>
      </c>
      <c r="K307" s="3" t="s">
        <v>780</v>
      </c>
      <c r="L307" s="3" t="s">
        <v>2464</v>
      </c>
      <c r="M307" s="3" t="s">
        <v>2465</v>
      </c>
      <c r="N307" s="3" t="s">
        <v>63</v>
      </c>
      <c r="O307" s="3" t="s">
        <v>2466</v>
      </c>
      <c r="P307" s="3" t="s">
        <v>2467</v>
      </c>
      <c r="Q307" s="3" t="s">
        <v>2468</v>
      </c>
      <c r="R307" s="3" t="s">
        <v>36</v>
      </c>
      <c r="S307" s="3" t="s">
        <v>221</v>
      </c>
      <c r="T307" s="3" t="s">
        <v>82</v>
      </c>
      <c r="U307" s="3" t="s">
        <v>73</v>
      </c>
      <c r="V307" s="3" t="s">
        <v>2469</v>
      </c>
      <c r="W307" s="3" t="s">
        <v>223</v>
      </c>
      <c r="X307" s="3" t="s">
        <v>780</v>
      </c>
      <c r="Y307" s="3" t="s">
        <v>2470</v>
      </c>
      <c r="Z307" s="3" t="s">
        <v>2471</v>
      </c>
      <c r="AA307" s="3" t="s">
        <v>69</v>
      </c>
      <c r="AB307" s="3" t="s">
        <v>270</v>
      </c>
      <c r="AC307" s="3" t="s">
        <v>2472</v>
      </c>
      <c r="AD307" s="14">
        <v>45505</v>
      </c>
      <c r="AE307" s="14"/>
      <c r="AF307" s="3"/>
    </row>
    <row r="308" spans="1:32" ht="409.6" hidden="1">
      <c r="A308" s="3" t="s">
        <v>2473</v>
      </c>
      <c r="B308" s="3" t="s">
        <v>2474</v>
      </c>
      <c r="C308" s="3" t="s">
        <v>2475</v>
      </c>
      <c r="D308" s="3" t="s">
        <v>59</v>
      </c>
      <c r="E308" s="3" t="s">
        <v>36</v>
      </c>
      <c r="F308" s="3" t="s">
        <v>1105</v>
      </c>
      <c r="G308" s="3" t="s">
        <v>82</v>
      </c>
      <c r="H308" s="3" t="s">
        <v>49</v>
      </c>
      <c r="I308" s="3" t="s">
        <v>2476</v>
      </c>
      <c r="J308" s="3" t="s">
        <v>528</v>
      </c>
      <c r="K308" s="3" t="s">
        <v>41</v>
      </c>
      <c r="L308" s="3" t="s">
        <v>529</v>
      </c>
      <c r="M308" s="3" t="s">
        <v>1496</v>
      </c>
      <c r="N308" s="3" t="s">
        <v>53</v>
      </c>
      <c r="O308" s="3" t="s">
        <v>94</v>
      </c>
      <c r="P308" s="3" t="s">
        <v>2477</v>
      </c>
      <c r="Q308" s="3" t="s">
        <v>2478</v>
      </c>
      <c r="R308" s="3" t="s">
        <v>36</v>
      </c>
      <c r="S308" s="3" t="s">
        <v>526</v>
      </c>
      <c r="T308" s="3" t="s">
        <v>82</v>
      </c>
      <c r="U308" s="3" t="s">
        <v>49</v>
      </c>
      <c r="V308" s="3" t="s">
        <v>2479</v>
      </c>
      <c r="W308" s="3" t="s">
        <v>528</v>
      </c>
      <c r="X308" s="3" t="s">
        <v>41</v>
      </c>
      <c r="Y308" s="3" t="s">
        <v>1626</v>
      </c>
      <c r="Z308" s="3" t="s">
        <v>1627</v>
      </c>
      <c r="AA308" s="3" t="s">
        <v>69</v>
      </c>
      <c r="AB308" s="3" t="s">
        <v>45</v>
      </c>
      <c r="AC308" s="3" t="s">
        <v>2480</v>
      </c>
      <c r="AD308" s="14">
        <v>45499</v>
      </c>
      <c r="AE308" s="14">
        <v>47325</v>
      </c>
      <c r="AF308" s="3"/>
    </row>
    <row r="309" spans="1:32" ht="184.9" hidden="1">
      <c r="A309" s="3" t="s">
        <v>1593</v>
      </c>
      <c r="B309" s="3" t="s">
        <v>1594</v>
      </c>
      <c r="C309" s="3" t="s">
        <v>2481</v>
      </c>
      <c r="D309" s="3" t="s">
        <v>59</v>
      </c>
      <c r="E309" s="3" t="s">
        <v>36</v>
      </c>
      <c r="F309" s="3" t="s">
        <v>247</v>
      </c>
      <c r="G309" s="3" t="s">
        <v>37</v>
      </c>
      <c r="H309" s="3" t="s">
        <v>38</v>
      </c>
      <c r="I309" s="3" t="s">
        <v>1596</v>
      </c>
      <c r="J309" s="3" t="s">
        <v>223</v>
      </c>
      <c r="K309" s="3" t="s">
        <v>41</v>
      </c>
      <c r="L309" s="3" t="s">
        <v>1597</v>
      </c>
      <c r="M309" s="3" t="s">
        <v>987</v>
      </c>
      <c r="N309" s="3" t="s">
        <v>44</v>
      </c>
      <c r="O309" s="3" t="s">
        <v>270</v>
      </c>
      <c r="P309" s="3" t="s">
        <v>2482</v>
      </c>
      <c r="Q309" s="3" t="s">
        <v>2483</v>
      </c>
      <c r="R309" s="3" t="s">
        <v>36</v>
      </c>
      <c r="S309" s="3" t="s">
        <v>254</v>
      </c>
      <c r="T309" s="3" t="s">
        <v>37</v>
      </c>
      <c r="U309" s="3" t="s">
        <v>38</v>
      </c>
      <c r="V309" s="3" t="s">
        <v>2484</v>
      </c>
      <c r="W309" s="3" t="s">
        <v>223</v>
      </c>
      <c r="X309" s="3" t="s">
        <v>41</v>
      </c>
      <c r="Y309" s="3" t="s">
        <v>2485</v>
      </c>
      <c r="Z309" s="3" t="s">
        <v>2124</v>
      </c>
      <c r="AA309" s="3" t="s">
        <v>53</v>
      </c>
      <c r="AB309" s="3" t="s">
        <v>270</v>
      </c>
      <c r="AC309" s="3" t="s">
        <v>2486</v>
      </c>
      <c r="AD309" s="14">
        <v>45474</v>
      </c>
      <c r="AE309" s="14">
        <v>45716</v>
      </c>
      <c r="AF309" s="3"/>
    </row>
    <row r="310" spans="1:32" ht="409.6" hidden="1">
      <c r="A310" s="3" t="s">
        <v>2140</v>
      </c>
      <c r="B310" s="3" t="s">
        <v>2141</v>
      </c>
      <c r="C310" s="3" t="s">
        <v>2411</v>
      </c>
      <c r="D310" s="3" t="s">
        <v>59</v>
      </c>
      <c r="E310" s="3" t="s">
        <v>36</v>
      </c>
      <c r="F310" s="3"/>
      <c r="G310" s="3" t="s">
        <v>37</v>
      </c>
      <c r="H310" s="3" t="s">
        <v>38</v>
      </c>
      <c r="I310" s="3" t="s">
        <v>2045</v>
      </c>
      <c r="J310" s="3" t="s">
        <v>40</v>
      </c>
      <c r="K310" s="3" t="s">
        <v>41</v>
      </c>
      <c r="L310" s="3" t="s">
        <v>2143</v>
      </c>
      <c r="M310" s="3" t="s">
        <v>2144</v>
      </c>
      <c r="N310" s="3" t="s">
        <v>79</v>
      </c>
      <c r="O310" s="3" t="s">
        <v>409</v>
      </c>
      <c r="P310" s="3" t="s">
        <v>2412</v>
      </c>
      <c r="Q310" s="3" t="s">
        <v>2413</v>
      </c>
      <c r="R310" s="3"/>
      <c r="S310" s="3" t="s">
        <v>221</v>
      </c>
      <c r="T310" s="3" t="s">
        <v>82</v>
      </c>
      <c r="U310" s="3" t="s">
        <v>73</v>
      </c>
      <c r="V310" s="3"/>
      <c r="W310" s="3" t="s">
        <v>223</v>
      </c>
      <c r="X310" s="3"/>
      <c r="Y310" s="3"/>
      <c r="Z310" s="3"/>
      <c r="AA310" s="3" t="s">
        <v>281</v>
      </c>
      <c r="AB310" s="3"/>
      <c r="AC310" s="3" t="s">
        <v>2487</v>
      </c>
      <c r="AD310" s="14">
        <v>45503</v>
      </c>
      <c r="AE310" s="14"/>
      <c r="AF310" s="3"/>
    </row>
    <row r="311" spans="1:32" ht="158.44999999999999" hidden="1">
      <c r="A311" s="3" t="s">
        <v>2488</v>
      </c>
      <c r="B311" s="3" t="s">
        <v>2489</v>
      </c>
      <c r="C311" s="3" t="s">
        <v>2490</v>
      </c>
      <c r="D311" s="3" t="s">
        <v>59</v>
      </c>
      <c r="E311" s="3" t="s">
        <v>36</v>
      </c>
      <c r="F311" s="3" t="s">
        <v>221</v>
      </c>
      <c r="G311" s="3" t="s">
        <v>37</v>
      </c>
      <c r="H311" s="3" t="s">
        <v>49</v>
      </c>
      <c r="I311" s="3" t="s">
        <v>2491</v>
      </c>
      <c r="J311" s="3" t="s">
        <v>223</v>
      </c>
      <c r="K311" s="3" t="s">
        <v>41</v>
      </c>
      <c r="L311" s="3" t="s">
        <v>2492</v>
      </c>
      <c r="M311" s="3" t="s">
        <v>2493</v>
      </c>
      <c r="N311" s="3" t="s">
        <v>79</v>
      </c>
      <c r="O311" s="3" t="s">
        <v>506</v>
      </c>
      <c r="P311" s="3" t="s">
        <v>2494</v>
      </c>
      <c r="Q311" s="3" t="s">
        <v>2495</v>
      </c>
      <c r="R311" s="3" t="s">
        <v>36</v>
      </c>
      <c r="S311" s="3" t="s">
        <v>221</v>
      </c>
      <c r="T311" s="3" t="s">
        <v>37</v>
      </c>
      <c r="U311" s="3" t="s">
        <v>49</v>
      </c>
      <c r="V311" s="3" t="s">
        <v>1307</v>
      </c>
      <c r="W311" s="3" t="s">
        <v>223</v>
      </c>
      <c r="X311" s="3" t="s">
        <v>41</v>
      </c>
      <c r="Y311" s="3" t="s">
        <v>1308</v>
      </c>
      <c r="Z311" s="3" t="s">
        <v>1615</v>
      </c>
      <c r="AA311" s="3" t="s">
        <v>63</v>
      </c>
      <c r="AB311" s="3" t="s">
        <v>226</v>
      </c>
      <c r="AC311" s="3" t="s">
        <v>2496</v>
      </c>
      <c r="AD311" s="14">
        <v>45505</v>
      </c>
      <c r="AE311" s="14">
        <v>45627</v>
      </c>
      <c r="AF311" s="3" t="s">
        <v>632</v>
      </c>
    </row>
    <row r="312" spans="1:32" ht="396" hidden="1">
      <c r="A312" s="3" t="s">
        <v>2497</v>
      </c>
      <c r="B312" s="3" t="s">
        <v>2498</v>
      </c>
      <c r="C312" s="3" t="s">
        <v>2499</v>
      </c>
      <c r="D312" s="3" t="s">
        <v>59</v>
      </c>
      <c r="E312" s="3" t="s">
        <v>36</v>
      </c>
      <c r="F312" s="3" t="s">
        <v>221</v>
      </c>
      <c r="G312" s="3" t="s">
        <v>82</v>
      </c>
      <c r="H312" s="3" t="s">
        <v>49</v>
      </c>
      <c r="I312" s="3" t="s">
        <v>2500</v>
      </c>
      <c r="J312" s="3" t="s">
        <v>223</v>
      </c>
      <c r="K312" s="3" t="s">
        <v>41</v>
      </c>
      <c r="L312" s="3" t="s">
        <v>2501</v>
      </c>
      <c r="M312" s="3" t="s">
        <v>2502</v>
      </c>
      <c r="N312" s="3" t="s">
        <v>53</v>
      </c>
      <c r="O312" s="3" t="s">
        <v>54</v>
      </c>
      <c r="P312" s="3" t="s">
        <v>2503</v>
      </c>
      <c r="Q312" s="3" t="s">
        <v>2504</v>
      </c>
      <c r="R312" s="3" t="s">
        <v>36</v>
      </c>
      <c r="S312" s="3" t="s">
        <v>221</v>
      </c>
      <c r="T312" s="3" t="s">
        <v>37</v>
      </c>
      <c r="U312" s="3" t="s">
        <v>49</v>
      </c>
      <c r="V312" s="3" t="s">
        <v>2505</v>
      </c>
      <c r="W312" s="3" t="s">
        <v>223</v>
      </c>
      <c r="X312" s="3" t="s">
        <v>41</v>
      </c>
      <c r="Y312" s="3" t="s">
        <v>230</v>
      </c>
      <c r="Z312" s="3" t="s">
        <v>231</v>
      </c>
      <c r="AA312" s="3" t="s">
        <v>79</v>
      </c>
      <c r="AB312" s="3" t="s">
        <v>100</v>
      </c>
      <c r="AC312" s="3" t="s">
        <v>2506</v>
      </c>
      <c r="AD312" s="14">
        <v>45484</v>
      </c>
      <c r="AE312" s="14"/>
      <c r="AF312" s="3"/>
    </row>
    <row r="313" spans="1:32" ht="145.15" hidden="1">
      <c r="A313" s="3" t="s">
        <v>2507</v>
      </c>
      <c r="B313" s="3" t="s">
        <v>2508</v>
      </c>
      <c r="C313" s="3" t="s">
        <v>2509</v>
      </c>
      <c r="D313" s="3" t="s">
        <v>59</v>
      </c>
      <c r="E313" s="3" t="s">
        <v>36</v>
      </c>
      <c r="F313" s="3" t="s">
        <v>247</v>
      </c>
      <c r="G313" s="3" t="s">
        <v>37</v>
      </c>
      <c r="H313" s="3" t="s">
        <v>78</v>
      </c>
      <c r="I313" s="3" t="s">
        <v>2510</v>
      </c>
      <c r="J313" s="3" t="s">
        <v>223</v>
      </c>
      <c r="K313" s="3" t="s">
        <v>41</v>
      </c>
      <c r="L313" s="3" t="s">
        <v>2511</v>
      </c>
      <c r="M313" s="3" t="s">
        <v>2323</v>
      </c>
      <c r="N313" s="3" t="s">
        <v>123</v>
      </c>
      <c r="O313" s="3" t="s">
        <v>699</v>
      </c>
      <c r="P313" s="3" t="s">
        <v>2512</v>
      </c>
      <c r="Q313" s="3" t="s">
        <v>2513</v>
      </c>
      <c r="R313" s="3" t="s">
        <v>36</v>
      </c>
      <c r="S313" s="3" t="s">
        <v>247</v>
      </c>
      <c r="T313" s="3" t="s">
        <v>82</v>
      </c>
      <c r="U313" s="3" t="s">
        <v>38</v>
      </c>
      <c r="V313" s="3" t="s">
        <v>2514</v>
      </c>
      <c r="W313" s="3" t="s">
        <v>223</v>
      </c>
      <c r="X313" s="3" t="s">
        <v>41</v>
      </c>
      <c r="Y313" s="3" t="s">
        <v>2515</v>
      </c>
      <c r="Z313" s="3" t="s">
        <v>2516</v>
      </c>
      <c r="AA313" s="3" t="s">
        <v>79</v>
      </c>
      <c r="AB313" s="3" t="s">
        <v>240</v>
      </c>
      <c r="AC313" s="3" t="s">
        <v>2517</v>
      </c>
      <c r="AD313" s="14">
        <v>45511</v>
      </c>
      <c r="AE313" s="14">
        <v>45749</v>
      </c>
      <c r="AF313" s="3" t="s">
        <v>233</v>
      </c>
    </row>
    <row r="314" spans="1:32" ht="409.6" hidden="1">
      <c r="A314" s="3" t="s">
        <v>2518</v>
      </c>
      <c r="B314" s="3" t="s">
        <v>2519</v>
      </c>
      <c r="C314" s="3" t="s">
        <v>2520</v>
      </c>
      <c r="D314" s="3" t="s">
        <v>59</v>
      </c>
      <c r="E314" s="3" t="s">
        <v>36</v>
      </c>
      <c r="F314" s="3" t="s">
        <v>274</v>
      </c>
      <c r="G314" s="3" t="s">
        <v>37</v>
      </c>
      <c r="H314" s="3" t="s">
        <v>475</v>
      </c>
      <c r="I314" s="3" t="s">
        <v>2521</v>
      </c>
      <c r="J314" s="3" t="s">
        <v>223</v>
      </c>
      <c r="K314" s="3" t="s">
        <v>41</v>
      </c>
      <c r="L314" s="3" t="s">
        <v>2522</v>
      </c>
      <c r="M314" s="3" t="s">
        <v>2523</v>
      </c>
      <c r="N314" s="3" t="s">
        <v>44</v>
      </c>
      <c r="O314" s="3" t="s">
        <v>278</v>
      </c>
      <c r="P314" s="3" t="s">
        <v>2524</v>
      </c>
      <c r="Q314" s="3" t="s">
        <v>2525</v>
      </c>
      <c r="R314" s="3"/>
      <c r="S314" s="3" t="s">
        <v>221</v>
      </c>
      <c r="T314" s="3" t="s">
        <v>37</v>
      </c>
      <c r="U314" s="3" t="s">
        <v>49</v>
      </c>
      <c r="V314" s="3"/>
      <c r="W314" s="3" t="s">
        <v>223</v>
      </c>
      <c r="X314" s="3"/>
      <c r="Y314" s="3"/>
      <c r="Z314" s="3"/>
      <c r="AA314" s="3" t="s">
        <v>285</v>
      </c>
      <c r="AB314" s="3"/>
      <c r="AC314" s="3" t="s">
        <v>2526</v>
      </c>
      <c r="AD314" s="14">
        <v>45505</v>
      </c>
      <c r="AE314" s="14">
        <v>45625</v>
      </c>
      <c r="AF314" s="3"/>
    </row>
    <row r="315" spans="1:32" ht="66" hidden="1">
      <c r="A315" s="3" t="s">
        <v>979</v>
      </c>
      <c r="B315" s="3" t="s">
        <v>980</v>
      </c>
      <c r="C315" s="3" t="s">
        <v>2527</v>
      </c>
      <c r="D315" s="3" t="s">
        <v>348</v>
      </c>
      <c r="E315" s="3" t="s">
        <v>36</v>
      </c>
      <c r="F315" s="3" t="s">
        <v>274</v>
      </c>
      <c r="G315" s="3" t="s">
        <v>82</v>
      </c>
      <c r="H315" s="3" t="s">
        <v>73</v>
      </c>
      <c r="I315" s="3" t="s">
        <v>981</v>
      </c>
      <c r="J315" s="3" t="s">
        <v>223</v>
      </c>
      <c r="K315" s="3" t="s">
        <v>41</v>
      </c>
      <c r="L315" s="3" t="s">
        <v>982</v>
      </c>
      <c r="M315" s="3" t="s">
        <v>692</v>
      </c>
      <c r="N315" s="3" t="s">
        <v>63</v>
      </c>
      <c r="O315" s="3" t="s">
        <v>658</v>
      </c>
      <c r="P315" s="3" t="s">
        <v>2528</v>
      </c>
      <c r="Q315" s="3" t="s">
        <v>2529</v>
      </c>
      <c r="R315" s="3"/>
      <c r="S315" s="3" t="s">
        <v>221</v>
      </c>
      <c r="T315" s="3" t="s">
        <v>82</v>
      </c>
      <c r="U315" s="3" t="s">
        <v>49</v>
      </c>
      <c r="V315" s="3"/>
      <c r="W315" s="3" t="s">
        <v>223</v>
      </c>
      <c r="X315" s="3"/>
      <c r="Y315" s="3"/>
      <c r="Z315" s="3"/>
      <c r="AA315" s="3" t="s">
        <v>285</v>
      </c>
      <c r="AB315" s="3"/>
      <c r="AC315" s="3" t="s">
        <v>2530</v>
      </c>
      <c r="AD315" s="14">
        <v>45536</v>
      </c>
      <c r="AE315" s="14">
        <v>45838</v>
      </c>
      <c r="AF315" s="3"/>
    </row>
    <row r="316" spans="1:32" ht="409.6" hidden="1">
      <c r="A316" s="3" t="s">
        <v>2531</v>
      </c>
      <c r="B316" s="3" t="s">
        <v>2532</v>
      </c>
      <c r="C316" s="3" t="s">
        <v>1898</v>
      </c>
      <c r="D316" s="3" t="s">
        <v>59</v>
      </c>
      <c r="E316" s="3" t="s">
        <v>36</v>
      </c>
      <c r="F316" s="3" t="s">
        <v>221</v>
      </c>
      <c r="G316" s="3" t="s">
        <v>82</v>
      </c>
      <c r="H316" s="3" t="s">
        <v>38</v>
      </c>
      <c r="I316" s="3" t="s">
        <v>2279</v>
      </c>
      <c r="J316" s="3" t="s">
        <v>223</v>
      </c>
      <c r="K316" s="3" t="s">
        <v>41</v>
      </c>
      <c r="L316" s="3" t="s">
        <v>2280</v>
      </c>
      <c r="M316" s="3" t="s">
        <v>2533</v>
      </c>
      <c r="N316" s="3" t="s">
        <v>79</v>
      </c>
      <c r="O316" s="3" t="s">
        <v>45</v>
      </c>
      <c r="P316" s="3" t="s">
        <v>1902</v>
      </c>
      <c r="Q316" s="3" t="s">
        <v>1903</v>
      </c>
      <c r="R316" s="3" t="s">
        <v>36</v>
      </c>
      <c r="S316" s="3" t="s">
        <v>221</v>
      </c>
      <c r="T316" s="3" t="s">
        <v>37</v>
      </c>
      <c r="U316" s="3" t="s">
        <v>73</v>
      </c>
      <c r="V316" s="3" t="s">
        <v>1904</v>
      </c>
      <c r="W316" s="3" t="s">
        <v>223</v>
      </c>
      <c r="X316" s="3" t="s">
        <v>41</v>
      </c>
      <c r="Y316" s="3" t="s">
        <v>1905</v>
      </c>
      <c r="Z316" s="3" t="s">
        <v>392</v>
      </c>
      <c r="AA316" s="3" t="s">
        <v>63</v>
      </c>
      <c r="AB316" s="3" t="s">
        <v>100</v>
      </c>
      <c r="AC316" s="3" t="s">
        <v>2534</v>
      </c>
      <c r="AD316" s="14">
        <v>45422</v>
      </c>
      <c r="AE316" s="14"/>
      <c r="AF316" s="3"/>
    </row>
    <row r="317" spans="1:32" ht="92.45" hidden="1">
      <c r="A317" s="3" t="s">
        <v>2535</v>
      </c>
      <c r="B317" s="3" t="s">
        <v>2536</v>
      </c>
      <c r="C317" s="3" t="s">
        <v>2537</v>
      </c>
      <c r="D317" s="3" t="s">
        <v>59</v>
      </c>
      <c r="E317" s="3" t="s">
        <v>36</v>
      </c>
      <c r="F317" s="3" t="s">
        <v>221</v>
      </c>
      <c r="G317" s="3" t="s">
        <v>37</v>
      </c>
      <c r="H317" s="3" t="s">
        <v>49</v>
      </c>
      <c r="I317" s="3" t="s">
        <v>2538</v>
      </c>
      <c r="J317" s="3" t="s">
        <v>223</v>
      </c>
      <c r="K317" s="3" t="s">
        <v>41</v>
      </c>
      <c r="L317" s="3" t="s">
        <v>2539</v>
      </c>
      <c r="M317" s="3" t="s">
        <v>93</v>
      </c>
      <c r="N317" s="3" t="s">
        <v>53</v>
      </c>
      <c r="O317" s="3" t="s">
        <v>94</v>
      </c>
      <c r="P317" s="3" t="s">
        <v>2540</v>
      </c>
      <c r="Q317" s="3" t="s">
        <v>2541</v>
      </c>
      <c r="R317" s="3" t="s">
        <v>36</v>
      </c>
      <c r="S317" s="3" t="s">
        <v>221</v>
      </c>
      <c r="T317" s="3" t="s">
        <v>37</v>
      </c>
      <c r="U317" s="3" t="s">
        <v>49</v>
      </c>
      <c r="V317" s="3" t="s">
        <v>2542</v>
      </c>
      <c r="W317" s="3" t="s">
        <v>223</v>
      </c>
      <c r="X317" s="3" t="s">
        <v>41</v>
      </c>
      <c r="Y317" s="3" t="s">
        <v>2543</v>
      </c>
      <c r="Z317" s="3" t="s">
        <v>107</v>
      </c>
      <c r="AA317" s="3" t="s">
        <v>79</v>
      </c>
      <c r="AB317" s="3" t="s">
        <v>64</v>
      </c>
      <c r="AC317" s="3" t="s">
        <v>2544</v>
      </c>
      <c r="AD317" s="14">
        <v>45474</v>
      </c>
      <c r="AE317" s="14">
        <v>45562</v>
      </c>
      <c r="AF317" s="3"/>
    </row>
    <row r="318" spans="1:32" ht="132" hidden="1">
      <c r="A318" s="3" t="s">
        <v>2452</v>
      </c>
      <c r="B318" s="3" t="s">
        <v>2453</v>
      </c>
      <c r="C318" s="3" t="s">
        <v>2545</v>
      </c>
      <c r="D318" s="3" t="s">
        <v>59</v>
      </c>
      <c r="E318" s="3" t="s">
        <v>36</v>
      </c>
      <c r="F318" s="3" t="s">
        <v>221</v>
      </c>
      <c r="G318" s="3" t="s">
        <v>82</v>
      </c>
      <c r="H318" s="3" t="s">
        <v>49</v>
      </c>
      <c r="I318" s="3" t="s">
        <v>2454</v>
      </c>
      <c r="J318" s="3" t="s">
        <v>223</v>
      </c>
      <c r="K318" s="3" t="s">
        <v>41</v>
      </c>
      <c r="L318" s="3" t="s">
        <v>2365</v>
      </c>
      <c r="M318" s="3" t="s">
        <v>657</v>
      </c>
      <c r="N318" s="3" t="s">
        <v>44</v>
      </c>
      <c r="O318" s="3" t="s">
        <v>658</v>
      </c>
      <c r="P318" s="3" t="s">
        <v>2546</v>
      </c>
      <c r="Q318" s="3" t="s">
        <v>2547</v>
      </c>
      <c r="R318" s="3" t="s">
        <v>36</v>
      </c>
      <c r="S318" s="3" t="s">
        <v>221</v>
      </c>
      <c r="T318" s="3" t="s">
        <v>37</v>
      </c>
      <c r="U318" s="3" t="s">
        <v>73</v>
      </c>
      <c r="V318" s="3" t="s">
        <v>2548</v>
      </c>
      <c r="W318" s="3" t="s">
        <v>223</v>
      </c>
      <c r="X318" s="3" t="s">
        <v>41</v>
      </c>
      <c r="Y318" s="3" t="s">
        <v>2549</v>
      </c>
      <c r="Z318" s="3" t="s">
        <v>692</v>
      </c>
      <c r="AA318" s="3" t="s">
        <v>63</v>
      </c>
      <c r="AB318" s="3" t="s">
        <v>658</v>
      </c>
      <c r="AC318" s="3" t="s">
        <v>2550</v>
      </c>
      <c r="AD318" s="14">
        <v>45432</v>
      </c>
      <c r="AE318" s="14"/>
      <c r="AF318" s="3"/>
    </row>
    <row r="319" spans="1:32" ht="52.9" hidden="1">
      <c r="A319" s="3" t="s">
        <v>2348</v>
      </c>
      <c r="B319" s="3" t="s">
        <v>2349</v>
      </c>
      <c r="C319" s="3"/>
      <c r="D319" s="3" t="s">
        <v>59</v>
      </c>
      <c r="E319" s="3" t="s">
        <v>36</v>
      </c>
      <c r="F319" s="3" t="s">
        <v>221</v>
      </c>
      <c r="G319" s="3" t="s">
        <v>37</v>
      </c>
      <c r="H319" s="3" t="s">
        <v>38</v>
      </c>
      <c r="I319" s="3" t="s">
        <v>2351</v>
      </c>
      <c r="J319" s="3" t="s">
        <v>223</v>
      </c>
      <c r="K319" s="3" t="s">
        <v>780</v>
      </c>
      <c r="L319" s="3" t="s">
        <v>2352</v>
      </c>
      <c r="M319" s="3" t="s">
        <v>2353</v>
      </c>
      <c r="N319" s="3" t="s">
        <v>44</v>
      </c>
      <c r="O319" s="3" t="s">
        <v>2354</v>
      </c>
      <c r="P319" s="3" t="s">
        <v>2551</v>
      </c>
      <c r="Q319" s="3" t="s">
        <v>2552</v>
      </c>
      <c r="R319" s="3" t="s">
        <v>36</v>
      </c>
      <c r="S319" s="3" t="s">
        <v>221</v>
      </c>
      <c r="T319" s="3" t="s">
        <v>37</v>
      </c>
      <c r="U319" s="3" t="s">
        <v>49</v>
      </c>
      <c r="V319" s="3" t="s">
        <v>2553</v>
      </c>
      <c r="W319" s="3" t="s">
        <v>223</v>
      </c>
      <c r="X319" s="3" t="s">
        <v>780</v>
      </c>
      <c r="Y319" s="3" t="s">
        <v>2554</v>
      </c>
      <c r="Z319" s="3" t="s">
        <v>2555</v>
      </c>
      <c r="AA319" s="3" t="s">
        <v>79</v>
      </c>
      <c r="AB319" s="3" t="s">
        <v>2556</v>
      </c>
      <c r="AC319" s="3" t="s">
        <v>2557</v>
      </c>
      <c r="AD319" s="14">
        <v>45566</v>
      </c>
      <c r="AE319" s="14"/>
      <c r="AF319" s="3"/>
    </row>
    <row r="320" spans="1:32" ht="409.6" hidden="1">
      <c r="A320" s="3" t="s">
        <v>2558</v>
      </c>
      <c r="B320" s="3" t="s">
        <v>2559</v>
      </c>
      <c r="C320" s="3" t="s">
        <v>2560</v>
      </c>
      <c r="D320" s="3" t="s">
        <v>59</v>
      </c>
      <c r="E320" s="3" t="s">
        <v>36</v>
      </c>
      <c r="F320" s="3" t="s">
        <v>274</v>
      </c>
      <c r="G320" s="3" t="s">
        <v>82</v>
      </c>
      <c r="H320" s="3" t="s">
        <v>78</v>
      </c>
      <c r="I320" s="3" t="s">
        <v>2561</v>
      </c>
      <c r="J320" s="3" t="s">
        <v>223</v>
      </c>
      <c r="K320" s="3" t="s">
        <v>41</v>
      </c>
      <c r="L320" s="3" t="s">
        <v>2562</v>
      </c>
      <c r="M320" s="3" t="s">
        <v>337</v>
      </c>
      <c r="N320" s="3" t="s">
        <v>53</v>
      </c>
      <c r="O320" s="3" t="s">
        <v>338</v>
      </c>
      <c r="P320" s="3" t="s">
        <v>2563</v>
      </c>
      <c r="Q320" s="3" t="s">
        <v>2564</v>
      </c>
      <c r="R320" s="3" t="s">
        <v>36</v>
      </c>
      <c r="S320" s="3" t="s">
        <v>247</v>
      </c>
      <c r="T320" s="3" t="s">
        <v>37</v>
      </c>
      <c r="U320" s="3" t="s">
        <v>49</v>
      </c>
      <c r="V320" s="3" t="s">
        <v>2565</v>
      </c>
      <c r="W320" s="3" t="s">
        <v>223</v>
      </c>
      <c r="X320" s="3" t="s">
        <v>41</v>
      </c>
      <c r="Y320" s="3" t="s">
        <v>730</v>
      </c>
      <c r="Z320" s="3" t="s">
        <v>911</v>
      </c>
      <c r="AA320" s="3" t="s">
        <v>79</v>
      </c>
      <c r="AB320" s="3" t="s">
        <v>721</v>
      </c>
      <c r="AC320" s="3" t="s">
        <v>2566</v>
      </c>
      <c r="AD320" s="14">
        <v>45554</v>
      </c>
      <c r="AE320" s="14"/>
      <c r="AF320" s="3"/>
    </row>
    <row r="321" spans="1:32" ht="409.6" hidden="1">
      <c r="A321" s="3" t="s">
        <v>374</v>
      </c>
      <c r="B321" s="3" t="s">
        <v>375</v>
      </c>
      <c r="C321" s="3" t="s">
        <v>2567</v>
      </c>
      <c r="D321" s="3" t="s">
        <v>59</v>
      </c>
      <c r="E321" s="3" t="s">
        <v>36</v>
      </c>
      <c r="F321" s="3" t="s">
        <v>221</v>
      </c>
      <c r="G321" s="3" t="s">
        <v>37</v>
      </c>
      <c r="H321" s="3" t="s">
        <v>49</v>
      </c>
      <c r="I321" s="3" t="s">
        <v>377</v>
      </c>
      <c r="J321" s="3" t="s">
        <v>223</v>
      </c>
      <c r="K321" s="3" t="s">
        <v>41</v>
      </c>
      <c r="L321" s="3" t="s">
        <v>378</v>
      </c>
      <c r="M321" s="3" t="s">
        <v>379</v>
      </c>
      <c r="N321" s="3" t="s">
        <v>79</v>
      </c>
      <c r="O321" s="3" t="s">
        <v>45</v>
      </c>
      <c r="P321" s="3" t="s">
        <v>2568</v>
      </c>
      <c r="Q321" s="3" t="s">
        <v>2569</v>
      </c>
      <c r="R321" s="3" t="s">
        <v>36</v>
      </c>
      <c r="S321" s="3" t="s">
        <v>274</v>
      </c>
      <c r="T321" s="3" t="s">
        <v>37</v>
      </c>
      <c r="U321" s="3" t="s">
        <v>49</v>
      </c>
      <c r="V321" s="3" t="s">
        <v>2570</v>
      </c>
      <c r="W321" s="3" t="s">
        <v>223</v>
      </c>
      <c r="X321" s="3" t="s">
        <v>41</v>
      </c>
      <c r="Y321" s="3" t="s">
        <v>2571</v>
      </c>
      <c r="Z321" s="3" t="s">
        <v>379</v>
      </c>
      <c r="AA321" s="3" t="s">
        <v>79</v>
      </c>
      <c r="AB321" s="3" t="s">
        <v>45</v>
      </c>
      <c r="AC321" s="3" t="s">
        <v>2572</v>
      </c>
      <c r="AD321" s="14">
        <v>45537</v>
      </c>
      <c r="AE321" s="14">
        <v>45716</v>
      </c>
      <c r="AF321" s="3"/>
    </row>
    <row r="322" spans="1:32" ht="39.6" hidden="1">
      <c r="A322" s="3" t="s">
        <v>2573</v>
      </c>
      <c r="B322" s="3" t="s">
        <v>2574</v>
      </c>
      <c r="C322" s="3"/>
      <c r="D322" s="3" t="s">
        <v>348</v>
      </c>
      <c r="E322" s="3" t="s">
        <v>36</v>
      </c>
      <c r="F322" s="3" t="s">
        <v>274</v>
      </c>
      <c r="G322" s="3" t="s">
        <v>82</v>
      </c>
      <c r="H322" s="3" t="s">
        <v>78</v>
      </c>
      <c r="I322" s="3" t="s">
        <v>2575</v>
      </c>
      <c r="J322" s="3" t="s">
        <v>223</v>
      </c>
      <c r="K322" s="3" t="s">
        <v>41</v>
      </c>
      <c r="L322" s="3" t="s">
        <v>2511</v>
      </c>
      <c r="M322" s="3" t="s">
        <v>2576</v>
      </c>
      <c r="N322" s="3" t="s">
        <v>53</v>
      </c>
      <c r="O322" s="3" t="s">
        <v>308</v>
      </c>
      <c r="P322" s="3" t="s">
        <v>2577</v>
      </c>
      <c r="Q322" s="3" t="s">
        <v>2578</v>
      </c>
      <c r="R322" s="3" t="s">
        <v>36</v>
      </c>
      <c r="S322" s="3" t="s">
        <v>221</v>
      </c>
      <c r="T322" s="3" t="s">
        <v>82</v>
      </c>
      <c r="U322" s="3" t="s">
        <v>49</v>
      </c>
      <c r="V322" s="3" t="s">
        <v>2575</v>
      </c>
      <c r="W322" s="3" t="s">
        <v>223</v>
      </c>
      <c r="X322" s="3" t="s">
        <v>41</v>
      </c>
      <c r="Y322" s="3" t="s">
        <v>2511</v>
      </c>
      <c r="Z322" s="3" t="s">
        <v>1615</v>
      </c>
      <c r="AA322" s="3" t="s">
        <v>79</v>
      </c>
      <c r="AB322" s="3" t="s">
        <v>1310</v>
      </c>
      <c r="AC322" s="3" t="s">
        <v>2579</v>
      </c>
      <c r="AD322" s="14">
        <v>45530</v>
      </c>
      <c r="AE322" s="14"/>
      <c r="AF322" s="3"/>
    </row>
    <row r="323" spans="1:32" ht="105.6" hidden="1">
      <c r="A323" s="3" t="s">
        <v>1532</v>
      </c>
      <c r="B323" s="3" t="s">
        <v>1533</v>
      </c>
      <c r="C323" s="3" t="s">
        <v>2580</v>
      </c>
      <c r="D323" s="3" t="s">
        <v>59</v>
      </c>
      <c r="E323" s="3" t="s">
        <v>36</v>
      </c>
      <c r="F323" s="3" t="s">
        <v>221</v>
      </c>
      <c r="G323" s="3" t="s">
        <v>37</v>
      </c>
      <c r="H323" s="3" t="s">
        <v>49</v>
      </c>
      <c r="I323" s="3" t="s">
        <v>1534</v>
      </c>
      <c r="J323" s="3" t="s">
        <v>223</v>
      </c>
      <c r="K323" s="3" t="s">
        <v>41</v>
      </c>
      <c r="L323" s="3" t="s">
        <v>1535</v>
      </c>
      <c r="M323" s="3" t="s">
        <v>1536</v>
      </c>
      <c r="N323" s="3" t="s">
        <v>79</v>
      </c>
      <c r="O323" s="3" t="s">
        <v>1537</v>
      </c>
      <c r="P323" s="3" t="s">
        <v>2581</v>
      </c>
      <c r="Q323" s="3" t="s">
        <v>2582</v>
      </c>
      <c r="R323" s="3" t="s">
        <v>36</v>
      </c>
      <c r="S323" s="3" t="s">
        <v>221</v>
      </c>
      <c r="T323" s="3" t="s">
        <v>37</v>
      </c>
      <c r="U323" s="3" t="s">
        <v>49</v>
      </c>
      <c r="V323" s="3" t="s">
        <v>2583</v>
      </c>
      <c r="W323" s="3" t="s">
        <v>223</v>
      </c>
      <c r="X323" s="3" t="s">
        <v>41</v>
      </c>
      <c r="Y323" s="3" t="s">
        <v>1535</v>
      </c>
      <c r="Z323" s="3" t="s">
        <v>43</v>
      </c>
      <c r="AA323" s="3" t="s">
        <v>63</v>
      </c>
      <c r="AB323" s="3" t="s">
        <v>45</v>
      </c>
      <c r="AC323" s="3" t="s">
        <v>2584</v>
      </c>
      <c r="AD323" s="14">
        <v>45511</v>
      </c>
      <c r="AE323" s="14"/>
      <c r="AF323" s="3"/>
    </row>
    <row r="324" spans="1:32" ht="39.6" hidden="1">
      <c r="A324" s="3" t="s">
        <v>2585</v>
      </c>
      <c r="B324" s="3" t="s">
        <v>2586</v>
      </c>
      <c r="C324" s="3" t="s">
        <v>2587</v>
      </c>
      <c r="D324" s="3" t="s">
        <v>59</v>
      </c>
      <c r="E324" s="3" t="s">
        <v>36</v>
      </c>
      <c r="F324" s="3" t="s">
        <v>221</v>
      </c>
      <c r="G324" s="3" t="s">
        <v>37</v>
      </c>
      <c r="H324" s="3" t="s">
        <v>49</v>
      </c>
      <c r="I324" s="3" t="s">
        <v>2588</v>
      </c>
      <c r="J324" s="3" t="s">
        <v>223</v>
      </c>
      <c r="K324" s="3" t="s">
        <v>780</v>
      </c>
      <c r="L324" s="3" t="s">
        <v>2589</v>
      </c>
      <c r="M324" s="3" t="s">
        <v>2590</v>
      </c>
      <c r="N324" s="3" t="s">
        <v>79</v>
      </c>
      <c r="O324" s="3" t="s">
        <v>295</v>
      </c>
      <c r="P324" s="3" t="s">
        <v>2591</v>
      </c>
      <c r="Q324" s="3" t="s">
        <v>2592</v>
      </c>
      <c r="R324" s="3" t="s">
        <v>36</v>
      </c>
      <c r="S324" s="3" t="s">
        <v>247</v>
      </c>
      <c r="T324" s="3" t="s">
        <v>82</v>
      </c>
      <c r="U324" s="3" t="s">
        <v>49</v>
      </c>
      <c r="V324" s="3" t="s">
        <v>2593</v>
      </c>
      <c r="W324" s="3" t="s">
        <v>223</v>
      </c>
      <c r="X324" s="3" t="s">
        <v>780</v>
      </c>
      <c r="Y324" s="3" t="s">
        <v>2594</v>
      </c>
      <c r="Z324" s="3" t="s">
        <v>1553</v>
      </c>
      <c r="AA324" s="3" t="s">
        <v>63</v>
      </c>
      <c r="AB324" s="3" t="s">
        <v>54</v>
      </c>
      <c r="AC324" s="3" t="s">
        <v>2595</v>
      </c>
      <c r="AD324" s="14">
        <v>45530</v>
      </c>
      <c r="AE324" s="14">
        <v>45895</v>
      </c>
      <c r="AF324" s="3"/>
    </row>
    <row r="325" spans="1:32" ht="409.6" hidden="1">
      <c r="A325" s="3" t="s">
        <v>2596</v>
      </c>
      <c r="B325" s="3" t="s">
        <v>2597</v>
      </c>
      <c r="C325" s="3" t="s">
        <v>2598</v>
      </c>
      <c r="D325" s="3" t="s">
        <v>59</v>
      </c>
      <c r="E325" s="3" t="s">
        <v>36</v>
      </c>
      <c r="F325" s="3" t="s">
        <v>221</v>
      </c>
      <c r="G325" s="3" t="s">
        <v>37</v>
      </c>
      <c r="H325" s="3" t="s">
        <v>49</v>
      </c>
      <c r="I325" s="3" t="s">
        <v>2599</v>
      </c>
      <c r="J325" s="3" t="s">
        <v>223</v>
      </c>
      <c r="K325" s="3" t="s">
        <v>41</v>
      </c>
      <c r="L325" s="3" t="s">
        <v>342</v>
      </c>
      <c r="M325" s="3" t="s">
        <v>343</v>
      </c>
      <c r="N325" s="3" t="s">
        <v>79</v>
      </c>
      <c r="O325" s="3" t="s">
        <v>344</v>
      </c>
      <c r="P325" s="3" t="s">
        <v>2524</v>
      </c>
      <c r="Q325" s="3" t="s">
        <v>2525</v>
      </c>
      <c r="R325" s="3"/>
      <c r="S325" s="3" t="s">
        <v>221</v>
      </c>
      <c r="T325" s="3" t="s">
        <v>37</v>
      </c>
      <c r="U325" s="3" t="s">
        <v>49</v>
      </c>
      <c r="V325" s="3"/>
      <c r="W325" s="3" t="s">
        <v>223</v>
      </c>
      <c r="X325" s="3"/>
      <c r="Y325" s="3"/>
      <c r="Z325" s="3"/>
      <c r="AA325" s="3" t="s">
        <v>285</v>
      </c>
      <c r="AB325" s="3"/>
      <c r="AC325" s="3" t="s">
        <v>2600</v>
      </c>
      <c r="AD325" s="14">
        <v>45519</v>
      </c>
      <c r="AE325" s="14">
        <v>45751</v>
      </c>
      <c r="AF325" s="3"/>
    </row>
    <row r="326" spans="1:32" ht="39.6" hidden="1">
      <c r="A326" s="3" t="s">
        <v>2601</v>
      </c>
      <c r="B326" s="3" t="s">
        <v>2602</v>
      </c>
      <c r="C326" s="3"/>
      <c r="D326" s="3" t="s">
        <v>35</v>
      </c>
      <c r="E326" s="3" t="s">
        <v>36</v>
      </c>
      <c r="F326" s="3" t="s">
        <v>247</v>
      </c>
      <c r="G326" s="3" t="s">
        <v>82</v>
      </c>
      <c r="H326" s="3" t="s">
        <v>38</v>
      </c>
      <c r="I326" s="3" t="s">
        <v>2603</v>
      </c>
      <c r="J326" s="3" t="s">
        <v>223</v>
      </c>
      <c r="K326" s="3" t="s">
        <v>41</v>
      </c>
      <c r="L326" s="3" t="s">
        <v>2604</v>
      </c>
      <c r="M326" s="3" t="s">
        <v>2281</v>
      </c>
      <c r="N326" s="3" t="s">
        <v>53</v>
      </c>
      <c r="O326" s="3" t="s">
        <v>270</v>
      </c>
      <c r="P326" s="3" t="s">
        <v>2605</v>
      </c>
      <c r="Q326" s="3" t="s">
        <v>2606</v>
      </c>
      <c r="R326" s="3" t="s">
        <v>36</v>
      </c>
      <c r="S326" s="3" t="s">
        <v>247</v>
      </c>
      <c r="T326" s="3" t="s">
        <v>82</v>
      </c>
      <c r="U326" s="3" t="s">
        <v>49</v>
      </c>
      <c r="V326" s="3" t="s">
        <v>2607</v>
      </c>
      <c r="W326" s="3" t="s">
        <v>223</v>
      </c>
      <c r="X326" s="3" t="s">
        <v>41</v>
      </c>
      <c r="Y326" s="3" t="s">
        <v>2608</v>
      </c>
      <c r="Z326" s="3" t="s">
        <v>2609</v>
      </c>
      <c r="AA326" s="3" t="s">
        <v>79</v>
      </c>
      <c r="AB326" s="3" t="s">
        <v>100</v>
      </c>
      <c r="AC326" s="3" t="s">
        <v>2610</v>
      </c>
      <c r="AD326" s="14">
        <v>44986</v>
      </c>
      <c r="AE326" s="14">
        <v>45230</v>
      </c>
      <c r="AF326" s="3"/>
    </row>
    <row r="327" spans="1:32" ht="79.150000000000006" hidden="1">
      <c r="A327" s="3" t="s">
        <v>290</v>
      </c>
      <c r="B327" s="3" t="s">
        <v>291</v>
      </c>
      <c r="C327" s="3" t="s">
        <v>2611</v>
      </c>
      <c r="D327" s="3" t="s">
        <v>59</v>
      </c>
      <c r="E327" s="3" t="s">
        <v>36</v>
      </c>
      <c r="F327" s="3" t="s">
        <v>254</v>
      </c>
      <c r="G327" s="3" t="s">
        <v>82</v>
      </c>
      <c r="H327" s="3" t="s">
        <v>78</v>
      </c>
      <c r="I327" s="3" t="s">
        <v>292</v>
      </c>
      <c r="J327" s="3" t="s">
        <v>223</v>
      </c>
      <c r="K327" s="3" t="s">
        <v>41</v>
      </c>
      <c r="L327" s="3" t="s">
        <v>293</v>
      </c>
      <c r="M327" s="3" t="s">
        <v>294</v>
      </c>
      <c r="N327" s="3" t="s">
        <v>123</v>
      </c>
      <c r="O327" s="3" t="s">
        <v>295</v>
      </c>
      <c r="P327" s="3" t="s">
        <v>1700</v>
      </c>
      <c r="Q327" s="3" t="s">
        <v>1701</v>
      </c>
      <c r="R327" s="3" t="s">
        <v>36</v>
      </c>
      <c r="S327" s="3" t="s">
        <v>274</v>
      </c>
      <c r="T327" s="3" t="s">
        <v>37</v>
      </c>
      <c r="U327" s="3" t="s">
        <v>38</v>
      </c>
      <c r="V327" s="3" t="s">
        <v>1703</v>
      </c>
      <c r="W327" s="3" t="s">
        <v>223</v>
      </c>
      <c r="X327" s="3" t="s">
        <v>41</v>
      </c>
      <c r="Y327" s="3" t="s">
        <v>1704</v>
      </c>
      <c r="Z327" s="3" t="s">
        <v>392</v>
      </c>
      <c r="AA327" s="3" t="s">
        <v>79</v>
      </c>
      <c r="AB327" s="3" t="s">
        <v>100</v>
      </c>
      <c r="AC327" s="3" t="s">
        <v>2612</v>
      </c>
      <c r="AD327" s="14">
        <v>45519</v>
      </c>
      <c r="AE327" s="14">
        <v>45626</v>
      </c>
      <c r="AF327" s="3"/>
    </row>
    <row r="328" spans="1:32" ht="39.6" hidden="1">
      <c r="A328" s="3" t="s">
        <v>2613</v>
      </c>
      <c r="B328" s="3" t="s">
        <v>2614</v>
      </c>
      <c r="C328" s="3" t="s">
        <v>2615</v>
      </c>
      <c r="D328" s="3" t="s">
        <v>59</v>
      </c>
      <c r="E328" s="3" t="s">
        <v>36</v>
      </c>
      <c r="F328" s="3" t="s">
        <v>221</v>
      </c>
      <c r="G328" s="3" t="s">
        <v>82</v>
      </c>
      <c r="H328" s="3" t="s">
        <v>38</v>
      </c>
      <c r="I328" s="3" t="s">
        <v>2616</v>
      </c>
      <c r="J328" s="3" t="s">
        <v>223</v>
      </c>
      <c r="K328" s="3" t="s">
        <v>41</v>
      </c>
      <c r="L328" s="3" t="s">
        <v>2617</v>
      </c>
      <c r="M328" s="3" t="s">
        <v>2618</v>
      </c>
      <c r="N328" s="3" t="s">
        <v>79</v>
      </c>
      <c r="O328" s="3" t="s">
        <v>201</v>
      </c>
      <c r="P328" s="3" t="s">
        <v>2619</v>
      </c>
      <c r="Q328" s="3" t="s">
        <v>2620</v>
      </c>
      <c r="R328" s="3" t="s">
        <v>36</v>
      </c>
      <c r="S328" s="3" t="s">
        <v>221</v>
      </c>
      <c r="T328" s="3" t="s">
        <v>37</v>
      </c>
      <c r="U328" s="3" t="s">
        <v>49</v>
      </c>
      <c r="V328" s="3" t="s">
        <v>2561</v>
      </c>
      <c r="W328" s="3" t="s">
        <v>223</v>
      </c>
      <c r="X328" s="3" t="s">
        <v>41</v>
      </c>
      <c r="Y328" s="3" t="s">
        <v>2621</v>
      </c>
      <c r="Z328" s="3" t="s">
        <v>2622</v>
      </c>
      <c r="AA328" s="3" t="s">
        <v>79</v>
      </c>
      <c r="AB328" s="3" t="s">
        <v>270</v>
      </c>
      <c r="AC328" s="3" t="s">
        <v>2623</v>
      </c>
      <c r="AD328" s="14">
        <v>45545</v>
      </c>
      <c r="AE328" s="14">
        <v>45639</v>
      </c>
      <c r="AF328" s="3"/>
    </row>
    <row r="329" spans="1:32" ht="290.45" hidden="1">
      <c r="A329" s="3" t="s">
        <v>2624</v>
      </c>
      <c r="B329" s="3" t="s">
        <v>2625</v>
      </c>
      <c r="C329" s="3" t="s">
        <v>2626</v>
      </c>
      <c r="D329" s="3" t="s">
        <v>59</v>
      </c>
      <c r="E329" s="3" t="s">
        <v>36</v>
      </c>
      <c r="F329" s="3" t="s">
        <v>274</v>
      </c>
      <c r="G329" s="3" t="s">
        <v>37</v>
      </c>
      <c r="H329" s="3" t="s">
        <v>38</v>
      </c>
      <c r="I329" s="3" t="s">
        <v>2627</v>
      </c>
      <c r="J329" s="3" t="s">
        <v>223</v>
      </c>
      <c r="K329" s="3" t="s">
        <v>41</v>
      </c>
      <c r="L329" s="3" t="s">
        <v>2628</v>
      </c>
      <c r="M329" s="3" t="s">
        <v>692</v>
      </c>
      <c r="N329" s="3" t="s">
        <v>79</v>
      </c>
      <c r="O329" s="3" t="s">
        <v>658</v>
      </c>
      <c r="P329" s="3" t="s">
        <v>2366</v>
      </c>
      <c r="Q329" s="3" t="s">
        <v>2367</v>
      </c>
      <c r="R329" s="3" t="s">
        <v>36</v>
      </c>
      <c r="S329" s="3" t="s">
        <v>221</v>
      </c>
      <c r="T329" s="3" t="s">
        <v>82</v>
      </c>
      <c r="U329" s="3" t="s">
        <v>73</v>
      </c>
      <c r="V329" s="3" t="s">
        <v>2368</v>
      </c>
      <c r="W329" s="3" t="s">
        <v>223</v>
      </c>
      <c r="X329" s="3" t="s">
        <v>41</v>
      </c>
      <c r="Y329" s="3" t="s">
        <v>2369</v>
      </c>
      <c r="Z329" s="3" t="s">
        <v>692</v>
      </c>
      <c r="AA329" s="3" t="s">
        <v>63</v>
      </c>
      <c r="AB329" s="3" t="s">
        <v>658</v>
      </c>
      <c r="AC329" s="3" t="s">
        <v>2629</v>
      </c>
      <c r="AD329" s="14">
        <v>45516</v>
      </c>
      <c r="AE329" s="14">
        <v>45596</v>
      </c>
      <c r="AF329" s="3"/>
    </row>
    <row r="330" spans="1:32" ht="409.6" hidden="1">
      <c r="A330" s="3" t="s">
        <v>2452</v>
      </c>
      <c r="B330" s="3" t="s">
        <v>2453</v>
      </c>
      <c r="C330" s="3" t="s">
        <v>2630</v>
      </c>
      <c r="D330" s="3" t="s">
        <v>35</v>
      </c>
      <c r="E330" s="3" t="s">
        <v>36</v>
      </c>
      <c r="F330" s="3" t="s">
        <v>221</v>
      </c>
      <c r="G330" s="3" t="s">
        <v>82</v>
      </c>
      <c r="H330" s="3" t="s">
        <v>49</v>
      </c>
      <c r="I330" s="3" t="s">
        <v>2454</v>
      </c>
      <c r="J330" s="3" t="s">
        <v>223</v>
      </c>
      <c r="K330" s="3" t="s">
        <v>41</v>
      </c>
      <c r="L330" s="3" t="s">
        <v>2365</v>
      </c>
      <c r="M330" s="3" t="s">
        <v>657</v>
      </c>
      <c r="N330" s="3" t="s">
        <v>44</v>
      </c>
      <c r="O330" s="3" t="s">
        <v>658</v>
      </c>
      <c r="P330" s="3" t="s">
        <v>2631</v>
      </c>
      <c r="Q330" s="3" t="s">
        <v>2632</v>
      </c>
      <c r="R330" s="3" t="s">
        <v>36</v>
      </c>
      <c r="S330" s="3" t="s">
        <v>247</v>
      </c>
      <c r="T330" s="3" t="s">
        <v>37</v>
      </c>
      <c r="U330" s="3" t="s">
        <v>49</v>
      </c>
      <c r="V330" s="3" t="s">
        <v>2633</v>
      </c>
      <c r="W330" s="3" t="s">
        <v>223</v>
      </c>
      <c r="X330" s="3" t="s">
        <v>41</v>
      </c>
      <c r="Y330" s="3" t="s">
        <v>2634</v>
      </c>
      <c r="Z330" s="3" t="s">
        <v>511</v>
      </c>
      <c r="AA330" s="3" t="s">
        <v>281</v>
      </c>
      <c r="AB330" s="3" t="s">
        <v>506</v>
      </c>
      <c r="AC330" s="3" t="s">
        <v>2635</v>
      </c>
      <c r="AD330" s="14">
        <v>45560</v>
      </c>
      <c r="AE330" s="14"/>
      <c r="AF330" s="3"/>
    </row>
    <row r="331" spans="1:32" ht="409.6" hidden="1">
      <c r="A331" s="3" t="s">
        <v>2585</v>
      </c>
      <c r="B331" s="3" t="s">
        <v>2586</v>
      </c>
      <c r="C331" s="3" t="s">
        <v>2636</v>
      </c>
      <c r="D331" s="3" t="s">
        <v>348</v>
      </c>
      <c r="E331" s="3" t="s">
        <v>36</v>
      </c>
      <c r="F331" s="3" t="s">
        <v>221</v>
      </c>
      <c r="G331" s="3" t="s">
        <v>37</v>
      </c>
      <c r="H331" s="3" t="s">
        <v>49</v>
      </c>
      <c r="I331" s="3" t="s">
        <v>2588</v>
      </c>
      <c r="J331" s="3" t="s">
        <v>223</v>
      </c>
      <c r="K331" s="3" t="s">
        <v>780</v>
      </c>
      <c r="L331" s="3" t="s">
        <v>2589</v>
      </c>
      <c r="M331" s="3" t="s">
        <v>2590</v>
      </c>
      <c r="N331" s="3" t="s">
        <v>79</v>
      </c>
      <c r="O331" s="3" t="s">
        <v>295</v>
      </c>
      <c r="P331" s="3" t="s">
        <v>2637</v>
      </c>
      <c r="Q331" s="3" t="s">
        <v>2638</v>
      </c>
      <c r="R331" s="3" t="s">
        <v>36</v>
      </c>
      <c r="S331" s="3"/>
      <c r="T331" s="3" t="s">
        <v>82</v>
      </c>
      <c r="U331" s="3" t="s">
        <v>49</v>
      </c>
      <c r="V331" s="3" t="s">
        <v>2639</v>
      </c>
      <c r="W331" s="3" t="s">
        <v>2339</v>
      </c>
      <c r="X331" s="3" t="s">
        <v>41</v>
      </c>
      <c r="Y331" s="3" t="s">
        <v>2340</v>
      </c>
      <c r="Z331" s="3" t="s">
        <v>2640</v>
      </c>
      <c r="AA331" s="3" t="s">
        <v>285</v>
      </c>
      <c r="AB331" s="3" t="s">
        <v>721</v>
      </c>
      <c r="AC331" s="3" t="s">
        <v>2641</v>
      </c>
      <c r="AD331" s="14">
        <v>45566</v>
      </c>
      <c r="AE331" s="14">
        <v>45931</v>
      </c>
      <c r="AF331" s="3"/>
    </row>
    <row r="332" spans="1:32" ht="39.6" hidden="1">
      <c r="A332" s="3" t="s">
        <v>2642</v>
      </c>
      <c r="B332" s="3" t="s">
        <v>2643</v>
      </c>
      <c r="C332" s="3"/>
      <c r="D332" s="3" t="s">
        <v>59</v>
      </c>
      <c r="E332" s="3" t="s">
        <v>36</v>
      </c>
      <c r="F332" s="3" t="s">
        <v>221</v>
      </c>
      <c r="G332" s="3" t="s">
        <v>37</v>
      </c>
      <c r="H332" s="3" t="s">
        <v>78</v>
      </c>
      <c r="I332" s="3" t="s">
        <v>2237</v>
      </c>
      <c r="J332" s="3" t="s">
        <v>223</v>
      </c>
      <c r="K332" s="3" t="s">
        <v>780</v>
      </c>
      <c r="L332" s="3" t="s">
        <v>2594</v>
      </c>
      <c r="M332" s="3" t="s">
        <v>2644</v>
      </c>
      <c r="N332" s="3" t="s">
        <v>79</v>
      </c>
      <c r="O332" s="3" t="s">
        <v>54</v>
      </c>
      <c r="P332" s="3" t="s">
        <v>2645</v>
      </c>
      <c r="Q332" s="3" t="s">
        <v>2646</v>
      </c>
      <c r="R332" s="3" t="s">
        <v>36</v>
      </c>
      <c r="S332" s="3" t="s">
        <v>221</v>
      </c>
      <c r="T332" s="3" t="s">
        <v>37</v>
      </c>
      <c r="U332" s="3" t="s">
        <v>49</v>
      </c>
      <c r="V332" s="3" t="s">
        <v>2647</v>
      </c>
      <c r="W332" s="3" t="s">
        <v>223</v>
      </c>
      <c r="X332" s="3" t="s">
        <v>41</v>
      </c>
      <c r="Y332" s="3" t="s">
        <v>2648</v>
      </c>
      <c r="Z332" s="3" t="s">
        <v>1672</v>
      </c>
      <c r="AA332" s="3" t="s">
        <v>79</v>
      </c>
      <c r="AB332" s="3" t="s">
        <v>240</v>
      </c>
      <c r="AC332" s="3" t="s">
        <v>2649</v>
      </c>
      <c r="AD332" s="14">
        <v>45566</v>
      </c>
      <c r="AE332" s="14">
        <v>45747</v>
      </c>
      <c r="AF332" s="3"/>
    </row>
    <row r="333" spans="1:32" ht="118.9" hidden="1">
      <c r="A333" s="3" t="s">
        <v>1299</v>
      </c>
      <c r="B333" s="3" t="s">
        <v>1300</v>
      </c>
      <c r="C333" s="3" t="s">
        <v>2650</v>
      </c>
      <c r="D333" s="3" t="s">
        <v>59</v>
      </c>
      <c r="E333" s="3" t="s">
        <v>36</v>
      </c>
      <c r="F333" s="3" t="s">
        <v>247</v>
      </c>
      <c r="G333" s="3" t="s">
        <v>37</v>
      </c>
      <c r="H333" s="3" t="s">
        <v>38</v>
      </c>
      <c r="I333" s="3" t="s">
        <v>1301</v>
      </c>
      <c r="J333" s="3" t="s">
        <v>223</v>
      </c>
      <c r="K333" s="3" t="s">
        <v>41</v>
      </c>
      <c r="L333" s="3" t="s">
        <v>1302</v>
      </c>
      <c r="M333" s="3" t="s">
        <v>1303</v>
      </c>
      <c r="N333" s="3" t="s">
        <v>79</v>
      </c>
      <c r="O333" s="3" t="s">
        <v>752</v>
      </c>
      <c r="P333" s="3" t="s">
        <v>2651</v>
      </c>
      <c r="Q333" s="3" t="s">
        <v>2652</v>
      </c>
      <c r="R333" s="3" t="s">
        <v>467</v>
      </c>
      <c r="S333" s="3" t="s">
        <v>254</v>
      </c>
      <c r="T333" s="3" t="s">
        <v>37</v>
      </c>
      <c r="U333" s="3" t="s">
        <v>49</v>
      </c>
      <c r="V333" s="3" t="s">
        <v>2653</v>
      </c>
      <c r="W333" s="3" t="s">
        <v>223</v>
      </c>
      <c r="X333" s="3" t="s">
        <v>41</v>
      </c>
      <c r="Y333" s="3" t="s">
        <v>2654</v>
      </c>
      <c r="Z333" s="3" t="s">
        <v>2655</v>
      </c>
      <c r="AA333" s="3" t="s">
        <v>63</v>
      </c>
      <c r="AB333" s="3" t="s">
        <v>752</v>
      </c>
      <c r="AC333" s="3" t="s">
        <v>2656</v>
      </c>
      <c r="AD333" s="14">
        <v>45534</v>
      </c>
      <c r="AE333" s="14"/>
      <c r="AF333" s="3"/>
    </row>
    <row r="334" spans="1:32" ht="224.45" hidden="1">
      <c r="A334" s="3" t="s">
        <v>2596</v>
      </c>
      <c r="B334" s="3" t="s">
        <v>2597</v>
      </c>
      <c r="C334" s="3" t="s">
        <v>2657</v>
      </c>
      <c r="D334" s="3" t="s">
        <v>59</v>
      </c>
      <c r="E334" s="3" t="s">
        <v>36</v>
      </c>
      <c r="F334" s="3" t="s">
        <v>221</v>
      </c>
      <c r="G334" s="3" t="s">
        <v>37</v>
      </c>
      <c r="H334" s="3" t="s">
        <v>49</v>
      </c>
      <c r="I334" s="3" t="s">
        <v>2599</v>
      </c>
      <c r="J334" s="3" t="s">
        <v>223</v>
      </c>
      <c r="K334" s="3" t="s">
        <v>41</v>
      </c>
      <c r="L334" s="3" t="s">
        <v>342</v>
      </c>
      <c r="M334" s="3" t="s">
        <v>343</v>
      </c>
      <c r="N334" s="3" t="s">
        <v>79</v>
      </c>
      <c r="O334" s="3" t="s">
        <v>344</v>
      </c>
      <c r="P334" s="3" t="s">
        <v>2658</v>
      </c>
      <c r="Q334" s="3" t="s">
        <v>2659</v>
      </c>
      <c r="R334" s="3"/>
      <c r="S334" s="3" t="s">
        <v>221</v>
      </c>
      <c r="T334" s="3" t="s">
        <v>37</v>
      </c>
      <c r="U334" s="3" t="s">
        <v>49</v>
      </c>
      <c r="V334" s="3"/>
      <c r="W334" s="3" t="s">
        <v>223</v>
      </c>
      <c r="X334" s="3"/>
      <c r="Y334" s="3"/>
      <c r="Z334" s="3"/>
      <c r="AA334" s="3" t="s">
        <v>79</v>
      </c>
      <c r="AB334" s="3"/>
      <c r="AC334" s="3" t="s">
        <v>2660</v>
      </c>
      <c r="AD334" s="14">
        <v>45566</v>
      </c>
      <c r="AE334" s="14"/>
      <c r="AF334" s="3"/>
    </row>
    <row r="335" spans="1:32" ht="356.45" hidden="1">
      <c r="A335" s="3" t="s">
        <v>524</v>
      </c>
      <c r="B335" s="3" t="s">
        <v>525</v>
      </c>
      <c r="C335" s="3" t="s">
        <v>2661</v>
      </c>
      <c r="D335" s="3" t="s">
        <v>59</v>
      </c>
      <c r="E335" s="3" t="s">
        <v>36</v>
      </c>
      <c r="F335" s="3" t="s">
        <v>526</v>
      </c>
      <c r="G335" s="3" t="s">
        <v>37</v>
      </c>
      <c r="H335" s="3" t="s">
        <v>78</v>
      </c>
      <c r="I335" s="3" t="s">
        <v>527</v>
      </c>
      <c r="J335" s="3" t="s">
        <v>528</v>
      </c>
      <c r="K335" s="3" t="s">
        <v>41</v>
      </c>
      <c r="L335" s="3" t="s">
        <v>529</v>
      </c>
      <c r="M335" s="3" t="s">
        <v>530</v>
      </c>
      <c r="N335" s="3" t="s">
        <v>53</v>
      </c>
      <c r="O335" s="3" t="s">
        <v>278</v>
      </c>
      <c r="P335" s="3" t="s">
        <v>2662</v>
      </c>
      <c r="Q335" s="3" t="s">
        <v>2663</v>
      </c>
      <c r="R335" s="3" t="s">
        <v>36</v>
      </c>
      <c r="S335" s="3" t="s">
        <v>526</v>
      </c>
      <c r="T335" s="3" t="s">
        <v>37</v>
      </c>
      <c r="U335" s="3" t="s">
        <v>49</v>
      </c>
      <c r="V335" s="3" t="s">
        <v>2664</v>
      </c>
      <c r="W335" s="3" t="s">
        <v>528</v>
      </c>
      <c r="X335" s="3" t="s">
        <v>41</v>
      </c>
      <c r="Y335" s="3" t="s">
        <v>2665</v>
      </c>
      <c r="Z335" s="3" t="s">
        <v>2666</v>
      </c>
      <c r="AA335" s="3" t="s">
        <v>79</v>
      </c>
      <c r="AB335" s="3" t="s">
        <v>571</v>
      </c>
      <c r="AC335" s="3" t="s">
        <v>2667</v>
      </c>
      <c r="AD335" s="14">
        <v>45566</v>
      </c>
      <c r="AE335" s="14">
        <v>45687</v>
      </c>
      <c r="AF335" s="3"/>
    </row>
    <row r="336" spans="1:32" ht="369.6" hidden="1">
      <c r="A336" s="3" t="s">
        <v>2668</v>
      </c>
      <c r="B336" s="3" t="s">
        <v>2669</v>
      </c>
      <c r="C336" s="3" t="s">
        <v>2670</v>
      </c>
      <c r="D336" s="3" t="s">
        <v>59</v>
      </c>
      <c r="E336" s="3" t="s">
        <v>36</v>
      </c>
      <c r="F336" s="3" t="s">
        <v>254</v>
      </c>
      <c r="G336" s="3" t="s">
        <v>37</v>
      </c>
      <c r="H336" s="3" t="s">
        <v>38</v>
      </c>
      <c r="I336" s="3" t="s">
        <v>2671</v>
      </c>
      <c r="J336" s="3" t="s">
        <v>223</v>
      </c>
      <c r="K336" s="3" t="s">
        <v>41</v>
      </c>
      <c r="L336" s="3" t="s">
        <v>2672</v>
      </c>
      <c r="M336" s="3" t="s">
        <v>2425</v>
      </c>
      <c r="N336" s="3" t="s">
        <v>79</v>
      </c>
      <c r="O336" s="3" t="s">
        <v>64</v>
      </c>
      <c r="P336" s="3" t="s">
        <v>2673</v>
      </c>
      <c r="Q336" s="3" t="s">
        <v>2674</v>
      </c>
      <c r="R336" s="3" t="s">
        <v>36</v>
      </c>
      <c r="S336" s="3" t="s">
        <v>221</v>
      </c>
      <c r="T336" s="3" t="s">
        <v>37</v>
      </c>
      <c r="U336" s="3" t="s">
        <v>49</v>
      </c>
      <c r="V336" s="3" t="s">
        <v>2675</v>
      </c>
      <c r="W336" s="3" t="s">
        <v>223</v>
      </c>
      <c r="X336" s="3" t="s">
        <v>41</v>
      </c>
      <c r="Y336" s="3" t="s">
        <v>2676</v>
      </c>
      <c r="Z336" s="3" t="s">
        <v>2425</v>
      </c>
      <c r="AA336" s="3" t="s">
        <v>79</v>
      </c>
      <c r="AB336" s="3" t="s">
        <v>116</v>
      </c>
      <c r="AC336" s="3" t="s">
        <v>2677</v>
      </c>
      <c r="AD336" s="14">
        <v>45561</v>
      </c>
      <c r="AE336" s="14">
        <v>45992</v>
      </c>
      <c r="AF336" s="3"/>
    </row>
    <row r="337" spans="1:32" ht="224.45" hidden="1">
      <c r="A337" s="3" t="s">
        <v>2678</v>
      </c>
      <c r="B337" s="3" t="s">
        <v>2679</v>
      </c>
      <c r="C337" s="3" t="s">
        <v>2680</v>
      </c>
      <c r="D337" s="3" t="s">
        <v>59</v>
      </c>
      <c r="E337" s="3" t="s">
        <v>36</v>
      </c>
      <c r="F337" s="3" t="s">
        <v>274</v>
      </c>
      <c r="G337" s="3" t="s">
        <v>82</v>
      </c>
      <c r="H337" s="3" t="s">
        <v>78</v>
      </c>
      <c r="I337" s="3" t="s">
        <v>1287</v>
      </c>
      <c r="J337" s="3" t="s">
        <v>223</v>
      </c>
      <c r="K337" s="3" t="s">
        <v>41</v>
      </c>
      <c r="L337" s="3" t="s">
        <v>1288</v>
      </c>
      <c r="M337" s="3" t="s">
        <v>1289</v>
      </c>
      <c r="N337" s="3" t="s">
        <v>53</v>
      </c>
      <c r="O337" s="3" t="s">
        <v>240</v>
      </c>
      <c r="P337" s="3" t="s">
        <v>2681</v>
      </c>
      <c r="Q337" s="3" t="s">
        <v>2682</v>
      </c>
      <c r="R337" s="3" t="s">
        <v>36</v>
      </c>
      <c r="S337" s="3" t="s">
        <v>221</v>
      </c>
      <c r="T337" s="3" t="s">
        <v>82</v>
      </c>
      <c r="U337" s="3" t="s">
        <v>73</v>
      </c>
      <c r="V337" s="3" t="s">
        <v>2683</v>
      </c>
      <c r="W337" s="3" t="s">
        <v>223</v>
      </c>
      <c r="X337" s="3" t="s">
        <v>41</v>
      </c>
      <c r="Y337" s="3" t="s">
        <v>2684</v>
      </c>
      <c r="Z337" s="3" t="s">
        <v>225</v>
      </c>
      <c r="AA337" s="3" t="s">
        <v>63</v>
      </c>
      <c r="AB337" s="3" t="s">
        <v>226</v>
      </c>
      <c r="AC337" s="3" t="s">
        <v>2685</v>
      </c>
      <c r="AD337" s="14">
        <v>45572</v>
      </c>
      <c r="AE337" s="14">
        <v>45930</v>
      </c>
      <c r="AF337" s="3"/>
    </row>
    <row r="338" spans="1:32" ht="409.6" hidden="1">
      <c r="A338" s="3" t="s">
        <v>930</v>
      </c>
      <c r="B338" s="3" t="s">
        <v>931</v>
      </c>
      <c r="C338" s="3" t="s">
        <v>2686</v>
      </c>
      <c r="D338" s="3" t="s">
        <v>59</v>
      </c>
      <c r="E338" s="3" t="s">
        <v>36</v>
      </c>
      <c r="F338" s="3" t="s">
        <v>274</v>
      </c>
      <c r="G338" s="3" t="s">
        <v>37</v>
      </c>
      <c r="H338" s="3" t="s">
        <v>49</v>
      </c>
      <c r="I338" s="3" t="s">
        <v>932</v>
      </c>
      <c r="J338" s="3" t="s">
        <v>223</v>
      </c>
      <c r="K338" s="3" t="s">
        <v>41</v>
      </c>
      <c r="L338" s="3" t="s">
        <v>933</v>
      </c>
      <c r="M338" s="3" t="s">
        <v>337</v>
      </c>
      <c r="N338" s="3" t="s">
        <v>79</v>
      </c>
      <c r="O338" s="3" t="s">
        <v>338</v>
      </c>
      <c r="P338" s="3" t="s">
        <v>2687</v>
      </c>
      <c r="Q338" s="3" t="s">
        <v>2688</v>
      </c>
      <c r="R338" s="3" t="s">
        <v>36</v>
      </c>
      <c r="S338" s="3" t="s">
        <v>221</v>
      </c>
      <c r="T338" s="3" t="s">
        <v>37</v>
      </c>
      <c r="U338" s="3" t="s">
        <v>49</v>
      </c>
      <c r="V338" s="3" t="s">
        <v>2689</v>
      </c>
      <c r="W338" s="3" t="s">
        <v>223</v>
      </c>
      <c r="X338" s="3" t="s">
        <v>41</v>
      </c>
      <c r="Y338" s="3" t="s">
        <v>2690</v>
      </c>
      <c r="Z338" s="3" t="s">
        <v>1012</v>
      </c>
      <c r="AA338" s="3" t="s">
        <v>79</v>
      </c>
      <c r="AB338" s="3" t="s">
        <v>86</v>
      </c>
      <c r="AC338" s="3" t="s">
        <v>2691</v>
      </c>
      <c r="AD338" s="14">
        <v>45566</v>
      </c>
      <c r="AE338" s="14">
        <v>45777</v>
      </c>
      <c r="AF338" s="3"/>
    </row>
    <row r="339" spans="1:32" ht="290.45" hidden="1">
      <c r="A339" s="3" t="s">
        <v>2692</v>
      </c>
      <c r="B339" s="3" t="s">
        <v>2693</v>
      </c>
      <c r="C339" s="3" t="s">
        <v>2694</v>
      </c>
      <c r="D339" s="3" t="s">
        <v>59</v>
      </c>
      <c r="E339" s="3" t="s">
        <v>36</v>
      </c>
      <c r="F339" s="3" t="s">
        <v>274</v>
      </c>
      <c r="G339" s="3" t="s">
        <v>37</v>
      </c>
      <c r="H339" s="3" t="s">
        <v>78</v>
      </c>
      <c r="I339" s="3" t="s">
        <v>2695</v>
      </c>
      <c r="J339" s="3" t="s">
        <v>223</v>
      </c>
      <c r="K339" s="3" t="s">
        <v>41</v>
      </c>
      <c r="L339" s="3" t="s">
        <v>2696</v>
      </c>
      <c r="M339" s="3" t="s">
        <v>2697</v>
      </c>
      <c r="N339" s="3" t="s">
        <v>123</v>
      </c>
      <c r="O339" s="3" t="s">
        <v>54</v>
      </c>
      <c r="P339" s="3" t="s">
        <v>2698</v>
      </c>
      <c r="Q339" s="3" t="s">
        <v>2699</v>
      </c>
      <c r="R339" s="3" t="s">
        <v>36</v>
      </c>
      <c r="S339" s="3" t="s">
        <v>221</v>
      </c>
      <c r="T339" s="3" t="s">
        <v>37</v>
      </c>
      <c r="U339" s="3" t="s">
        <v>38</v>
      </c>
      <c r="V339" s="3" t="s">
        <v>2700</v>
      </c>
      <c r="W339" s="3" t="s">
        <v>223</v>
      </c>
      <c r="X339" s="3" t="s">
        <v>41</v>
      </c>
      <c r="Y339" s="3" t="s">
        <v>2397</v>
      </c>
      <c r="Z339" s="3" t="s">
        <v>1748</v>
      </c>
      <c r="AA339" s="3" t="s">
        <v>79</v>
      </c>
      <c r="AB339" s="3" t="s">
        <v>86</v>
      </c>
      <c r="AC339" s="3" t="s">
        <v>2701</v>
      </c>
      <c r="AD339" s="14">
        <v>45566</v>
      </c>
      <c r="AE339" s="14"/>
      <c r="AF339" s="3"/>
    </row>
    <row r="340" spans="1:32" ht="132" hidden="1">
      <c r="A340" s="3" t="s">
        <v>2702</v>
      </c>
      <c r="B340" s="3" t="s">
        <v>2703</v>
      </c>
      <c r="C340" s="3" t="s">
        <v>2704</v>
      </c>
      <c r="D340" s="3" t="s">
        <v>59</v>
      </c>
      <c r="E340" s="3" t="s">
        <v>36</v>
      </c>
      <c r="F340" s="3" t="s">
        <v>221</v>
      </c>
      <c r="G340" s="3" t="s">
        <v>82</v>
      </c>
      <c r="H340" s="3" t="s">
        <v>49</v>
      </c>
      <c r="I340" s="3" t="s">
        <v>2705</v>
      </c>
      <c r="J340" s="3" t="s">
        <v>223</v>
      </c>
      <c r="K340" s="3" t="s">
        <v>41</v>
      </c>
      <c r="L340" s="3" t="s">
        <v>2706</v>
      </c>
      <c r="M340" s="3" t="s">
        <v>911</v>
      </c>
      <c r="N340" s="3" t="s">
        <v>63</v>
      </c>
      <c r="O340" s="3" t="s">
        <v>721</v>
      </c>
      <c r="P340" s="3" t="s">
        <v>2344</v>
      </c>
      <c r="Q340" s="3" t="s">
        <v>2345</v>
      </c>
      <c r="R340" s="3"/>
      <c r="S340" s="3" t="s">
        <v>221</v>
      </c>
      <c r="T340" s="3" t="s">
        <v>37</v>
      </c>
      <c r="U340" s="3" t="s">
        <v>73</v>
      </c>
      <c r="V340" s="3"/>
      <c r="W340" s="3" t="s">
        <v>223</v>
      </c>
      <c r="X340" s="3"/>
      <c r="Y340" s="3"/>
      <c r="Z340" s="3"/>
      <c r="AA340" s="3" t="s">
        <v>285</v>
      </c>
      <c r="AB340" s="3"/>
      <c r="AC340" s="3" t="s">
        <v>2707</v>
      </c>
      <c r="AD340" s="14">
        <v>45565</v>
      </c>
      <c r="AE340" s="14">
        <v>45626</v>
      </c>
      <c r="AF340" s="3"/>
    </row>
    <row r="341" spans="1:32" ht="39.6" hidden="1">
      <c r="A341" s="3" t="s">
        <v>2708</v>
      </c>
      <c r="B341" s="3" t="s">
        <v>2709</v>
      </c>
      <c r="C341" s="3"/>
      <c r="D341" s="3" t="s">
        <v>59</v>
      </c>
      <c r="E341" s="3" t="s">
        <v>36</v>
      </c>
      <c r="F341" s="3" t="s">
        <v>221</v>
      </c>
      <c r="G341" s="3" t="s">
        <v>37</v>
      </c>
      <c r="H341" s="3" t="s">
        <v>49</v>
      </c>
      <c r="I341" s="3" t="s">
        <v>2710</v>
      </c>
      <c r="J341" s="3" t="s">
        <v>223</v>
      </c>
      <c r="K341" s="3" t="s">
        <v>41</v>
      </c>
      <c r="L341" s="3" t="s">
        <v>2711</v>
      </c>
      <c r="M341" s="3" t="s">
        <v>2712</v>
      </c>
      <c r="N341" s="3" t="s">
        <v>63</v>
      </c>
      <c r="O341" s="3" t="s">
        <v>240</v>
      </c>
      <c r="P341" s="3" t="s">
        <v>2713</v>
      </c>
      <c r="Q341" s="3" t="s">
        <v>2714</v>
      </c>
      <c r="R341" s="3" t="s">
        <v>36</v>
      </c>
      <c r="S341" s="3" t="s">
        <v>221</v>
      </c>
      <c r="T341" s="3" t="s">
        <v>82</v>
      </c>
      <c r="U341" s="3" t="s">
        <v>49</v>
      </c>
      <c r="V341" s="3" t="s">
        <v>2715</v>
      </c>
      <c r="W341" s="3" t="s">
        <v>223</v>
      </c>
      <c r="X341" s="3" t="s">
        <v>41</v>
      </c>
      <c r="Y341" s="3" t="s">
        <v>2716</v>
      </c>
      <c r="Z341" s="3" t="s">
        <v>1836</v>
      </c>
      <c r="AA341" s="3" t="s">
        <v>53</v>
      </c>
      <c r="AB341" s="3" t="s">
        <v>1837</v>
      </c>
      <c r="AC341" s="3" t="s">
        <v>2717</v>
      </c>
      <c r="AD341" s="14">
        <v>45572</v>
      </c>
      <c r="AE341" s="14"/>
      <c r="AF341" s="3"/>
    </row>
    <row r="342" spans="1:32" ht="356.45" hidden="1">
      <c r="A342" s="3" t="s">
        <v>398</v>
      </c>
      <c r="B342" s="3" t="s">
        <v>399</v>
      </c>
      <c r="C342" s="3" t="s">
        <v>2718</v>
      </c>
      <c r="D342" s="3" t="s">
        <v>59</v>
      </c>
      <c r="E342" s="3" t="s">
        <v>36</v>
      </c>
      <c r="F342" s="3"/>
      <c r="G342" s="3" t="s">
        <v>82</v>
      </c>
      <c r="H342" s="3" t="s">
        <v>49</v>
      </c>
      <c r="I342" s="3" t="s">
        <v>400</v>
      </c>
      <c r="J342" s="3" t="s">
        <v>40</v>
      </c>
      <c r="K342" s="3" t="s">
        <v>41</v>
      </c>
      <c r="L342" s="3" t="s">
        <v>401</v>
      </c>
      <c r="M342" s="3" t="s">
        <v>402</v>
      </c>
      <c r="N342" s="3" t="s">
        <v>79</v>
      </c>
      <c r="O342" s="3" t="s">
        <v>116</v>
      </c>
      <c r="P342" s="3" t="s">
        <v>2719</v>
      </c>
      <c r="Q342" s="3" t="s">
        <v>2720</v>
      </c>
      <c r="R342" s="3"/>
      <c r="S342" s="3" t="s">
        <v>48</v>
      </c>
      <c r="T342" s="3" t="s">
        <v>82</v>
      </c>
      <c r="U342" s="3" t="s">
        <v>73</v>
      </c>
      <c r="V342" s="3"/>
      <c r="W342" s="3" t="s">
        <v>40</v>
      </c>
      <c r="X342" s="3"/>
      <c r="Y342" s="3"/>
      <c r="Z342" s="3"/>
      <c r="AA342" s="3" t="s">
        <v>281</v>
      </c>
      <c r="AB342" s="3"/>
      <c r="AC342" s="3" t="s">
        <v>2721</v>
      </c>
      <c r="AD342" s="14">
        <v>45572</v>
      </c>
      <c r="AE342" s="14">
        <v>45657</v>
      </c>
      <c r="AF342" s="3"/>
    </row>
    <row r="343" spans="1:32" ht="92.45" hidden="1">
      <c r="A343" s="3" t="s">
        <v>2318</v>
      </c>
      <c r="B343" s="3" t="s">
        <v>2319</v>
      </c>
      <c r="C343" s="3" t="s">
        <v>2722</v>
      </c>
      <c r="D343" s="3" t="s">
        <v>59</v>
      </c>
      <c r="E343" s="3" t="s">
        <v>36</v>
      </c>
      <c r="F343" s="3" t="s">
        <v>247</v>
      </c>
      <c r="G343" s="3" t="s">
        <v>37</v>
      </c>
      <c r="H343" s="3" t="s">
        <v>49</v>
      </c>
      <c r="I343" s="3" t="s">
        <v>2321</v>
      </c>
      <c r="J343" s="3" t="s">
        <v>223</v>
      </c>
      <c r="K343" s="3" t="s">
        <v>41</v>
      </c>
      <c r="L343" s="3" t="s">
        <v>2322</v>
      </c>
      <c r="M343" s="3" t="s">
        <v>2323</v>
      </c>
      <c r="N343" s="3" t="s">
        <v>53</v>
      </c>
      <c r="O343" s="3" t="s">
        <v>699</v>
      </c>
      <c r="P343" s="3" t="s">
        <v>2723</v>
      </c>
      <c r="Q343" s="3" t="s">
        <v>2724</v>
      </c>
      <c r="R343" s="3" t="s">
        <v>36</v>
      </c>
      <c r="S343" s="3" t="s">
        <v>247</v>
      </c>
      <c r="T343" s="3" t="s">
        <v>37</v>
      </c>
      <c r="U343" s="3" t="s">
        <v>49</v>
      </c>
      <c r="V343" s="3" t="s">
        <v>2725</v>
      </c>
      <c r="W343" s="3" t="s">
        <v>223</v>
      </c>
      <c r="X343" s="3" t="s">
        <v>41</v>
      </c>
      <c r="Y343" s="3" t="s">
        <v>2511</v>
      </c>
      <c r="Z343" s="3" t="s">
        <v>225</v>
      </c>
      <c r="AA343" s="3" t="s">
        <v>281</v>
      </c>
      <c r="AB343" s="3" t="s">
        <v>226</v>
      </c>
      <c r="AC343" s="3" t="s">
        <v>2726</v>
      </c>
      <c r="AD343" s="14">
        <v>45569</v>
      </c>
      <c r="AE343" s="14">
        <v>46477</v>
      </c>
      <c r="AF343" s="3" t="s">
        <v>233</v>
      </c>
    </row>
    <row r="344" spans="1:32" ht="409.6" hidden="1">
      <c r="A344" s="3" t="s">
        <v>2727</v>
      </c>
      <c r="B344" s="3" t="s">
        <v>2728</v>
      </c>
      <c r="C344" s="3" t="s">
        <v>2729</v>
      </c>
      <c r="D344" s="3" t="s">
        <v>35</v>
      </c>
      <c r="E344" s="3" t="s">
        <v>36</v>
      </c>
      <c r="F344" s="3" t="s">
        <v>221</v>
      </c>
      <c r="G344" s="3" t="s">
        <v>37</v>
      </c>
      <c r="H344" s="3" t="s">
        <v>38</v>
      </c>
      <c r="I344" s="3" t="s">
        <v>2730</v>
      </c>
      <c r="J344" s="3" t="s">
        <v>223</v>
      </c>
      <c r="K344" s="3" t="s">
        <v>41</v>
      </c>
      <c r="L344" s="3" t="s">
        <v>2436</v>
      </c>
      <c r="M344" s="3" t="s">
        <v>330</v>
      </c>
      <c r="N344" s="3" t="s">
        <v>44</v>
      </c>
      <c r="O344" s="3" t="s">
        <v>64</v>
      </c>
      <c r="P344" s="3" t="s">
        <v>2731</v>
      </c>
      <c r="Q344" s="3" t="s">
        <v>2732</v>
      </c>
      <c r="R344" s="3"/>
      <c r="S344" s="3" t="s">
        <v>221</v>
      </c>
      <c r="T344" s="3" t="s">
        <v>37</v>
      </c>
      <c r="U344" s="3" t="s">
        <v>38</v>
      </c>
      <c r="V344" s="3"/>
      <c r="W344" s="3" t="s">
        <v>223</v>
      </c>
      <c r="X344" s="3"/>
      <c r="Y344" s="3"/>
      <c r="Z344" s="3"/>
      <c r="AA344" s="3" t="s">
        <v>79</v>
      </c>
      <c r="AB344" s="3"/>
      <c r="AC344" s="3" t="s">
        <v>2733</v>
      </c>
      <c r="AD344" s="14">
        <v>45579</v>
      </c>
      <c r="AE344" s="14">
        <v>46011</v>
      </c>
      <c r="AF344" s="3"/>
    </row>
    <row r="345" spans="1:32" ht="39.6" hidden="1">
      <c r="A345" s="3" t="s">
        <v>1233</v>
      </c>
      <c r="B345" s="3" t="s">
        <v>1234</v>
      </c>
      <c r="C345" s="3"/>
      <c r="D345" s="3" t="s">
        <v>59</v>
      </c>
      <c r="E345" s="3" t="s">
        <v>36</v>
      </c>
      <c r="F345" s="3" t="s">
        <v>221</v>
      </c>
      <c r="G345" s="3" t="s">
        <v>82</v>
      </c>
      <c r="H345" s="3" t="s">
        <v>78</v>
      </c>
      <c r="I345" s="3" t="s">
        <v>1236</v>
      </c>
      <c r="J345" s="3" t="s">
        <v>223</v>
      </c>
      <c r="K345" s="3" t="s">
        <v>41</v>
      </c>
      <c r="L345" s="3" t="s">
        <v>1237</v>
      </c>
      <c r="M345" s="3" t="s">
        <v>1238</v>
      </c>
      <c r="N345" s="3" t="s">
        <v>123</v>
      </c>
      <c r="O345" s="3" t="s">
        <v>1239</v>
      </c>
      <c r="P345" s="3" t="s">
        <v>2734</v>
      </c>
      <c r="Q345" s="3" t="s">
        <v>2735</v>
      </c>
      <c r="R345" s="3" t="s">
        <v>36</v>
      </c>
      <c r="S345" s="3" t="s">
        <v>254</v>
      </c>
      <c r="T345" s="3" t="s">
        <v>82</v>
      </c>
      <c r="U345" s="3" t="s">
        <v>49</v>
      </c>
      <c r="V345" s="3" t="s">
        <v>2736</v>
      </c>
      <c r="W345" s="3" t="s">
        <v>223</v>
      </c>
      <c r="X345" s="3" t="s">
        <v>41</v>
      </c>
      <c r="Y345" s="3" t="s">
        <v>2737</v>
      </c>
      <c r="Z345" s="3" t="s">
        <v>2124</v>
      </c>
      <c r="AA345" s="3" t="s">
        <v>53</v>
      </c>
      <c r="AB345" s="3" t="s">
        <v>270</v>
      </c>
      <c r="AC345" s="3" t="s">
        <v>2738</v>
      </c>
      <c r="AD345" s="14">
        <v>45588</v>
      </c>
      <c r="AE345" s="14">
        <v>45629</v>
      </c>
      <c r="AF345" s="3"/>
    </row>
    <row r="346" spans="1:32" ht="39.6" hidden="1">
      <c r="A346" s="3" t="s">
        <v>2739</v>
      </c>
      <c r="B346" s="3" t="s">
        <v>2740</v>
      </c>
      <c r="C346" s="3" t="s">
        <v>2741</v>
      </c>
      <c r="D346" s="3" t="s">
        <v>348</v>
      </c>
      <c r="E346" s="3" t="s">
        <v>36</v>
      </c>
      <c r="F346" s="3" t="s">
        <v>274</v>
      </c>
      <c r="G346" s="3" t="s">
        <v>82</v>
      </c>
      <c r="H346" s="3" t="s">
        <v>49</v>
      </c>
      <c r="I346" s="3" t="s">
        <v>2742</v>
      </c>
      <c r="J346" s="3" t="s">
        <v>223</v>
      </c>
      <c r="K346" s="3" t="s">
        <v>780</v>
      </c>
      <c r="L346" s="3" t="s">
        <v>2743</v>
      </c>
      <c r="M346" s="3" t="s">
        <v>2168</v>
      </c>
      <c r="N346" s="3" t="s">
        <v>53</v>
      </c>
      <c r="O346" s="3" t="s">
        <v>643</v>
      </c>
      <c r="P346" s="3" t="s">
        <v>2744</v>
      </c>
      <c r="Q346" s="3" t="s">
        <v>2745</v>
      </c>
      <c r="R346" s="3" t="s">
        <v>36</v>
      </c>
      <c r="S346" s="3" t="s">
        <v>221</v>
      </c>
      <c r="T346" s="3" t="s">
        <v>82</v>
      </c>
      <c r="U346" s="3" t="s">
        <v>78</v>
      </c>
      <c r="V346" s="3" t="s">
        <v>2746</v>
      </c>
      <c r="W346" s="3" t="s">
        <v>223</v>
      </c>
      <c r="X346" s="3" t="s">
        <v>780</v>
      </c>
      <c r="Y346" s="3" t="s">
        <v>2747</v>
      </c>
      <c r="Z346" s="3" t="s">
        <v>2148</v>
      </c>
      <c r="AA346" s="3" t="s">
        <v>63</v>
      </c>
      <c r="AB346" s="3" t="s">
        <v>643</v>
      </c>
      <c r="AC346" s="3" t="s">
        <v>2748</v>
      </c>
      <c r="AD346" s="14">
        <v>45572</v>
      </c>
      <c r="AE346" s="14">
        <v>45961</v>
      </c>
      <c r="AF346" s="3"/>
    </row>
    <row r="347" spans="1:32" ht="39.6" hidden="1">
      <c r="A347" s="3" t="s">
        <v>501</v>
      </c>
      <c r="B347" s="3" t="s">
        <v>502</v>
      </c>
      <c r="C347" s="3"/>
      <c r="D347" s="3" t="s">
        <v>59</v>
      </c>
      <c r="E347" s="3" t="s">
        <v>36</v>
      </c>
      <c r="F347" s="3" t="s">
        <v>274</v>
      </c>
      <c r="G347" s="3" t="s">
        <v>37</v>
      </c>
      <c r="H347" s="3" t="s">
        <v>78</v>
      </c>
      <c r="I347" s="3" t="s">
        <v>503</v>
      </c>
      <c r="J347" s="3" t="s">
        <v>223</v>
      </c>
      <c r="K347" s="3" t="s">
        <v>41</v>
      </c>
      <c r="L347" s="3" t="s">
        <v>504</v>
      </c>
      <c r="M347" s="3" t="s">
        <v>505</v>
      </c>
      <c r="N347" s="3" t="s">
        <v>53</v>
      </c>
      <c r="O347" s="3" t="s">
        <v>506</v>
      </c>
      <c r="P347" s="3" t="s">
        <v>2749</v>
      </c>
      <c r="Q347" s="3" t="s">
        <v>2750</v>
      </c>
      <c r="R347" s="3" t="s">
        <v>36</v>
      </c>
      <c r="S347" s="3" t="s">
        <v>221</v>
      </c>
      <c r="T347" s="3" t="s">
        <v>82</v>
      </c>
      <c r="U347" s="3" t="s">
        <v>38</v>
      </c>
      <c r="V347" s="3" t="s">
        <v>2751</v>
      </c>
      <c r="W347" s="3" t="s">
        <v>223</v>
      </c>
      <c r="X347" s="3" t="s">
        <v>41</v>
      </c>
      <c r="Y347" s="3" t="s">
        <v>2752</v>
      </c>
      <c r="Z347" s="3" t="s">
        <v>2753</v>
      </c>
      <c r="AA347" s="3" t="s">
        <v>63</v>
      </c>
      <c r="AB347" s="3" t="s">
        <v>2118</v>
      </c>
      <c r="AC347" s="3" t="s">
        <v>2754</v>
      </c>
      <c r="AD347" s="14">
        <v>45596</v>
      </c>
      <c r="AE347" s="14"/>
      <c r="AF347" s="3"/>
    </row>
    <row r="348" spans="1:32" ht="316.89999999999998" hidden="1">
      <c r="A348" s="3" t="s">
        <v>2755</v>
      </c>
      <c r="B348" s="3" t="s">
        <v>2756</v>
      </c>
      <c r="C348" s="3" t="s">
        <v>2757</v>
      </c>
      <c r="D348" s="3" t="s">
        <v>35</v>
      </c>
      <c r="E348" s="3" t="s">
        <v>36</v>
      </c>
      <c r="F348" s="3" t="s">
        <v>274</v>
      </c>
      <c r="G348" s="3" t="s">
        <v>82</v>
      </c>
      <c r="H348" s="3" t="s">
        <v>38</v>
      </c>
      <c r="I348" s="3" t="s">
        <v>957</v>
      </c>
      <c r="J348" s="3" t="s">
        <v>223</v>
      </c>
      <c r="K348" s="3" t="s">
        <v>41</v>
      </c>
      <c r="L348" s="3" t="s">
        <v>2758</v>
      </c>
      <c r="M348" s="3" t="s">
        <v>2759</v>
      </c>
      <c r="N348" s="3" t="s">
        <v>123</v>
      </c>
      <c r="O348" s="3" t="s">
        <v>811</v>
      </c>
      <c r="P348" s="3" t="s">
        <v>2760</v>
      </c>
      <c r="Q348" s="3" t="s">
        <v>2761</v>
      </c>
      <c r="R348" s="3" t="s">
        <v>36</v>
      </c>
      <c r="S348" s="3" t="s">
        <v>221</v>
      </c>
      <c r="T348" s="3" t="s">
        <v>82</v>
      </c>
      <c r="U348" s="3" t="s">
        <v>49</v>
      </c>
      <c r="V348" s="3" t="s">
        <v>2762</v>
      </c>
      <c r="W348" s="3" t="s">
        <v>223</v>
      </c>
      <c r="X348" s="3" t="s">
        <v>780</v>
      </c>
      <c r="Y348" s="3" t="s">
        <v>2763</v>
      </c>
      <c r="Z348" s="3" t="s">
        <v>313</v>
      </c>
      <c r="AA348" s="3" t="s">
        <v>281</v>
      </c>
      <c r="AB348" s="3" t="s">
        <v>308</v>
      </c>
      <c r="AC348" s="3" t="s">
        <v>2764</v>
      </c>
      <c r="AD348" s="14">
        <v>45597</v>
      </c>
      <c r="AE348" s="14">
        <v>45930</v>
      </c>
      <c r="AF348" s="3"/>
    </row>
    <row r="349" spans="1:32" ht="52.9" hidden="1">
      <c r="A349" s="3" t="s">
        <v>2765</v>
      </c>
      <c r="B349" s="3" t="s">
        <v>2766</v>
      </c>
      <c r="C349" s="3" t="s">
        <v>2767</v>
      </c>
      <c r="D349" s="3" t="s">
        <v>348</v>
      </c>
      <c r="E349" s="3" t="s">
        <v>36</v>
      </c>
      <c r="F349" s="3" t="s">
        <v>274</v>
      </c>
      <c r="G349" s="3" t="s">
        <v>82</v>
      </c>
      <c r="H349" s="3" t="s">
        <v>78</v>
      </c>
      <c r="I349" s="3" t="s">
        <v>2768</v>
      </c>
      <c r="J349" s="3" t="s">
        <v>223</v>
      </c>
      <c r="K349" s="3" t="s">
        <v>780</v>
      </c>
      <c r="L349" s="3" t="s">
        <v>2769</v>
      </c>
      <c r="M349" s="3" t="s">
        <v>2770</v>
      </c>
      <c r="N349" s="3" t="s">
        <v>44</v>
      </c>
      <c r="O349" s="3" t="s">
        <v>385</v>
      </c>
      <c r="P349" s="3" t="s">
        <v>2771</v>
      </c>
      <c r="Q349" s="3" t="s">
        <v>2772</v>
      </c>
      <c r="R349" s="3"/>
      <c r="S349" s="3" t="s">
        <v>274</v>
      </c>
      <c r="T349" s="3" t="s">
        <v>82</v>
      </c>
      <c r="U349" s="3" t="s">
        <v>78</v>
      </c>
      <c r="V349" s="3"/>
      <c r="W349" s="3" t="s">
        <v>223</v>
      </c>
      <c r="X349" s="3"/>
      <c r="Y349" s="3"/>
      <c r="Z349" s="3"/>
      <c r="AA349" s="3" t="s">
        <v>79</v>
      </c>
      <c r="AB349" s="3"/>
      <c r="AC349" s="3" t="s">
        <v>2773</v>
      </c>
      <c r="AD349" s="14">
        <v>45572</v>
      </c>
      <c r="AE349" s="14">
        <v>45936</v>
      </c>
      <c r="AF349" s="3"/>
    </row>
    <row r="350" spans="1:32" ht="79.150000000000006" hidden="1">
      <c r="A350" s="3" t="s">
        <v>2642</v>
      </c>
      <c r="B350" s="3" t="s">
        <v>2643</v>
      </c>
      <c r="C350" s="3" t="s">
        <v>2774</v>
      </c>
      <c r="D350" s="3" t="s">
        <v>59</v>
      </c>
      <c r="E350" s="3" t="s">
        <v>36</v>
      </c>
      <c r="F350" s="3" t="s">
        <v>221</v>
      </c>
      <c r="G350" s="3" t="s">
        <v>37</v>
      </c>
      <c r="H350" s="3" t="s">
        <v>78</v>
      </c>
      <c r="I350" s="3" t="s">
        <v>2237</v>
      </c>
      <c r="J350" s="3" t="s">
        <v>223</v>
      </c>
      <c r="K350" s="3" t="s">
        <v>780</v>
      </c>
      <c r="L350" s="3" t="s">
        <v>2594</v>
      </c>
      <c r="M350" s="3" t="s">
        <v>2644</v>
      </c>
      <c r="N350" s="3" t="s">
        <v>79</v>
      </c>
      <c r="O350" s="3" t="s">
        <v>54</v>
      </c>
      <c r="P350" s="3" t="s">
        <v>2775</v>
      </c>
      <c r="Q350" s="3" t="s">
        <v>2776</v>
      </c>
      <c r="R350" s="3" t="s">
        <v>36</v>
      </c>
      <c r="S350" s="3" t="s">
        <v>254</v>
      </c>
      <c r="T350" s="3" t="s">
        <v>37</v>
      </c>
      <c r="U350" s="3" t="s">
        <v>38</v>
      </c>
      <c r="V350" s="3" t="s">
        <v>2777</v>
      </c>
      <c r="W350" s="3" t="s">
        <v>223</v>
      </c>
      <c r="X350" s="3" t="s">
        <v>780</v>
      </c>
      <c r="Y350" s="3" t="s">
        <v>2778</v>
      </c>
      <c r="Z350" s="3" t="s">
        <v>2779</v>
      </c>
      <c r="AA350" s="3" t="s">
        <v>53</v>
      </c>
      <c r="AB350" s="3" t="s">
        <v>116</v>
      </c>
      <c r="AC350" s="3" t="s">
        <v>2780</v>
      </c>
      <c r="AD350" s="14">
        <v>45597</v>
      </c>
      <c r="AE350" s="14">
        <v>45716</v>
      </c>
      <c r="AF350" s="3"/>
    </row>
    <row r="351" spans="1:32" ht="66" hidden="1">
      <c r="A351" s="3" t="s">
        <v>2781</v>
      </c>
      <c r="B351" s="3" t="s">
        <v>2782</v>
      </c>
      <c r="C351" s="3" t="s">
        <v>2783</v>
      </c>
      <c r="D351" s="3" t="s">
        <v>59</v>
      </c>
      <c r="E351" s="3" t="s">
        <v>36</v>
      </c>
      <c r="F351" s="3" t="s">
        <v>254</v>
      </c>
      <c r="G351" s="3" t="s">
        <v>82</v>
      </c>
      <c r="H351" s="3" t="s">
        <v>38</v>
      </c>
      <c r="I351" s="3" t="s">
        <v>2784</v>
      </c>
      <c r="J351" s="3" t="s">
        <v>223</v>
      </c>
      <c r="K351" s="3" t="s">
        <v>41</v>
      </c>
      <c r="L351" s="3" t="s">
        <v>2785</v>
      </c>
      <c r="M351" s="3" t="s">
        <v>43</v>
      </c>
      <c r="N351" s="3" t="s">
        <v>44</v>
      </c>
      <c r="O351" s="3" t="s">
        <v>45</v>
      </c>
      <c r="P351" s="3" t="s">
        <v>2786</v>
      </c>
      <c r="Q351" s="3" t="s">
        <v>2787</v>
      </c>
      <c r="R351" s="3" t="s">
        <v>36</v>
      </c>
      <c r="S351" s="3" t="s">
        <v>221</v>
      </c>
      <c r="T351" s="3" t="s">
        <v>37</v>
      </c>
      <c r="U351" s="3" t="s">
        <v>49</v>
      </c>
      <c r="V351" s="3" t="s">
        <v>2788</v>
      </c>
      <c r="W351" s="3" t="s">
        <v>223</v>
      </c>
      <c r="X351" s="3" t="s">
        <v>41</v>
      </c>
      <c r="Y351" s="3" t="s">
        <v>2617</v>
      </c>
      <c r="Z351" s="3" t="s">
        <v>2789</v>
      </c>
      <c r="AA351" s="3" t="s">
        <v>53</v>
      </c>
      <c r="AB351" s="3" t="s">
        <v>1837</v>
      </c>
      <c r="AC351" s="3" t="s">
        <v>2790</v>
      </c>
      <c r="AD351" s="14">
        <v>45331</v>
      </c>
      <c r="AE351" s="14"/>
      <c r="AF351" s="3"/>
    </row>
    <row r="352" spans="1:32" ht="39.6" hidden="1">
      <c r="A352" s="3" t="s">
        <v>2791</v>
      </c>
      <c r="B352" s="3" t="s">
        <v>2792</v>
      </c>
      <c r="C352" s="3" t="s">
        <v>2793</v>
      </c>
      <c r="D352" s="3" t="s">
        <v>59</v>
      </c>
      <c r="E352" s="3" t="s">
        <v>36</v>
      </c>
      <c r="F352" s="3" t="s">
        <v>247</v>
      </c>
      <c r="G352" s="3" t="s">
        <v>37</v>
      </c>
      <c r="H352" s="3" t="s">
        <v>49</v>
      </c>
      <c r="I352" s="3" t="s">
        <v>2794</v>
      </c>
      <c r="J352" s="3" t="s">
        <v>223</v>
      </c>
      <c r="K352" s="3" t="s">
        <v>41</v>
      </c>
      <c r="L352" s="3" t="s">
        <v>2795</v>
      </c>
      <c r="M352" s="3" t="s">
        <v>2796</v>
      </c>
      <c r="N352" s="3" t="s">
        <v>53</v>
      </c>
      <c r="O352" s="3" t="s">
        <v>270</v>
      </c>
      <c r="P352" s="3" t="s">
        <v>2797</v>
      </c>
      <c r="Q352" s="3" t="s">
        <v>2798</v>
      </c>
      <c r="R352" s="3" t="s">
        <v>36</v>
      </c>
      <c r="S352" s="3" t="s">
        <v>247</v>
      </c>
      <c r="T352" s="3" t="s">
        <v>37</v>
      </c>
      <c r="U352" s="3" t="s">
        <v>73</v>
      </c>
      <c r="V352" s="3" t="s">
        <v>2799</v>
      </c>
      <c r="W352" s="3" t="s">
        <v>223</v>
      </c>
      <c r="X352" s="3" t="s">
        <v>41</v>
      </c>
      <c r="Y352" s="3" t="s">
        <v>2800</v>
      </c>
      <c r="Z352" s="3" t="s">
        <v>2801</v>
      </c>
      <c r="AA352" s="3" t="s">
        <v>63</v>
      </c>
      <c r="AB352" s="3" t="s">
        <v>270</v>
      </c>
      <c r="AC352" s="3" t="s">
        <v>2802</v>
      </c>
      <c r="AD352" s="14">
        <v>45579</v>
      </c>
      <c r="AE352" s="14"/>
      <c r="AF352" s="3"/>
    </row>
    <row r="353" spans="1:32" ht="52.9" hidden="1">
      <c r="A353" s="3" t="s">
        <v>2803</v>
      </c>
      <c r="B353" s="3" t="s">
        <v>2804</v>
      </c>
      <c r="C353" s="3" t="s">
        <v>2805</v>
      </c>
      <c r="D353" s="3" t="s">
        <v>348</v>
      </c>
      <c r="E353" s="3" t="s">
        <v>36</v>
      </c>
      <c r="F353" s="3" t="s">
        <v>274</v>
      </c>
      <c r="G353" s="3" t="s">
        <v>82</v>
      </c>
      <c r="H353" s="3" t="s">
        <v>78</v>
      </c>
      <c r="I353" s="3" t="s">
        <v>2806</v>
      </c>
      <c r="J353" s="3" t="s">
        <v>223</v>
      </c>
      <c r="K353" s="3" t="s">
        <v>780</v>
      </c>
      <c r="L353" s="3" t="s">
        <v>2747</v>
      </c>
      <c r="M353" s="3" t="s">
        <v>2807</v>
      </c>
      <c r="N353" s="3" t="s">
        <v>53</v>
      </c>
      <c r="O353" s="3" t="s">
        <v>643</v>
      </c>
      <c r="P353" s="3" t="s">
        <v>2808</v>
      </c>
      <c r="Q353" s="3" t="s">
        <v>2809</v>
      </c>
      <c r="R353" s="3"/>
      <c r="S353" s="3" t="s">
        <v>221</v>
      </c>
      <c r="T353" s="3" t="s">
        <v>82</v>
      </c>
      <c r="U353" s="3" t="s">
        <v>73</v>
      </c>
      <c r="V353" s="3"/>
      <c r="W353" s="3" t="s">
        <v>223</v>
      </c>
      <c r="X353" s="3"/>
      <c r="Y353" s="3"/>
      <c r="Z353" s="3"/>
      <c r="AA353" s="3" t="s">
        <v>281</v>
      </c>
      <c r="AB353" s="3"/>
      <c r="AC353" s="3" t="s">
        <v>2810</v>
      </c>
      <c r="AD353" s="14">
        <v>45572</v>
      </c>
      <c r="AE353" s="14"/>
      <c r="AF353" s="3"/>
    </row>
    <row r="354" spans="1:32" ht="39.6" hidden="1">
      <c r="A354" s="3" t="s">
        <v>2811</v>
      </c>
      <c r="B354" s="3" t="s">
        <v>2812</v>
      </c>
      <c r="C354" s="3" t="s">
        <v>2813</v>
      </c>
      <c r="D354" s="3" t="s">
        <v>348</v>
      </c>
      <c r="E354" s="3" t="s">
        <v>36</v>
      </c>
      <c r="F354" s="3" t="s">
        <v>221</v>
      </c>
      <c r="G354" s="3" t="s">
        <v>37</v>
      </c>
      <c r="H354" s="3" t="s">
        <v>38</v>
      </c>
      <c r="I354" s="3" t="s">
        <v>2742</v>
      </c>
      <c r="J354" s="3" t="s">
        <v>223</v>
      </c>
      <c r="K354" s="3" t="s">
        <v>780</v>
      </c>
      <c r="L354" s="3" t="s">
        <v>2743</v>
      </c>
      <c r="M354" s="3" t="s">
        <v>2168</v>
      </c>
      <c r="N354" s="3" t="s">
        <v>44</v>
      </c>
      <c r="O354" s="3" t="s">
        <v>643</v>
      </c>
      <c r="P354" s="3" t="s">
        <v>2814</v>
      </c>
      <c r="Q354" s="3" t="s">
        <v>2815</v>
      </c>
      <c r="R354" s="3" t="s">
        <v>36</v>
      </c>
      <c r="S354" s="3" t="s">
        <v>254</v>
      </c>
      <c r="T354" s="3" t="s">
        <v>37</v>
      </c>
      <c r="U354" s="3" t="s">
        <v>49</v>
      </c>
      <c r="V354" s="3" t="s">
        <v>2746</v>
      </c>
      <c r="W354" s="3" t="s">
        <v>223</v>
      </c>
      <c r="X354" s="3" t="s">
        <v>780</v>
      </c>
      <c r="Y354" s="3" t="s">
        <v>2747</v>
      </c>
      <c r="Z354" s="3" t="s">
        <v>2148</v>
      </c>
      <c r="AA354" s="3" t="s">
        <v>281</v>
      </c>
      <c r="AB354" s="3" t="s">
        <v>643</v>
      </c>
      <c r="AC354" s="3" t="s">
        <v>2816</v>
      </c>
      <c r="AD354" s="14">
        <v>45574</v>
      </c>
      <c r="AE354" s="14">
        <v>45961</v>
      </c>
      <c r="AF354" s="3"/>
    </row>
    <row r="355" spans="1:32" ht="409.15" hidden="1">
      <c r="A355" s="3" t="s">
        <v>2817</v>
      </c>
      <c r="B355" s="3" t="s">
        <v>2818</v>
      </c>
      <c r="C355" s="3" t="s">
        <v>2819</v>
      </c>
      <c r="D355" s="3" t="s">
        <v>59</v>
      </c>
      <c r="E355" s="3" t="s">
        <v>36</v>
      </c>
      <c r="F355" s="3" t="s">
        <v>247</v>
      </c>
      <c r="G355" s="3" t="s">
        <v>82</v>
      </c>
      <c r="H355" s="3" t="s">
        <v>38</v>
      </c>
      <c r="I355" s="3" t="s">
        <v>994</v>
      </c>
      <c r="J355" s="3" t="s">
        <v>223</v>
      </c>
      <c r="K355" s="3" t="s">
        <v>41</v>
      </c>
      <c r="L355" s="3" t="s">
        <v>995</v>
      </c>
      <c r="M355" s="3" t="s">
        <v>2820</v>
      </c>
      <c r="N355" s="3" t="s">
        <v>53</v>
      </c>
      <c r="O355" s="3" t="s">
        <v>1239</v>
      </c>
      <c r="P355" s="3" t="s">
        <v>2821</v>
      </c>
      <c r="Q355" s="3" t="s">
        <v>2822</v>
      </c>
      <c r="R355" s="3" t="s">
        <v>36</v>
      </c>
      <c r="S355" s="3" t="s">
        <v>247</v>
      </c>
      <c r="T355" s="3" t="s">
        <v>82</v>
      </c>
      <c r="U355" s="3" t="s">
        <v>49</v>
      </c>
      <c r="V355" s="3" t="s">
        <v>2823</v>
      </c>
      <c r="W355" s="3" t="s">
        <v>223</v>
      </c>
      <c r="X355" s="3" t="s">
        <v>41</v>
      </c>
      <c r="Y355" s="3" t="s">
        <v>2824</v>
      </c>
      <c r="Z355" s="3" t="s">
        <v>2825</v>
      </c>
      <c r="AA355" s="3" t="s">
        <v>63</v>
      </c>
      <c r="AB355" s="3" t="s">
        <v>699</v>
      </c>
      <c r="AC355" s="3" t="s">
        <v>2826</v>
      </c>
      <c r="AD355" s="14">
        <v>45597</v>
      </c>
      <c r="AE355" s="14">
        <v>45717</v>
      </c>
      <c r="AF355" s="3" t="s">
        <v>56</v>
      </c>
    </row>
    <row r="356" spans="1:32" ht="52.9" hidden="1">
      <c r="A356" s="3" t="s">
        <v>2827</v>
      </c>
      <c r="B356" s="3" t="s">
        <v>2828</v>
      </c>
      <c r="C356" s="3" t="s">
        <v>2829</v>
      </c>
      <c r="D356" s="3" t="s">
        <v>348</v>
      </c>
      <c r="E356" s="3" t="s">
        <v>36</v>
      </c>
      <c r="F356" s="3" t="s">
        <v>247</v>
      </c>
      <c r="G356" s="3" t="s">
        <v>82</v>
      </c>
      <c r="H356" s="3" t="s">
        <v>38</v>
      </c>
      <c r="I356" s="3" t="s">
        <v>2830</v>
      </c>
      <c r="J356" s="3" t="s">
        <v>223</v>
      </c>
      <c r="K356" s="3" t="s">
        <v>41</v>
      </c>
      <c r="L356" s="3" t="s">
        <v>2831</v>
      </c>
      <c r="M356" s="3" t="s">
        <v>2832</v>
      </c>
      <c r="N356" s="3" t="s">
        <v>53</v>
      </c>
      <c r="O356" s="3" t="s">
        <v>1239</v>
      </c>
      <c r="P356" s="3" t="s">
        <v>2833</v>
      </c>
      <c r="Q356" s="3" t="s">
        <v>2834</v>
      </c>
      <c r="R356" s="3" t="s">
        <v>36</v>
      </c>
      <c r="S356" s="3" t="s">
        <v>247</v>
      </c>
      <c r="T356" s="3" t="s">
        <v>82</v>
      </c>
      <c r="U356" s="3" t="s">
        <v>49</v>
      </c>
      <c r="V356" s="3" t="s">
        <v>2835</v>
      </c>
      <c r="W356" s="3" t="s">
        <v>223</v>
      </c>
      <c r="X356" s="3" t="s">
        <v>41</v>
      </c>
      <c r="Y356" s="3" t="s">
        <v>2836</v>
      </c>
      <c r="Z356" s="3" t="s">
        <v>2837</v>
      </c>
      <c r="AA356" s="3" t="s">
        <v>63</v>
      </c>
      <c r="AB356" s="3" t="s">
        <v>240</v>
      </c>
      <c r="AC356" s="3" t="s">
        <v>2838</v>
      </c>
      <c r="AD356" s="14">
        <v>45555</v>
      </c>
      <c r="AE356" s="14">
        <v>45708</v>
      </c>
      <c r="AF356" s="3"/>
    </row>
    <row r="357" spans="1:32" ht="79.150000000000006" hidden="1">
      <c r="A357" s="3" t="s">
        <v>2839</v>
      </c>
      <c r="B357" s="3" t="s">
        <v>2840</v>
      </c>
      <c r="C357" s="3" t="s">
        <v>2841</v>
      </c>
      <c r="D357" s="3" t="s">
        <v>593</v>
      </c>
      <c r="E357" s="3" t="s">
        <v>36</v>
      </c>
      <c r="F357" s="3" t="s">
        <v>221</v>
      </c>
      <c r="G357" s="3" t="s">
        <v>82</v>
      </c>
      <c r="H357" s="3" t="s">
        <v>49</v>
      </c>
      <c r="I357" s="3" t="s">
        <v>1670</v>
      </c>
      <c r="J357" s="3" t="s">
        <v>223</v>
      </c>
      <c r="K357" s="3" t="s">
        <v>41</v>
      </c>
      <c r="L357" s="3" t="s">
        <v>1671</v>
      </c>
      <c r="M357" s="3" t="s">
        <v>796</v>
      </c>
      <c r="N357" s="3" t="s">
        <v>63</v>
      </c>
      <c r="O357" s="3" t="s">
        <v>699</v>
      </c>
      <c r="P357" s="3" t="s">
        <v>2842</v>
      </c>
      <c r="Q357" s="3" t="s">
        <v>2843</v>
      </c>
      <c r="R357" s="3" t="s">
        <v>467</v>
      </c>
      <c r="S357" s="3" t="s">
        <v>221</v>
      </c>
      <c r="T357" s="3" t="s">
        <v>37</v>
      </c>
      <c r="U357" s="3" t="s">
        <v>49</v>
      </c>
      <c r="V357" s="3" t="s">
        <v>2210</v>
      </c>
      <c r="W357" s="3" t="s">
        <v>223</v>
      </c>
      <c r="X357" s="3" t="s">
        <v>41</v>
      </c>
      <c r="Y357" s="3" t="s">
        <v>2211</v>
      </c>
      <c r="Z357" s="3" t="s">
        <v>2212</v>
      </c>
      <c r="AA357" s="3" t="s">
        <v>63</v>
      </c>
      <c r="AB357" s="3" t="s">
        <v>100</v>
      </c>
      <c r="AC357" s="3" t="s">
        <v>2844</v>
      </c>
      <c r="AD357" s="14">
        <v>45597</v>
      </c>
      <c r="AE357" s="14"/>
      <c r="AF357" s="3"/>
    </row>
    <row r="358" spans="1:32" ht="39.6" hidden="1">
      <c r="A358" s="3" t="s">
        <v>2739</v>
      </c>
      <c r="B358" s="3" t="s">
        <v>2740</v>
      </c>
      <c r="C358" s="3" t="s">
        <v>2845</v>
      </c>
      <c r="D358" s="3" t="s">
        <v>348</v>
      </c>
      <c r="E358" s="3" t="s">
        <v>36</v>
      </c>
      <c r="F358" s="3" t="s">
        <v>274</v>
      </c>
      <c r="G358" s="3" t="s">
        <v>82</v>
      </c>
      <c r="H358" s="3" t="s">
        <v>49</v>
      </c>
      <c r="I358" s="3" t="s">
        <v>2742</v>
      </c>
      <c r="J358" s="3" t="s">
        <v>223</v>
      </c>
      <c r="K358" s="3" t="s">
        <v>780</v>
      </c>
      <c r="L358" s="3" t="s">
        <v>2743</v>
      </c>
      <c r="M358" s="3" t="s">
        <v>2168</v>
      </c>
      <c r="N358" s="3" t="s">
        <v>53</v>
      </c>
      <c r="O358" s="3" t="s">
        <v>643</v>
      </c>
      <c r="P358" s="3" t="s">
        <v>2846</v>
      </c>
      <c r="Q358" s="3" t="s">
        <v>2847</v>
      </c>
      <c r="R358" s="3" t="s">
        <v>36</v>
      </c>
      <c r="S358" s="3" t="s">
        <v>247</v>
      </c>
      <c r="T358" s="3" t="s">
        <v>37</v>
      </c>
      <c r="U358" s="3" t="s">
        <v>49</v>
      </c>
      <c r="V358" s="3" t="s">
        <v>2806</v>
      </c>
      <c r="W358" s="3" t="s">
        <v>223</v>
      </c>
      <c r="X358" s="3" t="s">
        <v>780</v>
      </c>
      <c r="Y358" s="3" t="s">
        <v>2747</v>
      </c>
      <c r="Z358" s="3" t="s">
        <v>2807</v>
      </c>
      <c r="AA358" s="3" t="s">
        <v>79</v>
      </c>
      <c r="AB358" s="3" t="s">
        <v>643</v>
      </c>
      <c r="AC358" s="3" t="s">
        <v>2848</v>
      </c>
      <c r="AD358" s="14">
        <v>45581</v>
      </c>
      <c r="AE358" s="14">
        <v>46022</v>
      </c>
      <c r="AF358" s="3"/>
    </row>
    <row r="359" spans="1:32" ht="52.9" hidden="1">
      <c r="A359" s="3" t="s">
        <v>2849</v>
      </c>
      <c r="B359" s="3" t="s">
        <v>2850</v>
      </c>
      <c r="C359" s="3" t="s">
        <v>2805</v>
      </c>
      <c r="D359" s="3" t="s">
        <v>687</v>
      </c>
      <c r="E359" s="3" t="s">
        <v>36</v>
      </c>
      <c r="F359" s="3" t="s">
        <v>274</v>
      </c>
      <c r="G359" s="3" t="s">
        <v>82</v>
      </c>
      <c r="H359" s="3" t="s">
        <v>38</v>
      </c>
      <c r="I359" s="3" t="s">
        <v>2851</v>
      </c>
      <c r="J359" s="3" t="s">
        <v>223</v>
      </c>
      <c r="K359" s="3" t="s">
        <v>780</v>
      </c>
      <c r="L359" s="3" t="s">
        <v>2852</v>
      </c>
      <c r="M359" s="3" t="s">
        <v>2853</v>
      </c>
      <c r="N359" s="3" t="s">
        <v>53</v>
      </c>
      <c r="O359" s="3" t="s">
        <v>643</v>
      </c>
      <c r="P359" s="3" t="s">
        <v>2854</v>
      </c>
      <c r="Q359" s="3" t="s">
        <v>2855</v>
      </c>
      <c r="R359" s="3"/>
      <c r="S359" s="3" t="s">
        <v>221</v>
      </c>
      <c r="T359" s="3" t="s">
        <v>82</v>
      </c>
      <c r="U359" s="3" t="s">
        <v>49</v>
      </c>
      <c r="V359" s="3"/>
      <c r="W359" s="3" t="s">
        <v>223</v>
      </c>
      <c r="X359" s="3"/>
      <c r="Y359" s="3"/>
      <c r="Z359" s="3"/>
      <c r="AA359" s="3" t="s">
        <v>281</v>
      </c>
      <c r="AB359" s="3"/>
      <c r="AC359" s="3" t="s">
        <v>2856</v>
      </c>
      <c r="AD359" s="14">
        <v>45566</v>
      </c>
      <c r="AE359" s="14">
        <v>45931</v>
      </c>
      <c r="AF359" s="3"/>
    </row>
    <row r="360" spans="1:32" ht="39.6" hidden="1">
      <c r="A360" s="3" t="s">
        <v>2857</v>
      </c>
      <c r="B360" s="3" t="s">
        <v>2858</v>
      </c>
      <c r="C360" s="3" t="s">
        <v>2859</v>
      </c>
      <c r="D360" s="3" t="s">
        <v>687</v>
      </c>
      <c r="E360" s="3" t="s">
        <v>36</v>
      </c>
      <c r="F360" s="3" t="s">
        <v>274</v>
      </c>
      <c r="G360" s="3" t="s">
        <v>82</v>
      </c>
      <c r="H360" s="3" t="s">
        <v>78</v>
      </c>
      <c r="I360" s="3" t="s">
        <v>2768</v>
      </c>
      <c r="J360" s="3" t="s">
        <v>223</v>
      </c>
      <c r="K360" s="3" t="s">
        <v>780</v>
      </c>
      <c r="L360" s="3" t="s">
        <v>2743</v>
      </c>
      <c r="M360" s="3" t="s">
        <v>2860</v>
      </c>
      <c r="N360" s="3" t="s">
        <v>123</v>
      </c>
      <c r="O360" s="3" t="s">
        <v>643</v>
      </c>
      <c r="P360" s="3" t="s">
        <v>2861</v>
      </c>
      <c r="Q360" s="3" t="s">
        <v>2862</v>
      </c>
      <c r="R360" s="3" t="s">
        <v>36</v>
      </c>
      <c r="S360" s="3" t="s">
        <v>221</v>
      </c>
      <c r="T360" s="3" t="s">
        <v>37</v>
      </c>
      <c r="U360" s="3" t="s">
        <v>49</v>
      </c>
      <c r="V360" s="3" t="s">
        <v>2863</v>
      </c>
      <c r="W360" s="3" t="s">
        <v>223</v>
      </c>
      <c r="X360" s="3" t="s">
        <v>41</v>
      </c>
      <c r="Y360" s="3" t="s">
        <v>2864</v>
      </c>
      <c r="Z360" s="3" t="s">
        <v>2865</v>
      </c>
      <c r="AA360" s="3" t="s">
        <v>79</v>
      </c>
      <c r="AB360" s="3" t="s">
        <v>270</v>
      </c>
      <c r="AC360" s="3" t="s">
        <v>2866</v>
      </c>
      <c r="AD360" s="14">
        <v>45579</v>
      </c>
      <c r="AE360" s="14">
        <v>45930</v>
      </c>
      <c r="AF360" s="3"/>
    </row>
    <row r="361" spans="1:32" ht="39.6" hidden="1">
      <c r="A361" s="3" t="s">
        <v>2867</v>
      </c>
      <c r="B361" s="3" t="s">
        <v>2868</v>
      </c>
      <c r="C361" s="3" t="s">
        <v>2805</v>
      </c>
      <c r="D361" s="3" t="s">
        <v>687</v>
      </c>
      <c r="E361" s="3" t="s">
        <v>36</v>
      </c>
      <c r="F361" s="3" t="s">
        <v>221</v>
      </c>
      <c r="G361" s="3" t="s">
        <v>37</v>
      </c>
      <c r="H361" s="3" t="s">
        <v>78</v>
      </c>
      <c r="I361" s="3" t="s">
        <v>2768</v>
      </c>
      <c r="J361" s="3" t="s">
        <v>223</v>
      </c>
      <c r="K361" s="3" t="s">
        <v>780</v>
      </c>
      <c r="L361" s="3" t="s">
        <v>2869</v>
      </c>
      <c r="M361" s="3" t="s">
        <v>2860</v>
      </c>
      <c r="N361" s="3" t="s">
        <v>44</v>
      </c>
      <c r="O361" s="3" t="s">
        <v>643</v>
      </c>
      <c r="P361" s="3" t="s">
        <v>2870</v>
      </c>
      <c r="Q361" s="3" t="s">
        <v>2871</v>
      </c>
      <c r="R361" s="3" t="s">
        <v>36</v>
      </c>
      <c r="S361" s="3" t="s">
        <v>221</v>
      </c>
      <c r="T361" s="3" t="s">
        <v>37</v>
      </c>
      <c r="U361" s="3" t="s">
        <v>49</v>
      </c>
      <c r="V361" s="3" t="s">
        <v>2746</v>
      </c>
      <c r="W361" s="3" t="s">
        <v>223</v>
      </c>
      <c r="X361" s="3" t="s">
        <v>780</v>
      </c>
      <c r="Y361" s="3" t="s">
        <v>2747</v>
      </c>
      <c r="Z361" s="3" t="s">
        <v>2148</v>
      </c>
      <c r="AA361" s="3" t="s">
        <v>285</v>
      </c>
      <c r="AB361" s="3" t="s">
        <v>643</v>
      </c>
      <c r="AC361" s="3" t="s">
        <v>2872</v>
      </c>
      <c r="AD361" s="14">
        <v>45566</v>
      </c>
      <c r="AE361" s="14">
        <v>45931</v>
      </c>
      <c r="AF361" s="3"/>
    </row>
    <row r="362" spans="1:32" ht="39.6" hidden="1">
      <c r="A362" s="3" t="s">
        <v>2873</v>
      </c>
      <c r="B362" s="3" t="s">
        <v>2874</v>
      </c>
      <c r="C362" s="3" t="s">
        <v>2859</v>
      </c>
      <c r="D362" s="3" t="s">
        <v>687</v>
      </c>
      <c r="E362" s="3" t="s">
        <v>36</v>
      </c>
      <c r="F362" s="3" t="s">
        <v>274</v>
      </c>
      <c r="G362" s="3" t="s">
        <v>82</v>
      </c>
      <c r="H362" s="3" t="s">
        <v>78</v>
      </c>
      <c r="I362" s="3" t="s">
        <v>2768</v>
      </c>
      <c r="J362" s="3" t="s">
        <v>223</v>
      </c>
      <c r="K362" s="3" t="s">
        <v>780</v>
      </c>
      <c r="L362" s="3" t="s">
        <v>2769</v>
      </c>
      <c r="M362" s="3" t="s">
        <v>2875</v>
      </c>
      <c r="N362" s="3" t="s">
        <v>44</v>
      </c>
      <c r="O362" s="3" t="s">
        <v>643</v>
      </c>
      <c r="P362" s="3" t="s">
        <v>2876</v>
      </c>
      <c r="Q362" s="3" t="s">
        <v>2877</v>
      </c>
      <c r="R362" s="3" t="s">
        <v>36</v>
      </c>
      <c r="S362" s="3" t="s">
        <v>221</v>
      </c>
      <c r="T362" s="3" t="s">
        <v>37</v>
      </c>
      <c r="U362" s="3" t="s">
        <v>49</v>
      </c>
      <c r="V362" s="3" t="s">
        <v>2878</v>
      </c>
      <c r="W362" s="3" t="s">
        <v>223</v>
      </c>
      <c r="X362" s="3" t="s">
        <v>780</v>
      </c>
      <c r="Y362" s="3" t="s">
        <v>2879</v>
      </c>
      <c r="Z362" s="3" t="s">
        <v>2880</v>
      </c>
      <c r="AA362" s="3" t="s">
        <v>63</v>
      </c>
      <c r="AB362" s="3" t="s">
        <v>2466</v>
      </c>
      <c r="AC362" s="3" t="s">
        <v>2881</v>
      </c>
      <c r="AD362" s="14">
        <v>45566</v>
      </c>
      <c r="AE362" s="14">
        <v>45931</v>
      </c>
      <c r="AF362" s="3"/>
    </row>
    <row r="363" spans="1:32" ht="52.9" hidden="1">
      <c r="A363" s="3" t="s">
        <v>2882</v>
      </c>
      <c r="B363" s="3" t="s">
        <v>2883</v>
      </c>
      <c r="C363" s="3" t="s">
        <v>2805</v>
      </c>
      <c r="D363" s="3" t="s">
        <v>687</v>
      </c>
      <c r="E363" s="3" t="s">
        <v>36</v>
      </c>
      <c r="F363" s="3" t="s">
        <v>274</v>
      </c>
      <c r="G363" s="3" t="s">
        <v>82</v>
      </c>
      <c r="H363" s="3" t="s">
        <v>38</v>
      </c>
      <c r="I363" s="3" t="s">
        <v>2851</v>
      </c>
      <c r="J363" s="3" t="s">
        <v>223</v>
      </c>
      <c r="K363" s="3" t="s">
        <v>780</v>
      </c>
      <c r="L363" s="3" t="s">
        <v>2852</v>
      </c>
      <c r="M363" s="3" t="s">
        <v>2168</v>
      </c>
      <c r="N363" s="3" t="s">
        <v>44</v>
      </c>
      <c r="O363" s="3" t="s">
        <v>643</v>
      </c>
      <c r="P363" s="3" t="s">
        <v>2884</v>
      </c>
      <c r="Q363" s="3" t="s">
        <v>2885</v>
      </c>
      <c r="R363" s="3"/>
      <c r="S363" s="3" t="s">
        <v>221</v>
      </c>
      <c r="T363" s="3" t="s">
        <v>37</v>
      </c>
      <c r="U363" s="3" t="s">
        <v>49</v>
      </c>
      <c r="V363" s="3"/>
      <c r="W363" s="3" t="s">
        <v>2339</v>
      </c>
      <c r="X363" s="3"/>
      <c r="Y363" s="3"/>
      <c r="Z363" s="3"/>
      <c r="AA363" s="3" t="s">
        <v>285</v>
      </c>
      <c r="AB363" s="3"/>
      <c r="AC363" s="3" t="s">
        <v>2886</v>
      </c>
      <c r="AD363" s="14">
        <v>45566</v>
      </c>
      <c r="AE363" s="14">
        <v>45566</v>
      </c>
      <c r="AF363" s="3"/>
    </row>
    <row r="364" spans="1:32" ht="39.6" hidden="1">
      <c r="A364" s="3" t="s">
        <v>2887</v>
      </c>
      <c r="B364" s="3" t="s">
        <v>2888</v>
      </c>
      <c r="C364" s="3" t="s">
        <v>2859</v>
      </c>
      <c r="D364" s="3" t="s">
        <v>687</v>
      </c>
      <c r="E364" s="3" t="s">
        <v>36</v>
      </c>
      <c r="F364" s="3" t="s">
        <v>274</v>
      </c>
      <c r="G364" s="3" t="s">
        <v>82</v>
      </c>
      <c r="H364" s="3" t="s">
        <v>78</v>
      </c>
      <c r="I364" s="3" t="s">
        <v>2768</v>
      </c>
      <c r="J364" s="3" t="s">
        <v>223</v>
      </c>
      <c r="K364" s="3" t="s">
        <v>780</v>
      </c>
      <c r="L364" s="3" t="s">
        <v>2743</v>
      </c>
      <c r="M364" s="3" t="s">
        <v>2860</v>
      </c>
      <c r="N364" s="3" t="s">
        <v>123</v>
      </c>
      <c r="O364" s="3" t="s">
        <v>643</v>
      </c>
      <c r="P364" s="3" t="s">
        <v>2889</v>
      </c>
      <c r="Q364" s="3" t="s">
        <v>2890</v>
      </c>
      <c r="R364" s="3" t="s">
        <v>36</v>
      </c>
      <c r="S364" s="3" t="s">
        <v>274</v>
      </c>
      <c r="T364" s="3" t="s">
        <v>82</v>
      </c>
      <c r="U364" s="3" t="s">
        <v>49</v>
      </c>
      <c r="V364" s="3" t="s">
        <v>2891</v>
      </c>
      <c r="W364" s="3" t="s">
        <v>223</v>
      </c>
      <c r="X364" s="3" t="s">
        <v>780</v>
      </c>
      <c r="Y364" s="3" t="s">
        <v>2747</v>
      </c>
      <c r="Z364" s="3" t="s">
        <v>2148</v>
      </c>
      <c r="AA364" s="3" t="s">
        <v>79</v>
      </c>
      <c r="AB364" s="3" t="s">
        <v>643</v>
      </c>
      <c r="AC364" s="3" t="s">
        <v>2892</v>
      </c>
      <c r="AD364" s="14">
        <v>45566</v>
      </c>
      <c r="AE364" s="14">
        <v>45931</v>
      </c>
      <c r="AF364" s="3"/>
    </row>
    <row r="365" spans="1:32" ht="250.9" hidden="1">
      <c r="A365" s="3" t="s">
        <v>2755</v>
      </c>
      <c r="B365" s="3" t="s">
        <v>2756</v>
      </c>
      <c r="C365" s="3" t="s">
        <v>2893</v>
      </c>
      <c r="D365" s="3" t="s">
        <v>59</v>
      </c>
      <c r="E365" s="3" t="s">
        <v>36</v>
      </c>
      <c r="F365" s="3" t="s">
        <v>274</v>
      </c>
      <c r="G365" s="3" t="s">
        <v>82</v>
      </c>
      <c r="H365" s="3" t="s">
        <v>38</v>
      </c>
      <c r="I365" s="3" t="s">
        <v>957</v>
      </c>
      <c r="J365" s="3" t="s">
        <v>223</v>
      </c>
      <c r="K365" s="3" t="s">
        <v>41</v>
      </c>
      <c r="L365" s="3" t="s">
        <v>2758</v>
      </c>
      <c r="M365" s="3" t="s">
        <v>2759</v>
      </c>
      <c r="N365" s="3" t="s">
        <v>123</v>
      </c>
      <c r="O365" s="3" t="s">
        <v>811</v>
      </c>
      <c r="P365" s="3" t="s">
        <v>2894</v>
      </c>
      <c r="Q365" s="3" t="s">
        <v>2895</v>
      </c>
      <c r="R365" s="3" t="s">
        <v>36</v>
      </c>
      <c r="S365" s="3" t="s">
        <v>221</v>
      </c>
      <c r="T365" s="3" t="s">
        <v>37</v>
      </c>
      <c r="U365" s="3" t="s">
        <v>49</v>
      </c>
      <c r="V365" s="3" t="s">
        <v>1654</v>
      </c>
      <c r="W365" s="3" t="s">
        <v>223</v>
      </c>
      <c r="X365" s="3" t="s">
        <v>41</v>
      </c>
      <c r="Y365" s="3" t="s">
        <v>730</v>
      </c>
      <c r="Z365" s="3" t="s">
        <v>1655</v>
      </c>
      <c r="AA365" s="3" t="s">
        <v>63</v>
      </c>
      <c r="AB365" s="3" t="s">
        <v>811</v>
      </c>
      <c r="AC365" s="3" t="s">
        <v>2896</v>
      </c>
      <c r="AD365" s="14">
        <v>45658</v>
      </c>
      <c r="AE365" s="14"/>
      <c r="AF365" s="3"/>
    </row>
    <row r="366" spans="1:32" ht="39.6" hidden="1">
      <c r="A366" s="3" t="s">
        <v>2857</v>
      </c>
      <c r="B366" s="3" t="s">
        <v>2858</v>
      </c>
      <c r="C366" s="3" t="s">
        <v>2859</v>
      </c>
      <c r="D366" s="3" t="s">
        <v>687</v>
      </c>
      <c r="E366" s="3" t="s">
        <v>36</v>
      </c>
      <c r="F366" s="3" t="s">
        <v>274</v>
      </c>
      <c r="G366" s="3" t="s">
        <v>82</v>
      </c>
      <c r="H366" s="3" t="s">
        <v>78</v>
      </c>
      <c r="I366" s="3" t="s">
        <v>2768</v>
      </c>
      <c r="J366" s="3" t="s">
        <v>223</v>
      </c>
      <c r="K366" s="3" t="s">
        <v>780</v>
      </c>
      <c r="L366" s="3" t="s">
        <v>2743</v>
      </c>
      <c r="M366" s="3" t="s">
        <v>2860</v>
      </c>
      <c r="N366" s="3" t="s">
        <v>123</v>
      </c>
      <c r="O366" s="3" t="s">
        <v>643</v>
      </c>
      <c r="P366" s="3" t="s">
        <v>2897</v>
      </c>
      <c r="Q366" s="3" t="s">
        <v>2898</v>
      </c>
      <c r="R366" s="3" t="s">
        <v>36</v>
      </c>
      <c r="S366" s="3" t="s">
        <v>221</v>
      </c>
      <c r="T366" s="3" t="s">
        <v>82</v>
      </c>
      <c r="U366" s="3" t="s">
        <v>73</v>
      </c>
      <c r="V366" s="3" t="s">
        <v>2899</v>
      </c>
      <c r="W366" s="3" t="s">
        <v>223</v>
      </c>
      <c r="X366" s="3" t="s">
        <v>780</v>
      </c>
      <c r="Y366" s="3" t="s">
        <v>2747</v>
      </c>
      <c r="Z366" s="3" t="s">
        <v>2148</v>
      </c>
      <c r="AA366" s="3" t="s">
        <v>285</v>
      </c>
      <c r="AB366" s="3" t="s">
        <v>643</v>
      </c>
      <c r="AC366" s="3" t="s">
        <v>2900</v>
      </c>
      <c r="AD366" s="14">
        <v>45579</v>
      </c>
      <c r="AE366" s="14">
        <v>45930</v>
      </c>
      <c r="AF366" s="3"/>
    </row>
    <row r="367" spans="1:32" ht="52.9" hidden="1">
      <c r="A367" s="3" t="s">
        <v>2887</v>
      </c>
      <c r="B367" s="3" t="s">
        <v>2888</v>
      </c>
      <c r="C367" s="3" t="s">
        <v>2859</v>
      </c>
      <c r="D367" s="3" t="s">
        <v>687</v>
      </c>
      <c r="E367" s="3" t="s">
        <v>36</v>
      </c>
      <c r="F367" s="3" t="s">
        <v>274</v>
      </c>
      <c r="G367" s="3" t="s">
        <v>82</v>
      </c>
      <c r="H367" s="3" t="s">
        <v>78</v>
      </c>
      <c r="I367" s="3" t="s">
        <v>2768</v>
      </c>
      <c r="J367" s="3" t="s">
        <v>223</v>
      </c>
      <c r="K367" s="3" t="s">
        <v>780</v>
      </c>
      <c r="L367" s="3" t="s">
        <v>2743</v>
      </c>
      <c r="M367" s="3" t="s">
        <v>2860</v>
      </c>
      <c r="N367" s="3" t="s">
        <v>123</v>
      </c>
      <c r="O367" s="3" t="s">
        <v>643</v>
      </c>
      <c r="P367" s="3" t="s">
        <v>2901</v>
      </c>
      <c r="Q367" s="3" t="s">
        <v>2902</v>
      </c>
      <c r="R367" s="3"/>
      <c r="S367" s="3" t="s">
        <v>221</v>
      </c>
      <c r="T367" s="3" t="s">
        <v>37</v>
      </c>
      <c r="U367" s="3" t="s">
        <v>49</v>
      </c>
      <c r="V367" s="3"/>
      <c r="W367" s="3" t="s">
        <v>223</v>
      </c>
      <c r="X367" s="3"/>
      <c r="Y367" s="3"/>
      <c r="Z367" s="3"/>
      <c r="AA367" s="3" t="s">
        <v>63</v>
      </c>
      <c r="AB367" s="3"/>
      <c r="AC367" s="3" t="s">
        <v>2903</v>
      </c>
      <c r="AD367" s="14">
        <v>45566</v>
      </c>
      <c r="AE367" s="14">
        <v>45931</v>
      </c>
      <c r="AF367" s="3"/>
    </row>
    <row r="368" spans="1:32" ht="52.9" hidden="1">
      <c r="A368" s="3" t="s">
        <v>2904</v>
      </c>
      <c r="B368" s="3" t="s">
        <v>2905</v>
      </c>
      <c r="C368" s="3"/>
      <c r="D368" s="3" t="s">
        <v>687</v>
      </c>
      <c r="E368" s="3" t="s">
        <v>36</v>
      </c>
      <c r="F368" s="3" t="s">
        <v>274</v>
      </c>
      <c r="G368" s="3" t="s">
        <v>82</v>
      </c>
      <c r="H368" s="3" t="s">
        <v>78</v>
      </c>
      <c r="I368" s="3" t="s">
        <v>2906</v>
      </c>
      <c r="J368" s="3" t="s">
        <v>223</v>
      </c>
      <c r="K368" s="3" t="s">
        <v>780</v>
      </c>
      <c r="L368" s="3" t="s">
        <v>2907</v>
      </c>
      <c r="M368" s="3" t="s">
        <v>2908</v>
      </c>
      <c r="N368" s="3" t="s">
        <v>123</v>
      </c>
      <c r="O368" s="3" t="s">
        <v>45</v>
      </c>
      <c r="P368" s="3" t="s">
        <v>2909</v>
      </c>
      <c r="Q368" s="3" t="s">
        <v>2910</v>
      </c>
      <c r="R368" s="3" t="s">
        <v>36</v>
      </c>
      <c r="S368" s="3" t="s">
        <v>254</v>
      </c>
      <c r="T368" s="3" t="s">
        <v>82</v>
      </c>
      <c r="U368" s="3" t="s">
        <v>49</v>
      </c>
      <c r="V368" s="3" t="s">
        <v>2911</v>
      </c>
      <c r="W368" s="3" t="s">
        <v>223</v>
      </c>
      <c r="X368" s="3" t="s">
        <v>780</v>
      </c>
      <c r="Y368" s="3" t="s">
        <v>2747</v>
      </c>
      <c r="Z368" s="3" t="s">
        <v>2807</v>
      </c>
      <c r="AA368" s="3" t="s">
        <v>79</v>
      </c>
      <c r="AB368" s="3" t="s">
        <v>643</v>
      </c>
      <c r="AC368" s="3" t="s">
        <v>2912</v>
      </c>
      <c r="AD368" s="14">
        <v>45566</v>
      </c>
      <c r="AE368" s="14">
        <v>45931</v>
      </c>
      <c r="AF368" s="3"/>
    </row>
    <row r="369" spans="1:32" ht="39.6" hidden="1">
      <c r="A369" s="3" t="s">
        <v>2913</v>
      </c>
      <c r="B369" s="3" t="s">
        <v>2914</v>
      </c>
      <c r="C369" s="3" t="s">
        <v>2805</v>
      </c>
      <c r="D369" s="3" t="s">
        <v>687</v>
      </c>
      <c r="E369" s="3" t="s">
        <v>36</v>
      </c>
      <c r="F369" s="3" t="s">
        <v>274</v>
      </c>
      <c r="G369" s="3" t="s">
        <v>82</v>
      </c>
      <c r="H369" s="3" t="s">
        <v>38</v>
      </c>
      <c r="I369" s="3" t="s">
        <v>2768</v>
      </c>
      <c r="J369" s="3" t="s">
        <v>223</v>
      </c>
      <c r="K369" s="3" t="s">
        <v>780</v>
      </c>
      <c r="L369" s="3" t="s">
        <v>2769</v>
      </c>
      <c r="M369" s="3" t="s">
        <v>2875</v>
      </c>
      <c r="N369" s="3" t="s">
        <v>53</v>
      </c>
      <c r="O369" s="3" t="s">
        <v>643</v>
      </c>
      <c r="P369" s="3" t="s">
        <v>2915</v>
      </c>
      <c r="Q369" s="3" t="s">
        <v>2916</v>
      </c>
      <c r="R369" s="3"/>
      <c r="S369" s="3"/>
      <c r="T369" s="3" t="s">
        <v>82</v>
      </c>
      <c r="U369" s="3" t="s">
        <v>49</v>
      </c>
      <c r="V369" s="3" t="s">
        <v>2917</v>
      </c>
      <c r="W369" s="3" t="s">
        <v>2918</v>
      </c>
      <c r="X369" s="3" t="s">
        <v>780</v>
      </c>
      <c r="Y369" s="3" t="s">
        <v>2919</v>
      </c>
      <c r="Z369" s="3" t="s">
        <v>2920</v>
      </c>
      <c r="AA369" s="3" t="s">
        <v>79</v>
      </c>
      <c r="AB369" s="3" t="s">
        <v>643</v>
      </c>
      <c r="AC369" s="3" t="s">
        <v>2921</v>
      </c>
      <c r="AD369" s="14">
        <v>45566</v>
      </c>
      <c r="AE369" s="14">
        <v>45931</v>
      </c>
      <c r="AF369" s="3"/>
    </row>
    <row r="370" spans="1:32" ht="52.9" hidden="1">
      <c r="A370" s="3" t="s">
        <v>2922</v>
      </c>
      <c r="B370" s="3" t="s">
        <v>2923</v>
      </c>
      <c r="C370" s="3" t="s">
        <v>2924</v>
      </c>
      <c r="D370" s="3" t="s">
        <v>35</v>
      </c>
      <c r="E370" s="3" t="s">
        <v>467</v>
      </c>
      <c r="F370" s="3" t="s">
        <v>221</v>
      </c>
      <c r="G370" s="3" t="s">
        <v>82</v>
      </c>
      <c r="H370" s="3" t="s">
        <v>49</v>
      </c>
      <c r="I370" s="3" t="s">
        <v>2925</v>
      </c>
      <c r="J370" s="3" t="s">
        <v>223</v>
      </c>
      <c r="K370" s="3" t="s">
        <v>41</v>
      </c>
      <c r="L370" s="3" t="s">
        <v>2424</v>
      </c>
      <c r="M370" s="3" t="s">
        <v>1115</v>
      </c>
      <c r="N370" s="3" t="s">
        <v>79</v>
      </c>
      <c r="O370" s="3" t="s">
        <v>270</v>
      </c>
      <c r="P370" s="3" t="s">
        <v>2926</v>
      </c>
      <c r="Q370" s="3" t="s">
        <v>2927</v>
      </c>
      <c r="R370" s="3"/>
      <c r="S370" s="3" t="s">
        <v>247</v>
      </c>
      <c r="T370" s="3" t="s">
        <v>82</v>
      </c>
      <c r="U370" s="3" t="s">
        <v>49</v>
      </c>
      <c r="V370" s="3"/>
      <c r="W370" s="3" t="s">
        <v>223</v>
      </c>
      <c r="X370" s="3"/>
      <c r="Y370" s="3"/>
      <c r="Z370" s="3"/>
      <c r="AA370" s="3" t="s">
        <v>63</v>
      </c>
      <c r="AB370" s="3"/>
      <c r="AC370" s="3" t="s">
        <v>2928</v>
      </c>
      <c r="AD370" s="14">
        <v>45566</v>
      </c>
      <c r="AE370" s="14">
        <v>45838</v>
      </c>
      <c r="AF370" s="3"/>
    </row>
    <row r="371" spans="1:32" ht="39.6" hidden="1">
      <c r="A371" s="3" t="s">
        <v>2929</v>
      </c>
      <c r="B371" s="3" t="s">
        <v>2930</v>
      </c>
      <c r="C371" s="3" t="s">
        <v>2931</v>
      </c>
      <c r="D371" s="3" t="s">
        <v>35</v>
      </c>
      <c r="E371" s="3" t="s">
        <v>36</v>
      </c>
      <c r="F371" s="3" t="s">
        <v>254</v>
      </c>
      <c r="G371" s="3" t="s">
        <v>37</v>
      </c>
      <c r="H371" s="3" t="s">
        <v>78</v>
      </c>
      <c r="I371" s="3" t="s">
        <v>2932</v>
      </c>
      <c r="J371" s="3" t="s">
        <v>223</v>
      </c>
      <c r="K371" s="3" t="s">
        <v>780</v>
      </c>
      <c r="L371" s="3" t="s">
        <v>2933</v>
      </c>
      <c r="M371" s="3" t="s">
        <v>2934</v>
      </c>
      <c r="N371" s="3" t="s">
        <v>44</v>
      </c>
      <c r="O371" s="3" t="s">
        <v>270</v>
      </c>
      <c r="P371" s="3" t="s">
        <v>2935</v>
      </c>
      <c r="Q371" s="3" t="s">
        <v>2936</v>
      </c>
      <c r="R371" s="3" t="s">
        <v>36</v>
      </c>
      <c r="S371" s="3" t="s">
        <v>247</v>
      </c>
      <c r="T371" s="3" t="s">
        <v>37</v>
      </c>
      <c r="U371" s="3" t="s">
        <v>49</v>
      </c>
      <c r="V371" s="3" t="s">
        <v>2937</v>
      </c>
      <c r="W371" s="3" t="s">
        <v>223</v>
      </c>
      <c r="X371" s="3" t="s">
        <v>41</v>
      </c>
      <c r="Y371" s="3" t="s">
        <v>2938</v>
      </c>
      <c r="Z371" s="3" t="s">
        <v>2939</v>
      </c>
      <c r="AA371" s="3" t="s">
        <v>53</v>
      </c>
      <c r="AB371" s="3" t="s">
        <v>251</v>
      </c>
      <c r="AC371" s="3" t="s">
        <v>2940</v>
      </c>
      <c r="AD371" s="14">
        <v>45587</v>
      </c>
      <c r="AE371" s="14"/>
      <c r="AF371" s="3"/>
    </row>
    <row r="372" spans="1:32" ht="39.6" hidden="1">
      <c r="A372" s="3" t="s">
        <v>2739</v>
      </c>
      <c r="B372" s="3" t="s">
        <v>2740</v>
      </c>
      <c r="C372" s="3" t="s">
        <v>2805</v>
      </c>
      <c r="D372" s="3" t="s">
        <v>687</v>
      </c>
      <c r="E372" s="3" t="s">
        <v>36</v>
      </c>
      <c r="F372" s="3" t="s">
        <v>274</v>
      </c>
      <c r="G372" s="3" t="s">
        <v>82</v>
      </c>
      <c r="H372" s="3" t="s">
        <v>49</v>
      </c>
      <c r="I372" s="3" t="s">
        <v>2742</v>
      </c>
      <c r="J372" s="3" t="s">
        <v>223</v>
      </c>
      <c r="K372" s="3" t="s">
        <v>780</v>
      </c>
      <c r="L372" s="3" t="s">
        <v>2743</v>
      </c>
      <c r="M372" s="3" t="s">
        <v>2168</v>
      </c>
      <c r="N372" s="3" t="s">
        <v>53</v>
      </c>
      <c r="O372" s="3" t="s">
        <v>643</v>
      </c>
      <c r="P372" s="3" t="s">
        <v>2846</v>
      </c>
      <c r="Q372" s="3" t="s">
        <v>2847</v>
      </c>
      <c r="R372" s="3" t="s">
        <v>36</v>
      </c>
      <c r="S372" s="3" t="s">
        <v>247</v>
      </c>
      <c r="T372" s="3" t="s">
        <v>37</v>
      </c>
      <c r="U372" s="3" t="s">
        <v>49</v>
      </c>
      <c r="V372" s="3" t="s">
        <v>2806</v>
      </c>
      <c r="W372" s="3" t="s">
        <v>223</v>
      </c>
      <c r="X372" s="3" t="s">
        <v>780</v>
      </c>
      <c r="Y372" s="3" t="s">
        <v>2747</v>
      </c>
      <c r="Z372" s="3" t="s">
        <v>2807</v>
      </c>
      <c r="AA372" s="3" t="s">
        <v>79</v>
      </c>
      <c r="AB372" s="3" t="s">
        <v>643</v>
      </c>
      <c r="AC372" s="3" t="s">
        <v>2848</v>
      </c>
      <c r="AD372" s="14">
        <v>45587</v>
      </c>
      <c r="AE372" s="14">
        <v>45952</v>
      </c>
      <c r="AF372" s="3"/>
    </row>
    <row r="373" spans="1:32" ht="39.6" hidden="1">
      <c r="A373" s="3" t="s">
        <v>2941</v>
      </c>
      <c r="B373" s="3" t="s">
        <v>2942</v>
      </c>
      <c r="C373" s="3" t="s">
        <v>2859</v>
      </c>
      <c r="D373" s="3" t="s">
        <v>687</v>
      </c>
      <c r="E373" s="3" t="s">
        <v>36</v>
      </c>
      <c r="F373" s="3" t="s">
        <v>247</v>
      </c>
      <c r="G373" s="3" t="s">
        <v>37</v>
      </c>
      <c r="H373" s="3" t="s">
        <v>49</v>
      </c>
      <c r="I373" s="3" t="s">
        <v>2911</v>
      </c>
      <c r="J373" s="3" t="s">
        <v>223</v>
      </c>
      <c r="K373" s="3" t="s">
        <v>780</v>
      </c>
      <c r="L373" s="3" t="s">
        <v>2747</v>
      </c>
      <c r="M373" s="3" t="s">
        <v>2807</v>
      </c>
      <c r="N373" s="3" t="s">
        <v>79</v>
      </c>
      <c r="O373" s="3" t="s">
        <v>643</v>
      </c>
      <c r="P373" s="3" t="s">
        <v>2943</v>
      </c>
      <c r="Q373" s="3" t="s">
        <v>2944</v>
      </c>
      <c r="R373" s="3" t="s">
        <v>36</v>
      </c>
      <c r="S373" s="3" t="s">
        <v>247</v>
      </c>
      <c r="T373" s="3" t="s">
        <v>37</v>
      </c>
      <c r="U373" s="3" t="s">
        <v>73</v>
      </c>
      <c r="V373" s="3" t="s">
        <v>2945</v>
      </c>
      <c r="W373" s="3" t="s">
        <v>223</v>
      </c>
      <c r="X373" s="3" t="s">
        <v>780</v>
      </c>
      <c r="Y373" s="3" t="s">
        <v>2747</v>
      </c>
      <c r="Z373" s="3" t="s">
        <v>2148</v>
      </c>
      <c r="AA373" s="3" t="s">
        <v>285</v>
      </c>
      <c r="AB373" s="3" t="s">
        <v>643</v>
      </c>
      <c r="AC373" s="3" t="s">
        <v>2946</v>
      </c>
      <c r="AD373" s="14">
        <v>45579</v>
      </c>
      <c r="AE373" s="14">
        <v>45930</v>
      </c>
      <c r="AF373" s="3"/>
    </row>
    <row r="374" spans="1:32" ht="79.150000000000006" hidden="1">
      <c r="A374" s="3" t="s">
        <v>2947</v>
      </c>
      <c r="B374" s="3" t="s">
        <v>2948</v>
      </c>
      <c r="C374" s="3" t="s">
        <v>2949</v>
      </c>
      <c r="D374" s="3" t="s">
        <v>59</v>
      </c>
      <c r="E374" s="3" t="s">
        <v>36</v>
      </c>
      <c r="F374" s="3" t="s">
        <v>274</v>
      </c>
      <c r="G374" s="3" t="s">
        <v>82</v>
      </c>
      <c r="H374" s="3" t="s">
        <v>78</v>
      </c>
      <c r="I374" s="3" t="s">
        <v>2950</v>
      </c>
      <c r="J374" s="3" t="s">
        <v>223</v>
      </c>
      <c r="K374" s="3" t="s">
        <v>41</v>
      </c>
      <c r="L374" s="3" t="s">
        <v>249</v>
      </c>
      <c r="M374" s="3" t="s">
        <v>250</v>
      </c>
      <c r="N374" s="3" t="s">
        <v>53</v>
      </c>
      <c r="O374" s="3" t="s">
        <v>251</v>
      </c>
      <c r="P374" s="3" t="s">
        <v>2951</v>
      </c>
      <c r="Q374" s="3" t="s">
        <v>2952</v>
      </c>
      <c r="R374" s="3" t="s">
        <v>36</v>
      </c>
      <c r="S374" s="3" t="s">
        <v>247</v>
      </c>
      <c r="T374" s="3" t="s">
        <v>37</v>
      </c>
      <c r="U374" s="3" t="s">
        <v>38</v>
      </c>
      <c r="V374" s="3" t="s">
        <v>2953</v>
      </c>
      <c r="W374" s="3" t="s">
        <v>223</v>
      </c>
      <c r="X374" s="3" t="s">
        <v>41</v>
      </c>
      <c r="Y374" s="3" t="s">
        <v>2954</v>
      </c>
      <c r="Z374" s="3" t="s">
        <v>2622</v>
      </c>
      <c r="AA374" s="3" t="s">
        <v>79</v>
      </c>
      <c r="AB374" s="3" t="s">
        <v>270</v>
      </c>
      <c r="AC374" s="3" t="s">
        <v>2955</v>
      </c>
      <c r="AD374" s="14">
        <v>45603</v>
      </c>
      <c r="AE374" s="14">
        <v>46752</v>
      </c>
      <c r="AF374" s="3"/>
    </row>
    <row r="375" spans="1:32" ht="39.6" hidden="1">
      <c r="A375" s="3" t="s">
        <v>2739</v>
      </c>
      <c r="B375" s="3" t="s">
        <v>2740</v>
      </c>
      <c r="C375" s="3" t="s">
        <v>2805</v>
      </c>
      <c r="D375" s="3" t="s">
        <v>687</v>
      </c>
      <c r="E375" s="3" t="s">
        <v>36</v>
      </c>
      <c r="F375" s="3" t="s">
        <v>274</v>
      </c>
      <c r="G375" s="3" t="s">
        <v>82</v>
      </c>
      <c r="H375" s="3" t="s">
        <v>49</v>
      </c>
      <c r="I375" s="3" t="s">
        <v>2742</v>
      </c>
      <c r="J375" s="3" t="s">
        <v>223</v>
      </c>
      <c r="K375" s="3" t="s">
        <v>780</v>
      </c>
      <c r="L375" s="3" t="s">
        <v>2743</v>
      </c>
      <c r="M375" s="3" t="s">
        <v>2168</v>
      </c>
      <c r="N375" s="3" t="s">
        <v>53</v>
      </c>
      <c r="O375" s="3" t="s">
        <v>643</v>
      </c>
      <c r="P375" s="3" t="s">
        <v>2956</v>
      </c>
      <c r="Q375" s="3" t="s">
        <v>2957</v>
      </c>
      <c r="R375" s="3" t="s">
        <v>36</v>
      </c>
      <c r="S375" s="3" t="s">
        <v>247</v>
      </c>
      <c r="T375" s="3" t="s">
        <v>37</v>
      </c>
      <c r="U375" s="3" t="s">
        <v>49</v>
      </c>
      <c r="V375" s="3" t="s">
        <v>2806</v>
      </c>
      <c r="W375" s="3" t="s">
        <v>223</v>
      </c>
      <c r="X375" s="3" t="s">
        <v>780</v>
      </c>
      <c r="Y375" s="3" t="s">
        <v>2747</v>
      </c>
      <c r="Z375" s="3" t="s">
        <v>2807</v>
      </c>
      <c r="AA375" s="3" t="s">
        <v>79</v>
      </c>
      <c r="AB375" s="3" t="s">
        <v>643</v>
      </c>
      <c r="AC375" s="3" t="s">
        <v>2958</v>
      </c>
      <c r="AD375" s="14">
        <v>45587</v>
      </c>
      <c r="AE375" s="14">
        <v>45952</v>
      </c>
      <c r="AF375" s="3"/>
    </row>
    <row r="376" spans="1:32" ht="39.6" hidden="1">
      <c r="A376" s="3" t="s">
        <v>2941</v>
      </c>
      <c r="B376" s="3" t="s">
        <v>2942</v>
      </c>
      <c r="C376" s="3" t="s">
        <v>2805</v>
      </c>
      <c r="D376" s="3" t="s">
        <v>687</v>
      </c>
      <c r="E376" s="3" t="s">
        <v>36</v>
      </c>
      <c r="F376" s="3" t="s">
        <v>247</v>
      </c>
      <c r="G376" s="3" t="s">
        <v>37</v>
      </c>
      <c r="H376" s="3" t="s">
        <v>49</v>
      </c>
      <c r="I376" s="3" t="s">
        <v>2911</v>
      </c>
      <c r="J376" s="3" t="s">
        <v>223</v>
      </c>
      <c r="K376" s="3" t="s">
        <v>780</v>
      </c>
      <c r="L376" s="3" t="s">
        <v>2747</v>
      </c>
      <c r="M376" s="3" t="s">
        <v>2807</v>
      </c>
      <c r="N376" s="3" t="s">
        <v>79</v>
      </c>
      <c r="O376" s="3" t="s">
        <v>643</v>
      </c>
      <c r="P376" s="3" t="s">
        <v>2959</v>
      </c>
      <c r="Q376" s="3" t="s">
        <v>2960</v>
      </c>
      <c r="R376" s="3" t="s">
        <v>36</v>
      </c>
      <c r="S376" s="3" t="s">
        <v>221</v>
      </c>
      <c r="T376" s="3" t="s">
        <v>37</v>
      </c>
      <c r="U376" s="3" t="s">
        <v>49</v>
      </c>
      <c r="V376" s="3" t="s">
        <v>2899</v>
      </c>
      <c r="W376" s="3" t="s">
        <v>223</v>
      </c>
      <c r="X376" s="3" t="s">
        <v>780</v>
      </c>
      <c r="Y376" s="3" t="s">
        <v>2747</v>
      </c>
      <c r="Z376" s="3" t="s">
        <v>2148</v>
      </c>
      <c r="AA376" s="3" t="s">
        <v>63</v>
      </c>
      <c r="AB376" s="3" t="s">
        <v>643</v>
      </c>
      <c r="AC376" s="3" t="s">
        <v>2961</v>
      </c>
      <c r="AD376" s="14">
        <v>45566</v>
      </c>
      <c r="AE376" s="14">
        <v>45931</v>
      </c>
      <c r="AF376" s="3"/>
    </row>
    <row r="377" spans="1:32" ht="92.45" hidden="1">
      <c r="A377" s="3" t="s">
        <v>2962</v>
      </c>
      <c r="B377" s="3" t="s">
        <v>2963</v>
      </c>
      <c r="C377" s="3" t="s">
        <v>2964</v>
      </c>
      <c r="D377" s="3" t="s">
        <v>59</v>
      </c>
      <c r="E377" s="3" t="s">
        <v>36</v>
      </c>
      <c r="F377" s="3" t="s">
        <v>274</v>
      </c>
      <c r="G377" s="3" t="s">
        <v>37</v>
      </c>
      <c r="H377" s="3" t="s">
        <v>38</v>
      </c>
      <c r="I377" s="3" t="s">
        <v>2965</v>
      </c>
      <c r="J377" s="3" t="s">
        <v>223</v>
      </c>
      <c r="K377" s="3" t="s">
        <v>780</v>
      </c>
      <c r="L377" s="3" t="s">
        <v>2966</v>
      </c>
      <c r="M377" s="3" t="s">
        <v>2967</v>
      </c>
      <c r="N377" s="3" t="s">
        <v>79</v>
      </c>
      <c r="O377" s="3" t="s">
        <v>308</v>
      </c>
      <c r="P377" s="3" t="s">
        <v>2968</v>
      </c>
      <c r="Q377" s="3" t="s">
        <v>2969</v>
      </c>
      <c r="R377" s="3" t="s">
        <v>36</v>
      </c>
      <c r="S377" s="3" t="s">
        <v>221</v>
      </c>
      <c r="T377" s="3" t="s">
        <v>82</v>
      </c>
      <c r="U377" s="3" t="s">
        <v>49</v>
      </c>
      <c r="V377" s="3" t="s">
        <v>2970</v>
      </c>
      <c r="W377" s="3" t="s">
        <v>223</v>
      </c>
      <c r="X377" s="3" t="s">
        <v>780</v>
      </c>
      <c r="Y377" s="3" t="s">
        <v>2966</v>
      </c>
      <c r="Z377" s="3" t="s">
        <v>2971</v>
      </c>
      <c r="AA377" s="3" t="s">
        <v>285</v>
      </c>
      <c r="AB377" s="3" t="s">
        <v>308</v>
      </c>
      <c r="AC377" s="3" t="s">
        <v>2972</v>
      </c>
      <c r="AD377" s="14">
        <v>45887</v>
      </c>
      <c r="AE377" s="14"/>
      <c r="AF377" s="3"/>
    </row>
    <row r="378" spans="1:32" ht="39.6" hidden="1">
      <c r="A378" s="3" t="s">
        <v>2973</v>
      </c>
      <c r="B378" s="3" t="s">
        <v>2974</v>
      </c>
      <c r="C378" s="3" t="s">
        <v>2805</v>
      </c>
      <c r="D378" s="3" t="s">
        <v>687</v>
      </c>
      <c r="E378" s="3" t="s">
        <v>36</v>
      </c>
      <c r="F378" s="3" t="s">
        <v>274</v>
      </c>
      <c r="G378" s="3" t="s">
        <v>82</v>
      </c>
      <c r="H378" s="3" t="s">
        <v>38</v>
      </c>
      <c r="I378" s="3" t="s">
        <v>2975</v>
      </c>
      <c r="J378" s="3" t="s">
        <v>223</v>
      </c>
      <c r="K378" s="3" t="s">
        <v>780</v>
      </c>
      <c r="L378" s="3" t="s">
        <v>2769</v>
      </c>
      <c r="M378" s="3" t="s">
        <v>2168</v>
      </c>
      <c r="N378" s="3" t="s">
        <v>44</v>
      </c>
      <c r="O378" s="3" t="s">
        <v>643</v>
      </c>
      <c r="P378" s="3" t="s">
        <v>2976</v>
      </c>
      <c r="Q378" s="3" t="s">
        <v>2977</v>
      </c>
      <c r="R378" s="3" t="s">
        <v>36</v>
      </c>
      <c r="S378" s="3" t="s">
        <v>221</v>
      </c>
      <c r="T378" s="3" t="s">
        <v>37</v>
      </c>
      <c r="U378" s="3" t="s">
        <v>49</v>
      </c>
      <c r="V378" s="3" t="s">
        <v>2978</v>
      </c>
      <c r="W378" s="3" t="s">
        <v>223</v>
      </c>
      <c r="X378" s="3" t="s">
        <v>780</v>
      </c>
      <c r="Y378" s="3" t="s">
        <v>2979</v>
      </c>
      <c r="Z378" s="3" t="s">
        <v>2980</v>
      </c>
      <c r="AA378" s="3" t="s">
        <v>79</v>
      </c>
      <c r="AB378" s="3" t="s">
        <v>643</v>
      </c>
      <c r="AC378" s="3" t="s">
        <v>2981</v>
      </c>
      <c r="AD378" s="14">
        <v>45566</v>
      </c>
      <c r="AE378" s="14">
        <v>45931</v>
      </c>
      <c r="AF378" s="3"/>
    </row>
    <row r="379" spans="1:32" ht="39.6" hidden="1">
      <c r="A379" s="3" t="s">
        <v>2973</v>
      </c>
      <c r="B379" s="3" t="s">
        <v>2974</v>
      </c>
      <c r="C379" s="3" t="s">
        <v>2805</v>
      </c>
      <c r="D379" s="3" t="s">
        <v>687</v>
      </c>
      <c r="E379" s="3" t="s">
        <v>36</v>
      </c>
      <c r="F379" s="3" t="s">
        <v>274</v>
      </c>
      <c r="G379" s="3" t="s">
        <v>82</v>
      </c>
      <c r="H379" s="3" t="s">
        <v>38</v>
      </c>
      <c r="I379" s="3" t="s">
        <v>2975</v>
      </c>
      <c r="J379" s="3" t="s">
        <v>223</v>
      </c>
      <c r="K379" s="3" t="s">
        <v>780</v>
      </c>
      <c r="L379" s="3" t="s">
        <v>2769</v>
      </c>
      <c r="M379" s="3" t="s">
        <v>2168</v>
      </c>
      <c r="N379" s="3" t="s">
        <v>44</v>
      </c>
      <c r="O379" s="3" t="s">
        <v>643</v>
      </c>
      <c r="P379" s="3" t="s">
        <v>2982</v>
      </c>
      <c r="Q379" s="3" t="s">
        <v>2983</v>
      </c>
      <c r="R379" s="3" t="s">
        <v>36</v>
      </c>
      <c r="S379" s="3" t="s">
        <v>274</v>
      </c>
      <c r="T379" s="3" t="s">
        <v>37</v>
      </c>
      <c r="U379" s="3" t="s">
        <v>49</v>
      </c>
      <c r="V379" s="3" t="s">
        <v>2984</v>
      </c>
      <c r="W379" s="3" t="s">
        <v>223</v>
      </c>
      <c r="X379" s="3" t="s">
        <v>780</v>
      </c>
      <c r="Y379" s="3" t="s">
        <v>2747</v>
      </c>
      <c r="Z379" s="3" t="s">
        <v>2148</v>
      </c>
      <c r="AA379" s="3" t="s">
        <v>63</v>
      </c>
      <c r="AB379" s="3" t="s">
        <v>643</v>
      </c>
      <c r="AC379" s="3" t="s">
        <v>2985</v>
      </c>
      <c r="AD379" s="14">
        <v>45566</v>
      </c>
      <c r="AE379" s="14">
        <v>45931</v>
      </c>
      <c r="AF379" s="3"/>
    </row>
    <row r="380" spans="1:32" ht="52.9" hidden="1">
      <c r="A380" s="3" t="s">
        <v>2986</v>
      </c>
      <c r="B380" s="3" t="s">
        <v>2987</v>
      </c>
      <c r="C380" s="3" t="s">
        <v>2859</v>
      </c>
      <c r="D380" s="3" t="s">
        <v>687</v>
      </c>
      <c r="E380" s="3" t="s">
        <v>36</v>
      </c>
      <c r="F380" s="3" t="s">
        <v>221</v>
      </c>
      <c r="G380" s="3" t="s">
        <v>82</v>
      </c>
      <c r="H380" s="3" t="s">
        <v>38</v>
      </c>
      <c r="I380" s="3" t="s">
        <v>2768</v>
      </c>
      <c r="J380" s="3" t="s">
        <v>223</v>
      </c>
      <c r="K380" s="3" t="s">
        <v>780</v>
      </c>
      <c r="L380" s="3" t="s">
        <v>2988</v>
      </c>
      <c r="M380" s="3" t="s">
        <v>2875</v>
      </c>
      <c r="N380" s="3" t="s">
        <v>53</v>
      </c>
      <c r="O380" s="3" t="s">
        <v>643</v>
      </c>
      <c r="P380" s="3" t="s">
        <v>2989</v>
      </c>
      <c r="Q380" s="3" t="s">
        <v>2990</v>
      </c>
      <c r="R380" s="3" t="s">
        <v>36</v>
      </c>
      <c r="S380" s="3" t="s">
        <v>221</v>
      </c>
      <c r="T380" s="3" t="s">
        <v>37</v>
      </c>
      <c r="U380" s="3" t="s">
        <v>49</v>
      </c>
      <c r="V380" s="3" t="s">
        <v>2991</v>
      </c>
      <c r="W380" s="3" t="s">
        <v>223</v>
      </c>
      <c r="X380" s="3" t="s">
        <v>780</v>
      </c>
      <c r="Y380" s="3" t="s">
        <v>2992</v>
      </c>
      <c r="Z380" s="3" t="s">
        <v>2880</v>
      </c>
      <c r="AA380" s="3" t="s">
        <v>63</v>
      </c>
      <c r="AB380" s="3" t="s">
        <v>2466</v>
      </c>
      <c r="AC380" s="3" t="s">
        <v>2993</v>
      </c>
      <c r="AD380" s="14">
        <v>45566</v>
      </c>
      <c r="AE380" s="14">
        <v>45931</v>
      </c>
      <c r="AF380" s="3"/>
    </row>
    <row r="381" spans="1:32" ht="39.6" hidden="1">
      <c r="A381" s="3" t="s">
        <v>2811</v>
      </c>
      <c r="B381" s="3" t="s">
        <v>2812</v>
      </c>
      <c r="C381" s="3" t="s">
        <v>2859</v>
      </c>
      <c r="D381" s="3" t="s">
        <v>687</v>
      </c>
      <c r="E381" s="3" t="s">
        <v>36</v>
      </c>
      <c r="F381" s="3" t="s">
        <v>221</v>
      </c>
      <c r="G381" s="3" t="s">
        <v>37</v>
      </c>
      <c r="H381" s="3" t="s">
        <v>38</v>
      </c>
      <c r="I381" s="3" t="s">
        <v>2742</v>
      </c>
      <c r="J381" s="3" t="s">
        <v>223</v>
      </c>
      <c r="K381" s="3" t="s">
        <v>780</v>
      </c>
      <c r="L381" s="3" t="s">
        <v>2743</v>
      </c>
      <c r="M381" s="3" t="s">
        <v>2168</v>
      </c>
      <c r="N381" s="3" t="s">
        <v>44</v>
      </c>
      <c r="O381" s="3" t="s">
        <v>643</v>
      </c>
      <c r="P381" s="3" t="s">
        <v>2994</v>
      </c>
      <c r="Q381" s="3" t="s">
        <v>2995</v>
      </c>
      <c r="R381" s="3" t="s">
        <v>36</v>
      </c>
      <c r="S381" s="3" t="s">
        <v>221</v>
      </c>
      <c r="T381" s="3" t="s">
        <v>37</v>
      </c>
      <c r="U381" s="3" t="s">
        <v>49</v>
      </c>
      <c r="V381" s="3" t="s">
        <v>2996</v>
      </c>
      <c r="W381" s="3" t="s">
        <v>223</v>
      </c>
      <c r="X381" s="3" t="s">
        <v>780</v>
      </c>
      <c r="Y381" s="3" t="s">
        <v>2997</v>
      </c>
      <c r="Z381" s="3" t="s">
        <v>1952</v>
      </c>
      <c r="AA381" s="3" t="s">
        <v>53</v>
      </c>
      <c r="AB381" s="3" t="s">
        <v>201</v>
      </c>
      <c r="AC381" s="3" t="s">
        <v>2998</v>
      </c>
      <c r="AD381" s="14">
        <v>45566</v>
      </c>
      <c r="AE381" s="14">
        <v>45931</v>
      </c>
      <c r="AF381" s="3"/>
    </row>
    <row r="382" spans="1:32" ht="39.6" hidden="1">
      <c r="A382" s="3" t="s">
        <v>2811</v>
      </c>
      <c r="B382" s="3" t="s">
        <v>2812</v>
      </c>
      <c r="C382" s="3" t="s">
        <v>2859</v>
      </c>
      <c r="D382" s="3" t="s">
        <v>687</v>
      </c>
      <c r="E382" s="3" t="s">
        <v>36</v>
      </c>
      <c r="F382" s="3" t="s">
        <v>221</v>
      </c>
      <c r="G382" s="3" t="s">
        <v>37</v>
      </c>
      <c r="H382" s="3" t="s">
        <v>38</v>
      </c>
      <c r="I382" s="3" t="s">
        <v>2742</v>
      </c>
      <c r="J382" s="3" t="s">
        <v>223</v>
      </c>
      <c r="K382" s="3" t="s">
        <v>780</v>
      </c>
      <c r="L382" s="3" t="s">
        <v>2743</v>
      </c>
      <c r="M382" s="3" t="s">
        <v>2168</v>
      </c>
      <c r="N382" s="3" t="s">
        <v>44</v>
      </c>
      <c r="O382" s="3" t="s">
        <v>643</v>
      </c>
      <c r="P382" s="3" t="s">
        <v>2999</v>
      </c>
      <c r="Q382" s="3" t="s">
        <v>3000</v>
      </c>
      <c r="R382" s="3" t="s">
        <v>36</v>
      </c>
      <c r="S382" s="3" t="s">
        <v>254</v>
      </c>
      <c r="T382" s="3" t="s">
        <v>82</v>
      </c>
      <c r="U382" s="3" t="s">
        <v>49</v>
      </c>
      <c r="V382" s="3" t="s">
        <v>2911</v>
      </c>
      <c r="W382" s="3" t="s">
        <v>223</v>
      </c>
      <c r="X382" s="3" t="s">
        <v>780</v>
      </c>
      <c r="Y382" s="3" t="s">
        <v>2747</v>
      </c>
      <c r="Z382" s="3" t="s">
        <v>2807</v>
      </c>
      <c r="AA382" s="3" t="s">
        <v>63</v>
      </c>
      <c r="AB382" s="3" t="s">
        <v>643</v>
      </c>
      <c r="AC382" s="3" t="s">
        <v>3001</v>
      </c>
      <c r="AD382" s="14">
        <v>45566</v>
      </c>
      <c r="AE382" s="14">
        <v>45931</v>
      </c>
      <c r="AF382" s="3"/>
    </row>
    <row r="383" spans="1:32" ht="39.6" hidden="1">
      <c r="A383" s="3" t="s">
        <v>2811</v>
      </c>
      <c r="B383" s="3" t="s">
        <v>2812</v>
      </c>
      <c r="C383" s="3" t="s">
        <v>2805</v>
      </c>
      <c r="D383" s="3" t="s">
        <v>687</v>
      </c>
      <c r="E383" s="3" t="s">
        <v>36</v>
      </c>
      <c r="F383" s="3" t="s">
        <v>221</v>
      </c>
      <c r="G383" s="3" t="s">
        <v>37</v>
      </c>
      <c r="H383" s="3" t="s">
        <v>38</v>
      </c>
      <c r="I383" s="3" t="s">
        <v>2742</v>
      </c>
      <c r="J383" s="3" t="s">
        <v>223</v>
      </c>
      <c r="K383" s="3" t="s">
        <v>780</v>
      </c>
      <c r="L383" s="3" t="s">
        <v>2743</v>
      </c>
      <c r="M383" s="3" t="s">
        <v>2168</v>
      </c>
      <c r="N383" s="3" t="s">
        <v>44</v>
      </c>
      <c r="O383" s="3" t="s">
        <v>643</v>
      </c>
      <c r="P383" s="3" t="s">
        <v>2941</v>
      </c>
      <c r="Q383" s="3" t="s">
        <v>2942</v>
      </c>
      <c r="R383" s="3" t="s">
        <v>36</v>
      </c>
      <c r="S383" s="3" t="s">
        <v>247</v>
      </c>
      <c r="T383" s="3" t="s">
        <v>37</v>
      </c>
      <c r="U383" s="3" t="s">
        <v>49</v>
      </c>
      <c r="V383" s="3" t="s">
        <v>2911</v>
      </c>
      <c r="W383" s="3" t="s">
        <v>223</v>
      </c>
      <c r="X383" s="3" t="s">
        <v>780</v>
      </c>
      <c r="Y383" s="3" t="s">
        <v>2747</v>
      </c>
      <c r="Z383" s="3" t="s">
        <v>2807</v>
      </c>
      <c r="AA383" s="3" t="s">
        <v>79</v>
      </c>
      <c r="AB383" s="3" t="s">
        <v>643</v>
      </c>
      <c r="AC383" s="3" t="s">
        <v>3002</v>
      </c>
      <c r="AD383" s="14">
        <v>45587</v>
      </c>
      <c r="AE383" s="14">
        <v>45952</v>
      </c>
      <c r="AF383" s="3"/>
    </row>
    <row r="384" spans="1:32" ht="92.45" hidden="1">
      <c r="A384" s="3" t="s">
        <v>3003</v>
      </c>
      <c r="B384" s="3" t="s">
        <v>3004</v>
      </c>
      <c r="C384" s="3" t="s">
        <v>3005</v>
      </c>
      <c r="D384" s="3" t="s">
        <v>132</v>
      </c>
      <c r="E384" s="3" t="s">
        <v>36</v>
      </c>
      <c r="F384" s="3" t="s">
        <v>221</v>
      </c>
      <c r="G384" s="3" t="s">
        <v>37</v>
      </c>
      <c r="H384" s="3" t="s">
        <v>38</v>
      </c>
      <c r="I384" s="3" t="s">
        <v>3006</v>
      </c>
      <c r="J384" s="3" t="s">
        <v>223</v>
      </c>
      <c r="K384" s="3" t="s">
        <v>41</v>
      </c>
      <c r="L384" s="3" t="s">
        <v>3007</v>
      </c>
      <c r="M384" s="3" t="s">
        <v>1012</v>
      </c>
      <c r="N384" s="3" t="s">
        <v>53</v>
      </c>
      <c r="O384" s="3" t="s">
        <v>86</v>
      </c>
      <c r="P384" s="3" t="s">
        <v>3008</v>
      </c>
      <c r="Q384" s="3" t="s">
        <v>3009</v>
      </c>
      <c r="R384" s="3" t="s">
        <v>36</v>
      </c>
      <c r="S384" s="3" t="s">
        <v>221</v>
      </c>
      <c r="T384" s="3" t="s">
        <v>37</v>
      </c>
      <c r="U384" s="3" t="s">
        <v>49</v>
      </c>
      <c r="V384" s="3" t="s">
        <v>3010</v>
      </c>
      <c r="W384" s="3" t="s">
        <v>223</v>
      </c>
      <c r="X384" s="3" t="s">
        <v>41</v>
      </c>
      <c r="Y384" s="3" t="s">
        <v>3011</v>
      </c>
      <c r="Z384" s="3" t="s">
        <v>225</v>
      </c>
      <c r="AA384" s="3" t="s">
        <v>63</v>
      </c>
      <c r="AB384" s="3" t="s">
        <v>226</v>
      </c>
      <c r="AC384" s="3" t="s">
        <v>3012</v>
      </c>
      <c r="AD384" s="14">
        <v>45664</v>
      </c>
      <c r="AE384" s="14">
        <v>45997</v>
      </c>
      <c r="AF384" s="3"/>
    </row>
    <row r="385" spans="1:32" ht="52.9" hidden="1">
      <c r="A385" s="3" t="s">
        <v>2811</v>
      </c>
      <c r="B385" s="3" t="s">
        <v>2812</v>
      </c>
      <c r="C385" s="3" t="s">
        <v>2859</v>
      </c>
      <c r="D385" s="3" t="s">
        <v>687</v>
      </c>
      <c r="E385" s="3" t="s">
        <v>36</v>
      </c>
      <c r="F385" s="3" t="s">
        <v>221</v>
      </c>
      <c r="G385" s="3" t="s">
        <v>37</v>
      </c>
      <c r="H385" s="3" t="s">
        <v>38</v>
      </c>
      <c r="I385" s="3" t="s">
        <v>2742</v>
      </c>
      <c r="J385" s="3" t="s">
        <v>223</v>
      </c>
      <c r="K385" s="3" t="s">
        <v>780</v>
      </c>
      <c r="L385" s="3" t="s">
        <v>2743</v>
      </c>
      <c r="M385" s="3" t="s">
        <v>2168</v>
      </c>
      <c r="N385" s="3" t="s">
        <v>44</v>
      </c>
      <c r="O385" s="3" t="s">
        <v>643</v>
      </c>
      <c r="P385" s="3" t="s">
        <v>3013</v>
      </c>
      <c r="Q385" s="3" t="s">
        <v>3014</v>
      </c>
      <c r="R385" s="3"/>
      <c r="S385" s="3" t="s">
        <v>221</v>
      </c>
      <c r="T385" s="3" t="s">
        <v>82</v>
      </c>
      <c r="U385" s="3" t="s">
        <v>49</v>
      </c>
      <c r="V385" s="3"/>
      <c r="W385" s="3" t="s">
        <v>223</v>
      </c>
      <c r="X385" s="3"/>
      <c r="Y385" s="3"/>
      <c r="Z385" s="3"/>
      <c r="AA385" s="3" t="s">
        <v>79</v>
      </c>
      <c r="AB385" s="3"/>
      <c r="AC385" s="3" t="s">
        <v>3015</v>
      </c>
      <c r="AD385" s="14">
        <v>45566</v>
      </c>
      <c r="AE385" s="14">
        <v>45931</v>
      </c>
      <c r="AF385" s="3"/>
    </row>
    <row r="386" spans="1:32" ht="52.9" hidden="1">
      <c r="A386" s="3" t="s">
        <v>3016</v>
      </c>
      <c r="B386" s="3" t="s">
        <v>3017</v>
      </c>
      <c r="C386" s="3" t="s">
        <v>3018</v>
      </c>
      <c r="D386" s="3" t="s">
        <v>59</v>
      </c>
      <c r="E386" s="3" t="s">
        <v>36</v>
      </c>
      <c r="F386" s="3" t="s">
        <v>221</v>
      </c>
      <c r="G386" s="3" t="s">
        <v>82</v>
      </c>
      <c r="H386" s="3" t="s">
        <v>73</v>
      </c>
      <c r="I386" s="3" t="s">
        <v>3019</v>
      </c>
      <c r="J386" s="3" t="s">
        <v>223</v>
      </c>
      <c r="K386" s="3" t="s">
        <v>41</v>
      </c>
      <c r="L386" s="3" t="s">
        <v>3020</v>
      </c>
      <c r="M386" s="3" t="s">
        <v>3021</v>
      </c>
      <c r="N386" s="3" t="s">
        <v>79</v>
      </c>
      <c r="O386" s="3" t="s">
        <v>1741</v>
      </c>
      <c r="P386" s="3" t="s">
        <v>3022</v>
      </c>
      <c r="Q386" s="3" t="s">
        <v>3023</v>
      </c>
      <c r="R386" s="3" t="s">
        <v>36</v>
      </c>
      <c r="S386" s="3" t="s">
        <v>221</v>
      </c>
      <c r="T386" s="3" t="s">
        <v>37</v>
      </c>
      <c r="U386" s="3" t="s">
        <v>73</v>
      </c>
      <c r="V386" s="3" t="s">
        <v>3024</v>
      </c>
      <c r="W386" s="3" t="s">
        <v>223</v>
      </c>
      <c r="X386" s="3" t="s">
        <v>41</v>
      </c>
      <c r="Y386" s="3" t="s">
        <v>3025</v>
      </c>
      <c r="Z386" s="3" t="s">
        <v>3026</v>
      </c>
      <c r="AA386" s="3" t="s">
        <v>69</v>
      </c>
      <c r="AB386" s="3" t="s">
        <v>743</v>
      </c>
      <c r="AC386" s="3" t="s">
        <v>3027</v>
      </c>
      <c r="AD386" s="14">
        <v>45600</v>
      </c>
      <c r="AE386" s="14"/>
      <c r="AF386" s="3"/>
    </row>
    <row r="387" spans="1:32" ht="39.6" hidden="1">
      <c r="A387" s="3" t="s">
        <v>3028</v>
      </c>
      <c r="B387" s="3" t="s">
        <v>3029</v>
      </c>
      <c r="C387" s="3" t="s">
        <v>2805</v>
      </c>
      <c r="D387" s="3" t="s">
        <v>687</v>
      </c>
      <c r="E387" s="3" t="s">
        <v>36</v>
      </c>
      <c r="F387" s="3" t="s">
        <v>254</v>
      </c>
      <c r="G387" s="3" t="s">
        <v>82</v>
      </c>
      <c r="H387" s="3" t="s">
        <v>38</v>
      </c>
      <c r="I387" s="3" t="s">
        <v>2768</v>
      </c>
      <c r="J387" s="3" t="s">
        <v>223</v>
      </c>
      <c r="K387" s="3" t="s">
        <v>780</v>
      </c>
      <c r="L387" s="3" t="s">
        <v>2743</v>
      </c>
      <c r="M387" s="3" t="s">
        <v>2168</v>
      </c>
      <c r="N387" s="3" t="s">
        <v>53</v>
      </c>
      <c r="O387" s="3" t="s">
        <v>643</v>
      </c>
      <c r="P387" s="3" t="s">
        <v>3030</v>
      </c>
      <c r="Q387" s="3" t="s">
        <v>3031</v>
      </c>
      <c r="R387" s="3" t="s">
        <v>36</v>
      </c>
      <c r="S387" s="3" t="s">
        <v>221</v>
      </c>
      <c r="T387" s="3" t="s">
        <v>82</v>
      </c>
      <c r="U387" s="3" t="s">
        <v>49</v>
      </c>
      <c r="V387" s="3" t="s">
        <v>3032</v>
      </c>
      <c r="W387" s="3" t="s">
        <v>223</v>
      </c>
      <c r="X387" s="3" t="s">
        <v>780</v>
      </c>
      <c r="Y387" s="3" t="s">
        <v>2747</v>
      </c>
      <c r="Z387" s="3" t="s">
        <v>2148</v>
      </c>
      <c r="AA387" s="3" t="s">
        <v>63</v>
      </c>
      <c r="AB387" s="3" t="s">
        <v>643</v>
      </c>
      <c r="AC387" s="3" t="s">
        <v>3033</v>
      </c>
      <c r="AD387" s="14">
        <v>45566</v>
      </c>
      <c r="AE387" s="14">
        <v>45931</v>
      </c>
      <c r="AF387" s="3"/>
    </row>
    <row r="388" spans="1:32" ht="39.6" hidden="1">
      <c r="A388" s="3" t="s">
        <v>3034</v>
      </c>
      <c r="B388" s="3" t="s">
        <v>3035</v>
      </c>
      <c r="C388" s="3" t="s">
        <v>2805</v>
      </c>
      <c r="D388" s="3" t="s">
        <v>687</v>
      </c>
      <c r="E388" s="3" t="s">
        <v>36</v>
      </c>
      <c r="F388" s="3" t="s">
        <v>274</v>
      </c>
      <c r="G388" s="3" t="s">
        <v>82</v>
      </c>
      <c r="H388" s="3" t="s">
        <v>78</v>
      </c>
      <c r="I388" s="3" t="s">
        <v>2975</v>
      </c>
      <c r="J388" s="3" t="s">
        <v>223</v>
      </c>
      <c r="K388" s="3" t="s">
        <v>780</v>
      </c>
      <c r="L388" s="3" t="s">
        <v>2769</v>
      </c>
      <c r="M388" s="3" t="s">
        <v>2875</v>
      </c>
      <c r="N388" s="3" t="s">
        <v>123</v>
      </c>
      <c r="O388" s="3" t="s">
        <v>643</v>
      </c>
      <c r="P388" s="3" t="s">
        <v>3036</v>
      </c>
      <c r="Q388" s="3" t="s">
        <v>3037</v>
      </c>
      <c r="R388" s="3" t="s">
        <v>36</v>
      </c>
      <c r="S388" s="3" t="s">
        <v>274</v>
      </c>
      <c r="T388" s="3" t="s">
        <v>82</v>
      </c>
      <c r="U388" s="3" t="s">
        <v>49</v>
      </c>
      <c r="V388" s="3" t="s">
        <v>3038</v>
      </c>
      <c r="W388" s="3" t="s">
        <v>223</v>
      </c>
      <c r="X388" s="3" t="s">
        <v>780</v>
      </c>
      <c r="Y388" s="3" t="s">
        <v>2979</v>
      </c>
      <c r="Z388" s="3" t="s">
        <v>3039</v>
      </c>
      <c r="AA388" s="3" t="s">
        <v>53</v>
      </c>
      <c r="AB388" s="3" t="s">
        <v>643</v>
      </c>
      <c r="AC388" s="3" t="s">
        <v>3040</v>
      </c>
      <c r="AD388" s="14">
        <v>45566</v>
      </c>
      <c r="AE388" s="14">
        <v>45931</v>
      </c>
      <c r="AF388" s="3"/>
    </row>
    <row r="389" spans="1:32" ht="39.6" hidden="1">
      <c r="A389" s="3" t="s">
        <v>3041</v>
      </c>
      <c r="B389" s="3" t="s">
        <v>3042</v>
      </c>
      <c r="C389" s="3" t="s">
        <v>2805</v>
      </c>
      <c r="D389" s="3" t="s">
        <v>687</v>
      </c>
      <c r="E389" s="3" t="s">
        <v>36</v>
      </c>
      <c r="F389" s="3" t="s">
        <v>247</v>
      </c>
      <c r="G389" s="3" t="s">
        <v>37</v>
      </c>
      <c r="H389" s="3" t="s">
        <v>38</v>
      </c>
      <c r="I389" s="3" t="s">
        <v>2975</v>
      </c>
      <c r="J389" s="3" t="s">
        <v>223</v>
      </c>
      <c r="K389" s="3" t="s">
        <v>780</v>
      </c>
      <c r="L389" s="3" t="s">
        <v>2769</v>
      </c>
      <c r="M389" s="3" t="s">
        <v>2875</v>
      </c>
      <c r="N389" s="3" t="s">
        <v>53</v>
      </c>
      <c r="O389" s="3" t="s">
        <v>643</v>
      </c>
      <c r="P389" s="3" t="s">
        <v>3043</v>
      </c>
      <c r="Q389" s="3" t="s">
        <v>3044</v>
      </c>
      <c r="R389" s="3" t="s">
        <v>36</v>
      </c>
      <c r="S389" s="3" t="s">
        <v>247</v>
      </c>
      <c r="T389" s="3" t="s">
        <v>82</v>
      </c>
      <c r="U389" s="3" t="s">
        <v>49</v>
      </c>
      <c r="V389" s="3" t="s">
        <v>2891</v>
      </c>
      <c r="W389" s="3" t="s">
        <v>223</v>
      </c>
      <c r="X389" s="3" t="s">
        <v>780</v>
      </c>
      <c r="Y389" s="3" t="s">
        <v>2747</v>
      </c>
      <c r="Z389" s="3" t="s">
        <v>2148</v>
      </c>
      <c r="AA389" s="3" t="s">
        <v>63</v>
      </c>
      <c r="AB389" s="3" t="s">
        <v>643</v>
      </c>
      <c r="AC389" s="3" t="s">
        <v>3045</v>
      </c>
      <c r="AD389" s="14">
        <v>45566</v>
      </c>
      <c r="AE389" s="14">
        <v>45931</v>
      </c>
      <c r="AF389" s="3"/>
    </row>
    <row r="390" spans="1:32" ht="105.6" hidden="1">
      <c r="A390" s="3" t="s">
        <v>3046</v>
      </c>
      <c r="B390" s="3" t="s">
        <v>3047</v>
      </c>
      <c r="C390" s="3" t="s">
        <v>3048</v>
      </c>
      <c r="D390" s="3" t="s">
        <v>348</v>
      </c>
      <c r="E390" s="3" t="s">
        <v>36</v>
      </c>
      <c r="F390" s="3" t="s">
        <v>247</v>
      </c>
      <c r="G390" s="3" t="s">
        <v>82</v>
      </c>
      <c r="H390" s="3" t="s">
        <v>38</v>
      </c>
      <c r="I390" s="3" t="s">
        <v>3049</v>
      </c>
      <c r="J390" s="3" t="s">
        <v>223</v>
      </c>
      <c r="K390" s="3" t="s">
        <v>41</v>
      </c>
      <c r="L390" s="3" t="s">
        <v>3050</v>
      </c>
      <c r="M390" s="3" t="s">
        <v>1776</v>
      </c>
      <c r="N390" s="3" t="s">
        <v>79</v>
      </c>
      <c r="O390" s="3" t="s">
        <v>506</v>
      </c>
      <c r="P390" s="3" t="s">
        <v>3051</v>
      </c>
      <c r="Q390" s="3" t="s">
        <v>3052</v>
      </c>
      <c r="R390" s="3" t="s">
        <v>36</v>
      </c>
      <c r="S390" s="3" t="s">
        <v>221</v>
      </c>
      <c r="T390" s="3" t="s">
        <v>82</v>
      </c>
      <c r="U390" s="3" t="s">
        <v>49</v>
      </c>
      <c r="V390" s="3" t="s">
        <v>3053</v>
      </c>
      <c r="W390" s="3" t="s">
        <v>223</v>
      </c>
      <c r="X390" s="3" t="s">
        <v>41</v>
      </c>
      <c r="Y390" s="3" t="s">
        <v>3054</v>
      </c>
      <c r="Z390" s="3" t="s">
        <v>692</v>
      </c>
      <c r="AA390" s="3" t="s">
        <v>63</v>
      </c>
      <c r="AB390" s="3" t="s">
        <v>658</v>
      </c>
      <c r="AC390" s="3" t="s">
        <v>3055</v>
      </c>
      <c r="AD390" s="14">
        <v>45627</v>
      </c>
      <c r="AE390" s="14">
        <v>45991</v>
      </c>
      <c r="AF390" s="3"/>
    </row>
    <row r="391" spans="1:32" ht="39.6" hidden="1">
      <c r="A391" s="3" t="s">
        <v>3056</v>
      </c>
      <c r="B391" s="3" t="s">
        <v>3057</v>
      </c>
      <c r="C391" s="3" t="s">
        <v>2805</v>
      </c>
      <c r="D391" s="3" t="s">
        <v>687</v>
      </c>
      <c r="E391" s="3" t="s">
        <v>36</v>
      </c>
      <c r="F391" s="3" t="s">
        <v>221</v>
      </c>
      <c r="G391" s="3" t="s">
        <v>82</v>
      </c>
      <c r="H391" s="3" t="s">
        <v>49</v>
      </c>
      <c r="I391" s="3" t="s">
        <v>3058</v>
      </c>
      <c r="J391" s="3" t="s">
        <v>223</v>
      </c>
      <c r="K391" s="3" t="s">
        <v>780</v>
      </c>
      <c r="L391" s="3" t="s">
        <v>3059</v>
      </c>
      <c r="M391" s="3" t="s">
        <v>2880</v>
      </c>
      <c r="N391" s="3" t="s">
        <v>63</v>
      </c>
      <c r="O391" s="3" t="s">
        <v>2466</v>
      </c>
      <c r="P391" s="3" t="s">
        <v>3060</v>
      </c>
      <c r="Q391" s="3" t="s">
        <v>3061</v>
      </c>
      <c r="R391" s="3" t="s">
        <v>36</v>
      </c>
      <c r="S391" s="3" t="s">
        <v>221</v>
      </c>
      <c r="T391" s="3" t="s">
        <v>82</v>
      </c>
      <c r="U391" s="3" t="s">
        <v>73</v>
      </c>
      <c r="V391" s="3" t="s">
        <v>3062</v>
      </c>
      <c r="W391" s="3" t="s">
        <v>223</v>
      </c>
      <c r="X391" s="3" t="s">
        <v>780</v>
      </c>
      <c r="Y391" s="3" t="s">
        <v>2869</v>
      </c>
      <c r="Z391" s="3" t="s">
        <v>2148</v>
      </c>
      <c r="AA391" s="3" t="s">
        <v>281</v>
      </c>
      <c r="AB391" s="3" t="s">
        <v>643</v>
      </c>
      <c r="AC391" s="3" t="s">
        <v>3063</v>
      </c>
      <c r="AD391" s="14">
        <v>45566</v>
      </c>
      <c r="AE391" s="14">
        <v>45931</v>
      </c>
      <c r="AF391" s="3"/>
    </row>
    <row r="392" spans="1:32" ht="39.6" hidden="1">
      <c r="A392" s="3" t="s">
        <v>3034</v>
      </c>
      <c r="B392" s="3" t="s">
        <v>3035</v>
      </c>
      <c r="C392" s="3" t="s">
        <v>2805</v>
      </c>
      <c r="D392" s="3" t="s">
        <v>687</v>
      </c>
      <c r="E392" s="3" t="s">
        <v>36</v>
      </c>
      <c r="F392" s="3" t="s">
        <v>274</v>
      </c>
      <c r="G392" s="3" t="s">
        <v>82</v>
      </c>
      <c r="H392" s="3" t="s">
        <v>78</v>
      </c>
      <c r="I392" s="3" t="s">
        <v>2975</v>
      </c>
      <c r="J392" s="3" t="s">
        <v>223</v>
      </c>
      <c r="K392" s="3" t="s">
        <v>780</v>
      </c>
      <c r="L392" s="3" t="s">
        <v>2769</v>
      </c>
      <c r="M392" s="3" t="s">
        <v>2875</v>
      </c>
      <c r="N392" s="3" t="s">
        <v>123</v>
      </c>
      <c r="O392" s="3" t="s">
        <v>643</v>
      </c>
      <c r="P392" s="3" t="s">
        <v>3064</v>
      </c>
      <c r="Q392" s="3" t="s">
        <v>3065</v>
      </c>
      <c r="R392" s="3" t="s">
        <v>36</v>
      </c>
      <c r="S392" s="3" t="s">
        <v>221</v>
      </c>
      <c r="T392" s="3" t="s">
        <v>82</v>
      </c>
      <c r="U392" s="3" t="s">
        <v>49</v>
      </c>
      <c r="V392" s="3" t="s">
        <v>2984</v>
      </c>
      <c r="W392" s="3" t="s">
        <v>223</v>
      </c>
      <c r="X392" s="3" t="s">
        <v>780</v>
      </c>
      <c r="Y392" s="3" t="s">
        <v>2747</v>
      </c>
      <c r="Z392" s="3" t="s">
        <v>2148</v>
      </c>
      <c r="AA392" s="3" t="s">
        <v>285</v>
      </c>
      <c r="AB392" s="3" t="s">
        <v>643</v>
      </c>
      <c r="AC392" s="3" t="s">
        <v>3066</v>
      </c>
      <c r="AD392" s="14">
        <v>45931</v>
      </c>
      <c r="AE392" s="14">
        <v>45931</v>
      </c>
      <c r="AF392" s="3"/>
    </row>
    <row r="393" spans="1:32" ht="39.6" hidden="1">
      <c r="A393" s="3" t="s">
        <v>3067</v>
      </c>
      <c r="B393" s="3" t="s">
        <v>3068</v>
      </c>
      <c r="C393" s="3" t="s">
        <v>2805</v>
      </c>
      <c r="D393" s="3" t="s">
        <v>687</v>
      </c>
      <c r="E393" s="3" t="s">
        <v>36</v>
      </c>
      <c r="F393" s="3" t="s">
        <v>274</v>
      </c>
      <c r="G393" s="3" t="s">
        <v>82</v>
      </c>
      <c r="H393" s="3" t="s">
        <v>78</v>
      </c>
      <c r="I393" s="3" t="s">
        <v>2768</v>
      </c>
      <c r="J393" s="3" t="s">
        <v>223</v>
      </c>
      <c r="K393" s="3" t="s">
        <v>780</v>
      </c>
      <c r="L393" s="3" t="s">
        <v>2769</v>
      </c>
      <c r="M393" s="3" t="s">
        <v>2875</v>
      </c>
      <c r="N393" s="3" t="s">
        <v>44</v>
      </c>
      <c r="O393" s="3" t="s">
        <v>643</v>
      </c>
      <c r="P393" s="3" t="s">
        <v>3069</v>
      </c>
      <c r="Q393" s="3" t="s">
        <v>3070</v>
      </c>
      <c r="R393" s="3" t="s">
        <v>36</v>
      </c>
      <c r="S393" s="3" t="s">
        <v>221</v>
      </c>
      <c r="T393" s="3" t="s">
        <v>82</v>
      </c>
      <c r="U393" s="3" t="s">
        <v>49</v>
      </c>
      <c r="V393" s="3" t="s">
        <v>2911</v>
      </c>
      <c r="W393" s="3" t="s">
        <v>223</v>
      </c>
      <c r="X393" s="3" t="s">
        <v>780</v>
      </c>
      <c r="Y393" s="3" t="s">
        <v>2747</v>
      </c>
      <c r="Z393" s="3" t="s">
        <v>2807</v>
      </c>
      <c r="AA393" s="3" t="s">
        <v>79</v>
      </c>
      <c r="AB393" s="3" t="s">
        <v>643</v>
      </c>
      <c r="AC393" s="3" t="s">
        <v>3071</v>
      </c>
      <c r="AD393" s="14">
        <v>45566</v>
      </c>
      <c r="AE393" s="14">
        <v>45931</v>
      </c>
      <c r="AF393" s="3"/>
    </row>
    <row r="394" spans="1:32" ht="52.9" hidden="1">
      <c r="A394" s="3" t="s">
        <v>451</v>
      </c>
      <c r="B394" s="3" t="s">
        <v>452</v>
      </c>
      <c r="C394" s="3" t="s">
        <v>2246</v>
      </c>
      <c r="D394" s="3" t="s">
        <v>59</v>
      </c>
      <c r="E394" s="3" t="s">
        <v>36</v>
      </c>
      <c r="F394" s="3" t="s">
        <v>221</v>
      </c>
      <c r="G394" s="3" t="s">
        <v>37</v>
      </c>
      <c r="H394" s="3" t="s">
        <v>38</v>
      </c>
      <c r="I394" s="3" t="s">
        <v>454</v>
      </c>
      <c r="J394" s="3" t="s">
        <v>223</v>
      </c>
      <c r="K394" s="3" t="s">
        <v>41</v>
      </c>
      <c r="L394" s="3" t="s">
        <v>455</v>
      </c>
      <c r="M394" s="3" t="s">
        <v>456</v>
      </c>
      <c r="N394" s="3" t="s">
        <v>79</v>
      </c>
      <c r="O394" s="3" t="s">
        <v>100</v>
      </c>
      <c r="P394" s="3" t="s">
        <v>3072</v>
      </c>
      <c r="Q394" s="3" t="s">
        <v>3073</v>
      </c>
      <c r="R394" s="3" t="s">
        <v>36</v>
      </c>
      <c r="S394" s="3" t="s">
        <v>221</v>
      </c>
      <c r="T394" s="3" t="s">
        <v>37</v>
      </c>
      <c r="U394" s="3" t="s">
        <v>38</v>
      </c>
      <c r="V394" s="3" t="s">
        <v>3074</v>
      </c>
      <c r="W394" s="3" t="s">
        <v>223</v>
      </c>
      <c r="X394" s="3" t="s">
        <v>41</v>
      </c>
      <c r="Y394" s="3" t="s">
        <v>662</v>
      </c>
      <c r="Z394" s="3" t="s">
        <v>2249</v>
      </c>
      <c r="AA394" s="3" t="s">
        <v>79</v>
      </c>
      <c r="AB394" s="3" t="s">
        <v>251</v>
      </c>
      <c r="AC394" s="3" t="s">
        <v>3075</v>
      </c>
      <c r="AD394" s="14">
        <v>45398</v>
      </c>
      <c r="AE394" s="14">
        <v>45688</v>
      </c>
      <c r="AF394" s="3"/>
    </row>
    <row r="395" spans="1:32" ht="224.45" hidden="1">
      <c r="A395" s="3" t="s">
        <v>3076</v>
      </c>
      <c r="B395" s="3" t="s">
        <v>3077</v>
      </c>
      <c r="C395" s="3" t="s">
        <v>3078</v>
      </c>
      <c r="D395" s="3" t="s">
        <v>59</v>
      </c>
      <c r="E395" s="3"/>
      <c r="F395" s="3" t="s">
        <v>221</v>
      </c>
      <c r="G395" s="3" t="s">
        <v>37</v>
      </c>
      <c r="H395" s="3" t="s">
        <v>49</v>
      </c>
      <c r="I395" s="3"/>
      <c r="J395" s="3" t="s">
        <v>223</v>
      </c>
      <c r="K395" s="3"/>
      <c r="L395" s="3"/>
      <c r="M395" s="3"/>
      <c r="N395" s="3" t="s">
        <v>79</v>
      </c>
      <c r="O395" s="3"/>
      <c r="P395" s="3" t="s">
        <v>2613</v>
      </c>
      <c r="Q395" s="3" t="s">
        <v>2614</v>
      </c>
      <c r="R395" s="3" t="s">
        <v>36</v>
      </c>
      <c r="S395" s="3" t="s">
        <v>221</v>
      </c>
      <c r="T395" s="3" t="s">
        <v>82</v>
      </c>
      <c r="U395" s="3" t="s">
        <v>38</v>
      </c>
      <c r="V395" s="3" t="s">
        <v>2616</v>
      </c>
      <c r="W395" s="3" t="s">
        <v>223</v>
      </c>
      <c r="X395" s="3" t="s">
        <v>41</v>
      </c>
      <c r="Y395" s="3" t="s">
        <v>2617</v>
      </c>
      <c r="Z395" s="3" t="s">
        <v>2618</v>
      </c>
      <c r="AA395" s="3" t="s">
        <v>79</v>
      </c>
      <c r="AB395" s="3" t="s">
        <v>201</v>
      </c>
      <c r="AC395" s="3" t="s">
        <v>3079</v>
      </c>
      <c r="AD395" s="14">
        <v>45658</v>
      </c>
      <c r="AE395" s="14">
        <v>45838</v>
      </c>
      <c r="AF395" s="3"/>
    </row>
    <row r="396" spans="1:32" ht="52.9" hidden="1">
      <c r="A396" s="3" t="s">
        <v>3080</v>
      </c>
      <c r="B396" s="3" t="s">
        <v>3081</v>
      </c>
      <c r="C396" s="3"/>
      <c r="D396" s="3" t="s">
        <v>59</v>
      </c>
      <c r="E396" s="3" t="s">
        <v>36</v>
      </c>
      <c r="F396" s="3" t="s">
        <v>247</v>
      </c>
      <c r="G396" s="3" t="s">
        <v>37</v>
      </c>
      <c r="H396" s="3" t="s">
        <v>49</v>
      </c>
      <c r="I396" s="3" t="s">
        <v>3082</v>
      </c>
      <c r="J396" s="3" t="s">
        <v>223</v>
      </c>
      <c r="K396" s="3" t="s">
        <v>41</v>
      </c>
      <c r="L396" s="3" t="s">
        <v>3083</v>
      </c>
      <c r="M396" s="3" t="s">
        <v>1012</v>
      </c>
      <c r="N396" s="3" t="s">
        <v>79</v>
      </c>
      <c r="O396" s="3" t="s">
        <v>86</v>
      </c>
      <c r="P396" s="3" t="s">
        <v>3084</v>
      </c>
      <c r="Q396" s="3" t="s">
        <v>3085</v>
      </c>
      <c r="R396" s="3" t="s">
        <v>36</v>
      </c>
      <c r="S396" s="3" t="s">
        <v>247</v>
      </c>
      <c r="T396" s="3" t="s">
        <v>37</v>
      </c>
      <c r="U396" s="3" t="s">
        <v>49</v>
      </c>
      <c r="V396" s="3" t="s">
        <v>3086</v>
      </c>
      <c r="W396" s="3" t="s">
        <v>223</v>
      </c>
      <c r="X396" s="3" t="s">
        <v>41</v>
      </c>
      <c r="Y396" s="3" t="s">
        <v>3087</v>
      </c>
      <c r="Z396" s="3" t="s">
        <v>1748</v>
      </c>
      <c r="AA396" s="3" t="s">
        <v>63</v>
      </c>
      <c r="AB396" s="3" t="s">
        <v>86</v>
      </c>
      <c r="AC396" s="3" t="s">
        <v>3088</v>
      </c>
      <c r="AD396" s="14">
        <v>45590</v>
      </c>
      <c r="AE396" s="14"/>
      <c r="AF396" s="3"/>
    </row>
    <row r="397" spans="1:32" ht="39.6" hidden="1">
      <c r="A397" s="3" t="s">
        <v>3089</v>
      </c>
      <c r="B397" s="3" t="s">
        <v>3090</v>
      </c>
      <c r="C397" s="3" t="s">
        <v>2805</v>
      </c>
      <c r="D397" s="3" t="s">
        <v>687</v>
      </c>
      <c r="E397" s="3" t="s">
        <v>36</v>
      </c>
      <c r="F397" s="3" t="s">
        <v>274</v>
      </c>
      <c r="G397" s="3" t="s">
        <v>82</v>
      </c>
      <c r="H397" s="3" t="s">
        <v>49</v>
      </c>
      <c r="I397" s="3" t="s">
        <v>2911</v>
      </c>
      <c r="J397" s="3" t="s">
        <v>223</v>
      </c>
      <c r="K397" s="3" t="s">
        <v>780</v>
      </c>
      <c r="L397" s="3" t="s">
        <v>2747</v>
      </c>
      <c r="M397" s="3" t="s">
        <v>2807</v>
      </c>
      <c r="N397" s="3" t="s">
        <v>53</v>
      </c>
      <c r="O397" s="3" t="s">
        <v>643</v>
      </c>
      <c r="P397" s="3" t="s">
        <v>3091</v>
      </c>
      <c r="Q397" s="3" t="s">
        <v>3092</v>
      </c>
      <c r="R397" s="3" t="s">
        <v>36</v>
      </c>
      <c r="S397" s="3" t="s">
        <v>247</v>
      </c>
      <c r="T397" s="3" t="s">
        <v>37</v>
      </c>
      <c r="U397" s="3" t="s">
        <v>49</v>
      </c>
      <c r="V397" s="3" t="s">
        <v>3093</v>
      </c>
      <c r="W397" s="3" t="s">
        <v>223</v>
      </c>
      <c r="X397" s="3" t="s">
        <v>780</v>
      </c>
      <c r="Y397" s="3" t="s">
        <v>2747</v>
      </c>
      <c r="Z397" s="3" t="s">
        <v>2148</v>
      </c>
      <c r="AA397" s="3" t="s">
        <v>63</v>
      </c>
      <c r="AB397" s="3" t="s">
        <v>643</v>
      </c>
      <c r="AC397" s="3" t="s">
        <v>3094</v>
      </c>
      <c r="AD397" s="14">
        <v>45587</v>
      </c>
      <c r="AE397" s="14">
        <v>45931</v>
      </c>
      <c r="AF397" s="3"/>
    </row>
    <row r="398" spans="1:32" ht="39.6" hidden="1">
      <c r="A398" s="3" t="s">
        <v>3095</v>
      </c>
      <c r="B398" s="3" t="s">
        <v>3096</v>
      </c>
      <c r="C398" s="3"/>
      <c r="D398" s="3" t="s">
        <v>59</v>
      </c>
      <c r="E398" s="3" t="s">
        <v>36</v>
      </c>
      <c r="F398" s="3" t="s">
        <v>247</v>
      </c>
      <c r="G398" s="3" t="s">
        <v>82</v>
      </c>
      <c r="H398" s="3" t="s">
        <v>38</v>
      </c>
      <c r="I398" s="3" t="s">
        <v>3097</v>
      </c>
      <c r="J398" s="3" t="s">
        <v>223</v>
      </c>
      <c r="K398" s="3" t="s">
        <v>41</v>
      </c>
      <c r="L398" s="3" t="s">
        <v>3098</v>
      </c>
      <c r="M398" s="3" t="s">
        <v>3099</v>
      </c>
      <c r="N398" s="3" t="s">
        <v>79</v>
      </c>
      <c r="O398" s="3" t="s">
        <v>270</v>
      </c>
      <c r="P398" s="3" t="s">
        <v>3100</v>
      </c>
      <c r="Q398" s="3" t="s">
        <v>3101</v>
      </c>
      <c r="R398" s="3" t="s">
        <v>36</v>
      </c>
      <c r="S398" s="3"/>
      <c r="T398" s="3" t="s">
        <v>82</v>
      </c>
      <c r="U398" s="3" t="s">
        <v>49</v>
      </c>
      <c r="V398" s="3" t="s">
        <v>3102</v>
      </c>
      <c r="W398" s="3" t="s">
        <v>198</v>
      </c>
      <c r="X398" s="3" t="s">
        <v>41</v>
      </c>
      <c r="Y398" s="3" t="s">
        <v>460</v>
      </c>
      <c r="Z398" s="3" t="s">
        <v>796</v>
      </c>
      <c r="AA398" s="3" t="s">
        <v>63</v>
      </c>
      <c r="AB398" s="3" t="s">
        <v>699</v>
      </c>
      <c r="AC398" s="3" t="s">
        <v>3103</v>
      </c>
      <c r="AD398" s="14">
        <v>45474</v>
      </c>
      <c r="AE398" s="14"/>
      <c r="AF398" s="3"/>
    </row>
    <row r="399" spans="1:32" ht="52.9" hidden="1">
      <c r="A399" s="3" t="s">
        <v>3104</v>
      </c>
      <c r="B399" s="3" t="s">
        <v>3105</v>
      </c>
      <c r="C399" s="3" t="s">
        <v>3106</v>
      </c>
      <c r="D399" s="3" t="s">
        <v>59</v>
      </c>
      <c r="E399" s="3" t="s">
        <v>36</v>
      </c>
      <c r="F399" s="3" t="s">
        <v>221</v>
      </c>
      <c r="G399" s="3" t="s">
        <v>37</v>
      </c>
      <c r="H399" s="3" t="s">
        <v>38</v>
      </c>
      <c r="I399" s="3" t="s">
        <v>3107</v>
      </c>
      <c r="J399" s="3" t="s">
        <v>223</v>
      </c>
      <c r="K399" s="3" t="s">
        <v>41</v>
      </c>
      <c r="L399" s="3" t="s">
        <v>3108</v>
      </c>
      <c r="M399" s="3" t="s">
        <v>3109</v>
      </c>
      <c r="N399" s="3" t="s">
        <v>53</v>
      </c>
      <c r="O399" s="3" t="s">
        <v>409</v>
      </c>
      <c r="P399" s="3" t="s">
        <v>3110</v>
      </c>
      <c r="Q399" s="3" t="s">
        <v>3111</v>
      </c>
      <c r="R399" s="3" t="s">
        <v>36</v>
      </c>
      <c r="S399" s="3" t="s">
        <v>221</v>
      </c>
      <c r="T399" s="3" t="s">
        <v>82</v>
      </c>
      <c r="U399" s="3" t="s">
        <v>73</v>
      </c>
      <c r="V399" s="3" t="s">
        <v>3112</v>
      </c>
      <c r="W399" s="3" t="s">
        <v>223</v>
      </c>
      <c r="X399" s="3" t="s">
        <v>41</v>
      </c>
      <c r="Y399" s="3" t="s">
        <v>982</v>
      </c>
      <c r="Z399" s="3" t="s">
        <v>556</v>
      </c>
      <c r="AA399" s="3" t="s">
        <v>63</v>
      </c>
      <c r="AB399" s="3" t="s">
        <v>557</v>
      </c>
      <c r="AC399" s="3" t="s">
        <v>3113</v>
      </c>
      <c r="AD399" s="14">
        <v>45603</v>
      </c>
      <c r="AE399" s="14">
        <v>45688</v>
      </c>
      <c r="AF399" s="3"/>
    </row>
    <row r="400" spans="1:32" ht="105.6" hidden="1">
      <c r="A400" s="3" t="s">
        <v>3114</v>
      </c>
      <c r="B400" s="3" t="s">
        <v>3115</v>
      </c>
      <c r="C400" s="3" t="s">
        <v>3116</v>
      </c>
      <c r="D400" s="3" t="s">
        <v>59</v>
      </c>
      <c r="E400" s="3" t="s">
        <v>36</v>
      </c>
      <c r="F400" s="3" t="s">
        <v>247</v>
      </c>
      <c r="G400" s="3" t="s">
        <v>82</v>
      </c>
      <c r="H400" s="3" t="s">
        <v>49</v>
      </c>
      <c r="I400" s="3" t="s">
        <v>3117</v>
      </c>
      <c r="J400" s="3" t="s">
        <v>223</v>
      </c>
      <c r="K400" s="3" t="s">
        <v>41</v>
      </c>
      <c r="L400" s="3" t="s">
        <v>2327</v>
      </c>
      <c r="M400" s="3" t="s">
        <v>2294</v>
      </c>
      <c r="N400" s="3" t="s">
        <v>79</v>
      </c>
      <c r="O400" s="3" t="s">
        <v>308</v>
      </c>
      <c r="P400" s="3" t="s">
        <v>3118</v>
      </c>
      <c r="Q400" s="3" t="s">
        <v>3119</v>
      </c>
      <c r="R400" s="3" t="s">
        <v>36</v>
      </c>
      <c r="S400" s="3" t="s">
        <v>254</v>
      </c>
      <c r="T400" s="3" t="s">
        <v>37</v>
      </c>
      <c r="U400" s="3" t="s">
        <v>49</v>
      </c>
      <c r="V400" s="3" t="s">
        <v>3120</v>
      </c>
      <c r="W400" s="3" t="s">
        <v>223</v>
      </c>
      <c r="X400" s="3" t="s">
        <v>41</v>
      </c>
      <c r="Y400" s="3" t="s">
        <v>2327</v>
      </c>
      <c r="Z400" s="3" t="s">
        <v>3121</v>
      </c>
      <c r="AA400" s="3" t="s">
        <v>79</v>
      </c>
      <c r="AB400" s="3" t="s">
        <v>240</v>
      </c>
      <c r="AC400" s="3" t="s">
        <v>3122</v>
      </c>
      <c r="AD400" s="14">
        <v>45615</v>
      </c>
      <c r="AE400" s="14">
        <v>45992</v>
      </c>
      <c r="AF400" s="3"/>
    </row>
    <row r="401" spans="1:32" ht="145.15" hidden="1">
      <c r="A401" s="3" t="s">
        <v>1299</v>
      </c>
      <c r="B401" s="3" t="s">
        <v>1300</v>
      </c>
      <c r="C401" s="3" t="s">
        <v>3123</v>
      </c>
      <c r="D401" s="3" t="s">
        <v>59</v>
      </c>
      <c r="E401" s="3" t="s">
        <v>36</v>
      </c>
      <c r="F401" s="3" t="s">
        <v>247</v>
      </c>
      <c r="G401" s="3" t="s">
        <v>37</v>
      </c>
      <c r="H401" s="3" t="s">
        <v>38</v>
      </c>
      <c r="I401" s="3" t="s">
        <v>1301</v>
      </c>
      <c r="J401" s="3" t="s">
        <v>223</v>
      </c>
      <c r="K401" s="3" t="s">
        <v>41</v>
      </c>
      <c r="L401" s="3" t="s">
        <v>1302</v>
      </c>
      <c r="M401" s="3" t="s">
        <v>1303</v>
      </c>
      <c r="N401" s="3" t="s">
        <v>79</v>
      </c>
      <c r="O401" s="3" t="s">
        <v>752</v>
      </c>
      <c r="P401" s="3" t="s">
        <v>3124</v>
      </c>
      <c r="Q401" s="3" t="s">
        <v>3125</v>
      </c>
      <c r="R401" s="3" t="s">
        <v>467</v>
      </c>
      <c r="S401" s="3" t="s">
        <v>221</v>
      </c>
      <c r="T401" s="3" t="s">
        <v>82</v>
      </c>
      <c r="U401" s="3" t="s">
        <v>49</v>
      </c>
      <c r="V401" s="3" t="s">
        <v>3126</v>
      </c>
      <c r="W401" s="3" t="s">
        <v>223</v>
      </c>
      <c r="X401" s="3" t="s">
        <v>41</v>
      </c>
      <c r="Y401" s="3" t="s">
        <v>2654</v>
      </c>
      <c r="Z401" s="3" t="s">
        <v>3127</v>
      </c>
      <c r="AA401" s="3" t="s">
        <v>63</v>
      </c>
      <c r="AB401" s="3" t="s">
        <v>752</v>
      </c>
      <c r="AC401" s="3" t="s">
        <v>3128</v>
      </c>
      <c r="AD401" s="14">
        <v>45617</v>
      </c>
      <c r="AE401" s="14">
        <v>46014</v>
      </c>
      <c r="AF401" s="3"/>
    </row>
    <row r="402" spans="1:32" ht="409.6" hidden="1">
      <c r="A402" s="3" t="s">
        <v>3129</v>
      </c>
      <c r="B402" s="3" t="s">
        <v>3130</v>
      </c>
      <c r="C402" s="3" t="s">
        <v>3131</v>
      </c>
      <c r="D402" s="3" t="s">
        <v>59</v>
      </c>
      <c r="E402" s="3" t="s">
        <v>36</v>
      </c>
      <c r="F402" s="3" t="s">
        <v>274</v>
      </c>
      <c r="G402" s="3" t="s">
        <v>82</v>
      </c>
      <c r="H402" s="3" t="s">
        <v>38</v>
      </c>
      <c r="I402" s="3" t="s">
        <v>3132</v>
      </c>
      <c r="J402" s="3" t="s">
        <v>223</v>
      </c>
      <c r="K402" s="3" t="s">
        <v>41</v>
      </c>
      <c r="L402" s="3" t="s">
        <v>3133</v>
      </c>
      <c r="M402" s="3" t="s">
        <v>1553</v>
      </c>
      <c r="N402" s="3" t="s">
        <v>123</v>
      </c>
      <c r="O402" s="3" t="s">
        <v>54</v>
      </c>
      <c r="P402" s="3" t="s">
        <v>3134</v>
      </c>
      <c r="Q402" s="3" t="s">
        <v>3135</v>
      </c>
      <c r="R402" s="3" t="s">
        <v>36</v>
      </c>
      <c r="S402" s="3" t="s">
        <v>254</v>
      </c>
      <c r="T402" s="3" t="s">
        <v>37</v>
      </c>
      <c r="U402" s="3" t="s">
        <v>49</v>
      </c>
      <c r="V402" s="3" t="s">
        <v>3136</v>
      </c>
      <c r="W402" s="3" t="s">
        <v>223</v>
      </c>
      <c r="X402" s="3" t="s">
        <v>41</v>
      </c>
      <c r="Y402" s="3" t="s">
        <v>2824</v>
      </c>
      <c r="Z402" s="3" t="s">
        <v>2825</v>
      </c>
      <c r="AA402" s="3" t="s">
        <v>53</v>
      </c>
      <c r="AB402" s="3" t="s">
        <v>699</v>
      </c>
      <c r="AC402" s="3" t="s">
        <v>3137</v>
      </c>
      <c r="AD402" s="14">
        <v>45619</v>
      </c>
      <c r="AE402" s="14">
        <v>45716</v>
      </c>
      <c r="AF402" s="3" t="s">
        <v>632</v>
      </c>
    </row>
    <row r="403" spans="1:32" ht="39.6" hidden="1">
      <c r="A403" s="3" t="s">
        <v>3138</v>
      </c>
      <c r="B403" s="3" t="s">
        <v>3139</v>
      </c>
      <c r="C403" s="3"/>
      <c r="D403" s="3" t="s">
        <v>59</v>
      </c>
      <c r="E403" s="3" t="s">
        <v>36</v>
      </c>
      <c r="F403" s="3" t="s">
        <v>274</v>
      </c>
      <c r="G403" s="3" t="s">
        <v>82</v>
      </c>
      <c r="H403" s="3" t="s">
        <v>49</v>
      </c>
      <c r="I403" s="3" t="s">
        <v>1868</v>
      </c>
      <c r="J403" s="3" t="s">
        <v>223</v>
      </c>
      <c r="K403" s="3" t="s">
        <v>41</v>
      </c>
      <c r="L403" s="3" t="s">
        <v>3140</v>
      </c>
      <c r="M403" s="3" t="s">
        <v>3141</v>
      </c>
      <c r="N403" s="3" t="s">
        <v>79</v>
      </c>
      <c r="O403" s="3" t="s">
        <v>54</v>
      </c>
      <c r="P403" s="3" t="s">
        <v>3142</v>
      </c>
      <c r="Q403" s="3" t="s">
        <v>3143</v>
      </c>
      <c r="R403" s="3" t="s">
        <v>36</v>
      </c>
      <c r="S403" s="3" t="s">
        <v>221</v>
      </c>
      <c r="T403" s="3" t="s">
        <v>82</v>
      </c>
      <c r="U403" s="3" t="s">
        <v>49</v>
      </c>
      <c r="V403" s="3" t="s">
        <v>3144</v>
      </c>
      <c r="W403" s="3" t="s">
        <v>223</v>
      </c>
      <c r="X403" s="3" t="s">
        <v>41</v>
      </c>
      <c r="Y403" s="3" t="s">
        <v>1559</v>
      </c>
      <c r="Z403" s="3" t="s">
        <v>796</v>
      </c>
      <c r="AA403" s="3" t="s">
        <v>281</v>
      </c>
      <c r="AB403" s="3" t="s">
        <v>699</v>
      </c>
      <c r="AC403" s="3" t="s">
        <v>3145</v>
      </c>
      <c r="AD403" s="14">
        <v>45658</v>
      </c>
      <c r="AE403" s="14"/>
      <c r="AF403" s="3"/>
    </row>
    <row r="404" spans="1:32" ht="409.6" hidden="1">
      <c r="A404" s="3" t="s">
        <v>2947</v>
      </c>
      <c r="B404" s="3" t="s">
        <v>2948</v>
      </c>
      <c r="C404" s="3" t="s">
        <v>3146</v>
      </c>
      <c r="D404" s="3" t="s">
        <v>59</v>
      </c>
      <c r="E404" s="3" t="s">
        <v>36</v>
      </c>
      <c r="F404" s="3" t="s">
        <v>274</v>
      </c>
      <c r="G404" s="3" t="s">
        <v>82</v>
      </c>
      <c r="H404" s="3" t="s">
        <v>78</v>
      </c>
      <c r="I404" s="3" t="s">
        <v>2950</v>
      </c>
      <c r="J404" s="3" t="s">
        <v>223</v>
      </c>
      <c r="K404" s="3" t="s">
        <v>41</v>
      </c>
      <c r="L404" s="3" t="s">
        <v>249</v>
      </c>
      <c r="M404" s="3" t="s">
        <v>250</v>
      </c>
      <c r="N404" s="3" t="s">
        <v>53</v>
      </c>
      <c r="O404" s="3" t="s">
        <v>251</v>
      </c>
      <c r="P404" s="3" t="s">
        <v>3147</v>
      </c>
      <c r="Q404" s="3" t="s">
        <v>3148</v>
      </c>
      <c r="R404" s="3" t="s">
        <v>36</v>
      </c>
      <c r="S404" s="3" t="s">
        <v>247</v>
      </c>
      <c r="T404" s="3" t="s">
        <v>37</v>
      </c>
      <c r="U404" s="3" t="s">
        <v>49</v>
      </c>
      <c r="V404" s="3" t="s">
        <v>3149</v>
      </c>
      <c r="W404" s="3" t="s">
        <v>223</v>
      </c>
      <c r="X404" s="3" t="s">
        <v>41</v>
      </c>
      <c r="Y404" s="3" t="s">
        <v>2322</v>
      </c>
      <c r="Z404" s="3" t="s">
        <v>225</v>
      </c>
      <c r="AA404" s="3" t="s">
        <v>79</v>
      </c>
      <c r="AB404" s="3" t="s">
        <v>226</v>
      </c>
      <c r="AC404" s="3" t="s">
        <v>3150</v>
      </c>
      <c r="AD404" s="14">
        <v>45712</v>
      </c>
      <c r="AE404" s="14">
        <v>45804</v>
      </c>
      <c r="AF404" s="3"/>
    </row>
    <row r="405" spans="1:32" ht="52.9" hidden="1">
      <c r="A405" s="3" t="s">
        <v>3151</v>
      </c>
      <c r="B405" s="3" t="s">
        <v>3152</v>
      </c>
      <c r="C405" s="3"/>
      <c r="D405" s="3" t="s">
        <v>35</v>
      </c>
      <c r="E405" s="3"/>
      <c r="F405" s="3" t="s">
        <v>274</v>
      </c>
      <c r="G405" s="3" t="s">
        <v>37</v>
      </c>
      <c r="H405" s="3" t="s">
        <v>78</v>
      </c>
      <c r="I405" s="3"/>
      <c r="J405" s="3" t="s">
        <v>223</v>
      </c>
      <c r="K405" s="3"/>
      <c r="L405" s="3"/>
      <c r="M405" s="3"/>
      <c r="N405" s="3" t="s">
        <v>79</v>
      </c>
      <c r="O405" s="3"/>
      <c r="P405" s="3" t="s">
        <v>3153</v>
      </c>
      <c r="Q405" s="3" t="s">
        <v>3154</v>
      </c>
      <c r="R405" s="3" t="s">
        <v>36</v>
      </c>
      <c r="S405" s="3" t="s">
        <v>247</v>
      </c>
      <c r="T405" s="3" t="s">
        <v>37</v>
      </c>
      <c r="U405" s="3" t="s">
        <v>38</v>
      </c>
      <c r="V405" s="3" t="s">
        <v>3155</v>
      </c>
      <c r="W405" s="3" t="s">
        <v>223</v>
      </c>
      <c r="X405" s="3" t="s">
        <v>41</v>
      </c>
      <c r="Y405" s="3" t="s">
        <v>3156</v>
      </c>
      <c r="Z405" s="3" t="s">
        <v>3157</v>
      </c>
      <c r="AA405" s="3" t="s">
        <v>123</v>
      </c>
      <c r="AB405" s="3" t="s">
        <v>270</v>
      </c>
      <c r="AC405" s="3" t="s">
        <v>3158</v>
      </c>
      <c r="AD405" s="14">
        <v>45684</v>
      </c>
      <c r="AE405" s="14">
        <v>46022</v>
      </c>
      <c r="AF405" s="3"/>
    </row>
    <row r="406" spans="1:32" ht="39.6" hidden="1">
      <c r="A406" s="3" t="s">
        <v>3159</v>
      </c>
      <c r="B406" s="3" t="s">
        <v>3160</v>
      </c>
      <c r="C406" s="3" t="s">
        <v>3161</v>
      </c>
      <c r="D406" s="3" t="s">
        <v>35</v>
      </c>
      <c r="E406" s="3" t="s">
        <v>36</v>
      </c>
      <c r="F406" s="3" t="s">
        <v>274</v>
      </c>
      <c r="G406" s="3" t="s">
        <v>37</v>
      </c>
      <c r="H406" s="3" t="s">
        <v>78</v>
      </c>
      <c r="I406" s="3" t="s">
        <v>2500</v>
      </c>
      <c r="J406" s="3" t="s">
        <v>223</v>
      </c>
      <c r="K406" s="3" t="s">
        <v>41</v>
      </c>
      <c r="L406" s="3" t="s">
        <v>2501</v>
      </c>
      <c r="M406" s="3" t="s">
        <v>294</v>
      </c>
      <c r="N406" s="3" t="s">
        <v>53</v>
      </c>
      <c r="O406" s="3" t="s">
        <v>295</v>
      </c>
      <c r="P406" s="3" t="s">
        <v>3162</v>
      </c>
      <c r="Q406" s="3" t="s">
        <v>3163</v>
      </c>
      <c r="R406" s="3" t="s">
        <v>36</v>
      </c>
      <c r="S406" s="3" t="s">
        <v>221</v>
      </c>
      <c r="T406" s="3" t="s">
        <v>37</v>
      </c>
      <c r="U406" s="3" t="s">
        <v>49</v>
      </c>
      <c r="V406" s="3" t="s">
        <v>3164</v>
      </c>
      <c r="W406" s="3" t="s">
        <v>223</v>
      </c>
      <c r="X406" s="3" t="s">
        <v>41</v>
      </c>
      <c r="Y406" s="3" t="s">
        <v>3165</v>
      </c>
      <c r="Z406" s="3" t="s">
        <v>951</v>
      </c>
      <c r="AA406" s="3" t="s">
        <v>79</v>
      </c>
      <c r="AB406" s="3" t="s">
        <v>295</v>
      </c>
      <c r="AC406" s="3" t="s">
        <v>3166</v>
      </c>
      <c r="AD406" s="14">
        <v>45679</v>
      </c>
      <c r="AE406" s="14">
        <v>45869</v>
      </c>
      <c r="AF406" s="3"/>
    </row>
    <row r="407" spans="1:32" ht="39.6" hidden="1">
      <c r="A407" s="3" t="s">
        <v>3167</v>
      </c>
      <c r="B407" s="3" t="s">
        <v>3168</v>
      </c>
      <c r="C407" s="3" t="s">
        <v>3169</v>
      </c>
      <c r="D407" s="3" t="s">
        <v>59</v>
      </c>
      <c r="E407" s="3" t="s">
        <v>36</v>
      </c>
      <c r="F407" s="3"/>
      <c r="G407" s="3" t="s">
        <v>37</v>
      </c>
      <c r="H407" s="3" t="s">
        <v>49</v>
      </c>
      <c r="I407" s="3" t="s">
        <v>3170</v>
      </c>
      <c r="J407" s="3" t="s">
        <v>40</v>
      </c>
      <c r="K407" s="3" t="s">
        <v>41</v>
      </c>
      <c r="L407" s="3" t="s">
        <v>42</v>
      </c>
      <c r="M407" s="3" t="s">
        <v>939</v>
      </c>
      <c r="N407" s="3" t="s">
        <v>79</v>
      </c>
      <c r="O407" s="3" t="s">
        <v>54</v>
      </c>
      <c r="P407" s="3" t="s">
        <v>3171</v>
      </c>
      <c r="Q407" s="3" t="s">
        <v>3172</v>
      </c>
      <c r="R407" s="3" t="s">
        <v>36</v>
      </c>
      <c r="S407" s="3"/>
      <c r="T407" s="3" t="s">
        <v>37</v>
      </c>
      <c r="U407" s="3" t="s">
        <v>49</v>
      </c>
      <c r="V407" s="3" t="s">
        <v>3173</v>
      </c>
      <c r="W407" s="3" t="s">
        <v>40</v>
      </c>
      <c r="X407" s="3" t="s">
        <v>41</v>
      </c>
      <c r="Y407" s="3" t="s">
        <v>106</v>
      </c>
      <c r="Z407" s="3" t="s">
        <v>130</v>
      </c>
      <c r="AA407" s="3" t="s">
        <v>79</v>
      </c>
      <c r="AB407" s="3" t="s">
        <v>54</v>
      </c>
      <c r="AC407" s="3" t="s">
        <v>3174</v>
      </c>
      <c r="AD407" s="14">
        <v>45627</v>
      </c>
      <c r="AE407" s="14">
        <v>46022</v>
      </c>
      <c r="AF407" s="3"/>
    </row>
    <row r="408" spans="1:32" ht="39.6" hidden="1">
      <c r="A408" s="3" t="s">
        <v>3175</v>
      </c>
      <c r="B408" s="3" t="s">
        <v>3176</v>
      </c>
      <c r="C408" s="3"/>
      <c r="D408" s="3" t="s">
        <v>59</v>
      </c>
      <c r="E408" s="3" t="s">
        <v>36</v>
      </c>
      <c r="F408" s="3" t="s">
        <v>254</v>
      </c>
      <c r="G408" s="3" t="s">
        <v>82</v>
      </c>
      <c r="H408" s="3" t="s">
        <v>38</v>
      </c>
      <c r="I408" s="3" t="s">
        <v>3177</v>
      </c>
      <c r="J408" s="3" t="s">
        <v>223</v>
      </c>
      <c r="K408" s="3" t="s">
        <v>41</v>
      </c>
      <c r="L408" s="3" t="s">
        <v>3178</v>
      </c>
      <c r="M408" s="3" t="s">
        <v>692</v>
      </c>
      <c r="N408" s="3" t="s">
        <v>53</v>
      </c>
      <c r="O408" s="3" t="s">
        <v>658</v>
      </c>
      <c r="P408" s="3" t="s">
        <v>3179</v>
      </c>
      <c r="Q408" s="3" t="s">
        <v>3180</v>
      </c>
      <c r="R408" s="3" t="s">
        <v>36</v>
      </c>
      <c r="S408" s="3" t="s">
        <v>221</v>
      </c>
      <c r="T408" s="3" t="s">
        <v>37</v>
      </c>
      <c r="U408" s="3" t="s">
        <v>73</v>
      </c>
      <c r="V408" s="3" t="s">
        <v>3177</v>
      </c>
      <c r="W408" s="3" t="s">
        <v>223</v>
      </c>
      <c r="X408" s="3" t="s">
        <v>41</v>
      </c>
      <c r="Y408" s="3" t="s">
        <v>3181</v>
      </c>
      <c r="Z408" s="3" t="s">
        <v>692</v>
      </c>
      <c r="AA408" s="3" t="s">
        <v>63</v>
      </c>
      <c r="AB408" s="3" t="s">
        <v>658</v>
      </c>
      <c r="AC408" s="3" t="s">
        <v>3182</v>
      </c>
      <c r="AD408" s="14">
        <v>45555</v>
      </c>
      <c r="AE408" s="14">
        <v>45807</v>
      </c>
      <c r="AF408" s="3"/>
    </row>
    <row r="409" spans="1:32" ht="79.150000000000006" hidden="1">
      <c r="A409" s="3" t="s">
        <v>2678</v>
      </c>
      <c r="B409" s="3" t="s">
        <v>2679</v>
      </c>
      <c r="C409" s="3" t="s">
        <v>3183</v>
      </c>
      <c r="D409" s="3" t="s">
        <v>59</v>
      </c>
      <c r="E409" s="3" t="s">
        <v>36</v>
      </c>
      <c r="F409" s="3" t="s">
        <v>274</v>
      </c>
      <c r="G409" s="3" t="s">
        <v>82</v>
      </c>
      <c r="H409" s="3" t="s">
        <v>78</v>
      </c>
      <c r="I409" s="3" t="s">
        <v>1287</v>
      </c>
      <c r="J409" s="3" t="s">
        <v>223</v>
      </c>
      <c r="K409" s="3" t="s">
        <v>41</v>
      </c>
      <c r="L409" s="3" t="s">
        <v>1288</v>
      </c>
      <c r="M409" s="3" t="s">
        <v>1289</v>
      </c>
      <c r="N409" s="3" t="s">
        <v>53</v>
      </c>
      <c r="O409" s="3" t="s">
        <v>240</v>
      </c>
      <c r="P409" s="3" t="s">
        <v>3184</v>
      </c>
      <c r="Q409" s="3" t="s">
        <v>3185</v>
      </c>
      <c r="R409" s="3" t="s">
        <v>36</v>
      </c>
      <c r="S409" s="3" t="s">
        <v>274</v>
      </c>
      <c r="T409" s="3" t="s">
        <v>37</v>
      </c>
      <c r="U409" s="3" t="s">
        <v>49</v>
      </c>
      <c r="V409" s="3" t="s">
        <v>3186</v>
      </c>
      <c r="W409" s="3" t="s">
        <v>223</v>
      </c>
      <c r="X409" s="3" t="s">
        <v>41</v>
      </c>
      <c r="Y409" s="3" t="s">
        <v>2684</v>
      </c>
      <c r="Z409" s="3" t="s">
        <v>2294</v>
      </c>
      <c r="AA409" s="3" t="s">
        <v>53</v>
      </c>
      <c r="AB409" s="3" t="s">
        <v>308</v>
      </c>
      <c r="AC409" s="3" t="s">
        <v>3187</v>
      </c>
      <c r="AD409" s="14">
        <v>45678</v>
      </c>
      <c r="AE409" s="14"/>
      <c r="AF409" s="3"/>
    </row>
    <row r="410" spans="1:32" ht="409.6" hidden="1">
      <c r="A410" s="3" t="s">
        <v>2277</v>
      </c>
      <c r="B410" s="3" t="s">
        <v>2278</v>
      </c>
      <c r="C410" s="3" t="s">
        <v>3188</v>
      </c>
      <c r="D410" s="3" t="s">
        <v>59</v>
      </c>
      <c r="E410" s="3" t="s">
        <v>36</v>
      </c>
      <c r="F410" s="3" t="s">
        <v>274</v>
      </c>
      <c r="G410" s="3" t="s">
        <v>37</v>
      </c>
      <c r="H410" s="3" t="s">
        <v>49</v>
      </c>
      <c r="I410" s="3" t="s">
        <v>2279</v>
      </c>
      <c r="J410" s="3" t="s">
        <v>223</v>
      </c>
      <c r="K410" s="3" t="s">
        <v>41</v>
      </c>
      <c r="L410" s="3" t="s">
        <v>2280</v>
      </c>
      <c r="M410" s="3" t="s">
        <v>2281</v>
      </c>
      <c r="N410" s="3" t="s">
        <v>44</v>
      </c>
      <c r="O410" s="3" t="s">
        <v>270</v>
      </c>
      <c r="P410" s="3" t="s">
        <v>3189</v>
      </c>
      <c r="Q410" s="3" t="s">
        <v>3190</v>
      </c>
      <c r="R410" s="3" t="s">
        <v>36</v>
      </c>
      <c r="S410" s="3" t="s">
        <v>247</v>
      </c>
      <c r="T410" s="3" t="s">
        <v>82</v>
      </c>
      <c r="U410" s="3" t="s">
        <v>49</v>
      </c>
      <c r="V410" s="3" t="s">
        <v>3191</v>
      </c>
      <c r="W410" s="3" t="s">
        <v>223</v>
      </c>
      <c r="X410" s="3" t="s">
        <v>41</v>
      </c>
      <c r="Y410" s="3" t="s">
        <v>1297</v>
      </c>
      <c r="Z410" s="3" t="s">
        <v>43</v>
      </c>
      <c r="AA410" s="3" t="s">
        <v>63</v>
      </c>
      <c r="AB410" s="3" t="s">
        <v>45</v>
      </c>
      <c r="AC410" s="3" t="s">
        <v>3192</v>
      </c>
      <c r="AD410" s="14">
        <v>45658</v>
      </c>
      <c r="AE410" s="14"/>
      <c r="AF410" s="3"/>
    </row>
    <row r="411" spans="1:32" ht="409.6" hidden="1">
      <c r="A411" s="3" t="s">
        <v>3193</v>
      </c>
      <c r="B411" s="3" t="s">
        <v>3194</v>
      </c>
      <c r="C411" s="3" t="s">
        <v>3195</v>
      </c>
      <c r="D411" s="3" t="s">
        <v>35</v>
      </c>
      <c r="E411" s="3" t="s">
        <v>36</v>
      </c>
      <c r="F411" s="3" t="s">
        <v>221</v>
      </c>
      <c r="G411" s="3" t="s">
        <v>82</v>
      </c>
      <c r="H411" s="3" t="s">
        <v>38</v>
      </c>
      <c r="I411" s="3" t="s">
        <v>3196</v>
      </c>
      <c r="J411" s="3" t="s">
        <v>223</v>
      </c>
      <c r="K411" s="3" t="s">
        <v>780</v>
      </c>
      <c r="L411" s="3" t="s">
        <v>3197</v>
      </c>
      <c r="M411" s="3" t="s">
        <v>987</v>
      </c>
      <c r="N411" s="3" t="s">
        <v>63</v>
      </c>
      <c r="O411" s="3" t="s">
        <v>270</v>
      </c>
      <c r="P411" s="3" t="s">
        <v>3198</v>
      </c>
      <c r="Q411" s="3" t="s">
        <v>3199</v>
      </c>
      <c r="R411" s="3" t="s">
        <v>36</v>
      </c>
      <c r="S411" s="3" t="s">
        <v>221</v>
      </c>
      <c r="T411" s="3" t="s">
        <v>37</v>
      </c>
      <c r="U411" s="3" t="s">
        <v>38</v>
      </c>
      <c r="V411" s="3" t="s">
        <v>3200</v>
      </c>
      <c r="W411" s="3" t="s">
        <v>223</v>
      </c>
      <c r="X411" s="3" t="s">
        <v>780</v>
      </c>
      <c r="Y411" s="3" t="s">
        <v>3201</v>
      </c>
      <c r="Z411" s="3" t="s">
        <v>3202</v>
      </c>
      <c r="AA411" s="3" t="s">
        <v>285</v>
      </c>
      <c r="AB411" s="3" t="s">
        <v>270</v>
      </c>
      <c r="AC411" s="3" t="s">
        <v>3203</v>
      </c>
      <c r="AD411" s="14">
        <v>45597</v>
      </c>
      <c r="AE411" s="14"/>
      <c r="AF411" s="3"/>
    </row>
    <row r="412" spans="1:32" ht="39.6" hidden="1">
      <c r="A412" s="3" t="s">
        <v>501</v>
      </c>
      <c r="B412" s="3" t="s">
        <v>502</v>
      </c>
      <c r="C412" s="3" t="s">
        <v>3204</v>
      </c>
      <c r="D412" s="3" t="s">
        <v>59</v>
      </c>
      <c r="E412" s="3" t="s">
        <v>36</v>
      </c>
      <c r="F412" s="3" t="s">
        <v>274</v>
      </c>
      <c r="G412" s="3" t="s">
        <v>37</v>
      </c>
      <c r="H412" s="3" t="s">
        <v>78</v>
      </c>
      <c r="I412" s="3" t="s">
        <v>503</v>
      </c>
      <c r="J412" s="3" t="s">
        <v>223</v>
      </c>
      <c r="K412" s="3" t="s">
        <v>41</v>
      </c>
      <c r="L412" s="3" t="s">
        <v>504</v>
      </c>
      <c r="M412" s="3" t="s">
        <v>505</v>
      </c>
      <c r="N412" s="3" t="s">
        <v>53</v>
      </c>
      <c r="O412" s="3" t="s">
        <v>506</v>
      </c>
      <c r="P412" s="3" t="s">
        <v>2405</v>
      </c>
      <c r="Q412" s="3" t="s">
        <v>2406</v>
      </c>
      <c r="R412" s="3" t="s">
        <v>36</v>
      </c>
      <c r="S412" s="3" t="s">
        <v>247</v>
      </c>
      <c r="T412" s="3" t="s">
        <v>37</v>
      </c>
      <c r="U412" s="3" t="s">
        <v>49</v>
      </c>
      <c r="V412" s="3" t="s">
        <v>2407</v>
      </c>
      <c r="W412" s="3" t="s">
        <v>223</v>
      </c>
      <c r="X412" s="3" t="s">
        <v>780</v>
      </c>
      <c r="Y412" s="3" t="s">
        <v>2408</v>
      </c>
      <c r="Z412" s="3" t="s">
        <v>2409</v>
      </c>
      <c r="AA412" s="3" t="s">
        <v>53</v>
      </c>
      <c r="AB412" s="3" t="s">
        <v>557</v>
      </c>
      <c r="AC412" s="3" t="s">
        <v>3205</v>
      </c>
      <c r="AD412" s="14">
        <v>45621</v>
      </c>
      <c r="AE412" s="14">
        <v>46022</v>
      </c>
      <c r="AF412" s="3"/>
    </row>
    <row r="413" spans="1:32" ht="52.9" hidden="1">
      <c r="A413" s="3" t="s">
        <v>3206</v>
      </c>
      <c r="B413" s="3" t="s">
        <v>3207</v>
      </c>
      <c r="C413" s="3" t="s">
        <v>3208</v>
      </c>
      <c r="D413" s="3" t="s">
        <v>59</v>
      </c>
      <c r="E413" s="3" t="s">
        <v>36</v>
      </c>
      <c r="F413" s="3" t="s">
        <v>247</v>
      </c>
      <c r="G413" s="3" t="s">
        <v>37</v>
      </c>
      <c r="H413" s="3" t="s">
        <v>49</v>
      </c>
      <c r="I413" s="3" t="s">
        <v>3209</v>
      </c>
      <c r="J413" s="3" t="s">
        <v>223</v>
      </c>
      <c r="K413" s="3" t="s">
        <v>41</v>
      </c>
      <c r="L413" s="3" t="s">
        <v>3210</v>
      </c>
      <c r="M413" s="3" t="s">
        <v>2095</v>
      </c>
      <c r="N413" s="3" t="s">
        <v>79</v>
      </c>
      <c r="O413" s="3" t="s">
        <v>201</v>
      </c>
      <c r="P413" s="3" t="s">
        <v>2619</v>
      </c>
      <c r="Q413" s="3" t="s">
        <v>2620</v>
      </c>
      <c r="R413" s="3" t="s">
        <v>36</v>
      </c>
      <c r="S413" s="3" t="s">
        <v>221</v>
      </c>
      <c r="T413" s="3" t="s">
        <v>37</v>
      </c>
      <c r="U413" s="3" t="s">
        <v>49</v>
      </c>
      <c r="V413" s="3" t="s">
        <v>2561</v>
      </c>
      <c r="W413" s="3" t="s">
        <v>223</v>
      </c>
      <c r="X413" s="3" t="s">
        <v>41</v>
      </c>
      <c r="Y413" s="3" t="s">
        <v>2621</v>
      </c>
      <c r="Z413" s="3" t="s">
        <v>2622</v>
      </c>
      <c r="AA413" s="3" t="s">
        <v>79</v>
      </c>
      <c r="AB413" s="3" t="s">
        <v>270</v>
      </c>
      <c r="AC413" s="3" t="s">
        <v>3211</v>
      </c>
      <c r="AD413" s="14">
        <v>45566</v>
      </c>
      <c r="AE413" s="14">
        <v>45596</v>
      </c>
      <c r="AF413" s="3"/>
    </row>
    <row r="414" spans="1:32" ht="290.45" hidden="1">
      <c r="A414" s="3" t="s">
        <v>3212</v>
      </c>
      <c r="B414" s="3" t="s">
        <v>3213</v>
      </c>
      <c r="C414" s="3" t="s">
        <v>3214</v>
      </c>
      <c r="D414" s="3" t="s">
        <v>348</v>
      </c>
      <c r="E414" s="3" t="s">
        <v>36</v>
      </c>
      <c r="F414" s="3" t="s">
        <v>274</v>
      </c>
      <c r="G414" s="3" t="s">
        <v>37</v>
      </c>
      <c r="H414" s="3" t="s">
        <v>78</v>
      </c>
      <c r="I414" s="3" t="s">
        <v>3215</v>
      </c>
      <c r="J414" s="3" t="s">
        <v>223</v>
      </c>
      <c r="K414" s="3" t="s">
        <v>41</v>
      </c>
      <c r="L414" s="3" t="s">
        <v>3216</v>
      </c>
      <c r="M414" s="3" t="s">
        <v>313</v>
      </c>
      <c r="N414" s="3" t="s">
        <v>63</v>
      </c>
      <c r="O414" s="3" t="s">
        <v>308</v>
      </c>
      <c r="P414" s="3" t="s">
        <v>3217</v>
      </c>
      <c r="Q414" s="3" t="s">
        <v>3218</v>
      </c>
      <c r="R414" s="3" t="s">
        <v>36</v>
      </c>
      <c r="S414" s="3" t="s">
        <v>254</v>
      </c>
      <c r="T414" s="3" t="s">
        <v>37</v>
      </c>
      <c r="U414" s="3" t="s">
        <v>73</v>
      </c>
      <c r="V414" s="3" t="s">
        <v>3219</v>
      </c>
      <c r="W414" s="3" t="s">
        <v>223</v>
      </c>
      <c r="X414" s="3" t="s">
        <v>41</v>
      </c>
      <c r="Y414" s="3" t="s">
        <v>1468</v>
      </c>
      <c r="Z414" s="3" t="s">
        <v>596</v>
      </c>
      <c r="AA414" s="3" t="s">
        <v>79</v>
      </c>
      <c r="AB414" s="3" t="s">
        <v>308</v>
      </c>
      <c r="AC414" s="3" t="s">
        <v>3220</v>
      </c>
      <c r="AD414" s="14">
        <v>45635</v>
      </c>
      <c r="AE414" s="14">
        <v>46006</v>
      </c>
      <c r="AF414" s="3"/>
    </row>
    <row r="415" spans="1:32" ht="303.60000000000002" hidden="1">
      <c r="A415" s="3" t="s">
        <v>1891</v>
      </c>
      <c r="B415" s="3" t="s">
        <v>1892</v>
      </c>
      <c r="C415" s="3" t="s">
        <v>3221</v>
      </c>
      <c r="D415" s="3" t="s">
        <v>59</v>
      </c>
      <c r="E415" s="3" t="s">
        <v>36</v>
      </c>
      <c r="F415" s="3" t="s">
        <v>274</v>
      </c>
      <c r="G415" s="3" t="s">
        <v>37</v>
      </c>
      <c r="H415" s="3" t="s">
        <v>38</v>
      </c>
      <c r="I415" s="3" t="s">
        <v>1893</v>
      </c>
      <c r="J415" s="3" t="s">
        <v>223</v>
      </c>
      <c r="K415" s="3" t="s">
        <v>41</v>
      </c>
      <c r="L415" s="3" t="s">
        <v>1894</v>
      </c>
      <c r="M415" s="3" t="s">
        <v>1553</v>
      </c>
      <c r="N415" s="3" t="s">
        <v>53</v>
      </c>
      <c r="O415" s="3" t="s">
        <v>54</v>
      </c>
      <c r="P415" s="3" t="s">
        <v>3222</v>
      </c>
      <c r="Q415" s="3" t="s">
        <v>3223</v>
      </c>
      <c r="R415" s="3" t="s">
        <v>36</v>
      </c>
      <c r="S415" s="3" t="s">
        <v>221</v>
      </c>
      <c r="T415" s="3" t="s">
        <v>37</v>
      </c>
      <c r="U415" s="3" t="s">
        <v>49</v>
      </c>
      <c r="V415" s="3" t="s">
        <v>3224</v>
      </c>
      <c r="W415" s="3" t="s">
        <v>223</v>
      </c>
      <c r="X415" s="3" t="s">
        <v>41</v>
      </c>
      <c r="Y415" s="3" t="s">
        <v>3225</v>
      </c>
      <c r="Z415" s="3" t="s">
        <v>3226</v>
      </c>
      <c r="AA415" s="3" t="s">
        <v>79</v>
      </c>
      <c r="AB415" s="3" t="s">
        <v>1917</v>
      </c>
      <c r="AC415" s="3" t="s">
        <v>3227</v>
      </c>
      <c r="AD415" s="14">
        <v>45597</v>
      </c>
      <c r="AE415" s="14">
        <v>46010</v>
      </c>
      <c r="AF415" s="3"/>
    </row>
    <row r="416" spans="1:32" ht="92.45" hidden="1">
      <c r="A416" s="3" t="s">
        <v>3228</v>
      </c>
      <c r="B416" s="3" t="s">
        <v>3229</v>
      </c>
      <c r="C416" s="3" t="s">
        <v>3230</v>
      </c>
      <c r="D416" s="3" t="s">
        <v>59</v>
      </c>
      <c r="E416" s="3" t="s">
        <v>36</v>
      </c>
      <c r="F416" s="3" t="s">
        <v>247</v>
      </c>
      <c r="G416" s="3" t="s">
        <v>37</v>
      </c>
      <c r="H416" s="3" t="s">
        <v>78</v>
      </c>
      <c r="I416" s="3" t="s">
        <v>3231</v>
      </c>
      <c r="J416" s="3" t="s">
        <v>223</v>
      </c>
      <c r="K416" s="3" t="s">
        <v>356</v>
      </c>
      <c r="L416" s="3" t="s">
        <v>3232</v>
      </c>
      <c r="M416" s="3" t="s">
        <v>1938</v>
      </c>
      <c r="N416" s="3" t="s">
        <v>79</v>
      </c>
      <c r="O416" s="3" t="s">
        <v>543</v>
      </c>
      <c r="P416" s="3" t="s">
        <v>3233</v>
      </c>
      <c r="Q416" s="3" t="s">
        <v>3234</v>
      </c>
      <c r="R416" s="3" t="s">
        <v>36</v>
      </c>
      <c r="S416" s="3" t="s">
        <v>247</v>
      </c>
      <c r="T416" s="3" t="s">
        <v>37</v>
      </c>
      <c r="U416" s="3" t="s">
        <v>38</v>
      </c>
      <c r="V416" s="3" t="s">
        <v>3235</v>
      </c>
      <c r="W416" s="3" t="s">
        <v>223</v>
      </c>
      <c r="X416" s="3" t="s">
        <v>41</v>
      </c>
      <c r="Y416" s="3" t="s">
        <v>2458</v>
      </c>
      <c r="Z416" s="3" t="s">
        <v>1956</v>
      </c>
      <c r="AA416" s="3" t="s">
        <v>63</v>
      </c>
      <c r="AB416" s="3" t="s">
        <v>543</v>
      </c>
      <c r="AC416" s="3" t="s">
        <v>3236</v>
      </c>
      <c r="AD416" s="14">
        <v>45636</v>
      </c>
      <c r="AE416" s="14">
        <v>46001</v>
      </c>
      <c r="AF416" s="3"/>
    </row>
    <row r="417" spans="1:32" ht="39.6" hidden="1">
      <c r="A417" s="3" t="s">
        <v>3237</v>
      </c>
      <c r="B417" s="3" t="s">
        <v>3238</v>
      </c>
      <c r="C417" s="3" t="s">
        <v>2859</v>
      </c>
      <c r="D417" s="3" t="s">
        <v>687</v>
      </c>
      <c r="E417" s="3" t="s">
        <v>36</v>
      </c>
      <c r="F417" s="3" t="s">
        <v>221</v>
      </c>
      <c r="G417" s="3" t="s">
        <v>82</v>
      </c>
      <c r="H417" s="3" t="s">
        <v>38</v>
      </c>
      <c r="I417" s="3" t="s">
        <v>3239</v>
      </c>
      <c r="J417" s="3" t="s">
        <v>223</v>
      </c>
      <c r="K417" s="3" t="s">
        <v>780</v>
      </c>
      <c r="L417" s="3" t="s">
        <v>3240</v>
      </c>
      <c r="M417" s="3" t="s">
        <v>3241</v>
      </c>
      <c r="N417" s="3" t="s">
        <v>44</v>
      </c>
      <c r="O417" s="3" t="s">
        <v>643</v>
      </c>
      <c r="P417" s="3" t="s">
        <v>3242</v>
      </c>
      <c r="Q417" s="3" t="s">
        <v>3243</v>
      </c>
      <c r="R417" s="3" t="s">
        <v>36</v>
      </c>
      <c r="S417" s="3" t="s">
        <v>221</v>
      </c>
      <c r="T417" s="3" t="s">
        <v>37</v>
      </c>
      <c r="U417" s="3" t="s">
        <v>49</v>
      </c>
      <c r="V417" s="3" t="s">
        <v>2984</v>
      </c>
      <c r="W417" s="3" t="s">
        <v>223</v>
      </c>
      <c r="X417" s="3" t="s">
        <v>780</v>
      </c>
      <c r="Y417" s="3" t="s">
        <v>2747</v>
      </c>
      <c r="Z417" s="3" t="s">
        <v>2148</v>
      </c>
      <c r="AA417" s="3" t="s">
        <v>63</v>
      </c>
      <c r="AB417" s="3" t="s">
        <v>643</v>
      </c>
      <c r="AC417" s="3" t="s">
        <v>3244</v>
      </c>
      <c r="AD417" s="14">
        <v>45566</v>
      </c>
      <c r="AE417" s="14">
        <v>45931</v>
      </c>
      <c r="AF417" s="3"/>
    </row>
    <row r="418" spans="1:32" ht="39.6" hidden="1">
      <c r="A418" s="3" t="s">
        <v>3237</v>
      </c>
      <c r="B418" s="3" t="s">
        <v>3238</v>
      </c>
      <c r="C418" s="3" t="s">
        <v>2859</v>
      </c>
      <c r="D418" s="3" t="s">
        <v>687</v>
      </c>
      <c r="E418" s="3" t="s">
        <v>36</v>
      </c>
      <c r="F418" s="3" t="s">
        <v>221</v>
      </c>
      <c r="G418" s="3" t="s">
        <v>82</v>
      </c>
      <c r="H418" s="3" t="s">
        <v>38</v>
      </c>
      <c r="I418" s="3" t="s">
        <v>3239</v>
      </c>
      <c r="J418" s="3" t="s">
        <v>223</v>
      </c>
      <c r="K418" s="3" t="s">
        <v>780</v>
      </c>
      <c r="L418" s="3" t="s">
        <v>3240</v>
      </c>
      <c r="M418" s="3" t="s">
        <v>3241</v>
      </c>
      <c r="N418" s="3" t="s">
        <v>44</v>
      </c>
      <c r="O418" s="3" t="s">
        <v>643</v>
      </c>
      <c r="P418" s="3" t="s">
        <v>3056</v>
      </c>
      <c r="Q418" s="3" t="s">
        <v>3057</v>
      </c>
      <c r="R418" s="3" t="s">
        <v>36</v>
      </c>
      <c r="S418" s="3" t="s">
        <v>221</v>
      </c>
      <c r="T418" s="3" t="s">
        <v>82</v>
      </c>
      <c r="U418" s="3" t="s">
        <v>49</v>
      </c>
      <c r="V418" s="3" t="s">
        <v>3058</v>
      </c>
      <c r="W418" s="3" t="s">
        <v>223</v>
      </c>
      <c r="X418" s="3" t="s">
        <v>780</v>
      </c>
      <c r="Y418" s="3" t="s">
        <v>3059</v>
      </c>
      <c r="Z418" s="3" t="s">
        <v>2880</v>
      </c>
      <c r="AA418" s="3" t="s">
        <v>63</v>
      </c>
      <c r="AB418" s="3" t="s">
        <v>2466</v>
      </c>
      <c r="AC418" s="3" t="s">
        <v>3245</v>
      </c>
      <c r="AD418" s="14">
        <v>45566</v>
      </c>
      <c r="AE418" s="14">
        <v>45931</v>
      </c>
      <c r="AF418" s="3"/>
    </row>
    <row r="419" spans="1:32" ht="66" hidden="1">
      <c r="A419" s="3" t="s">
        <v>2427</v>
      </c>
      <c r="B419" s="3" t="s">
        <v>2428</v>
      </c>
      <c r="C419" s="3" t="s">
        <v>3246</v>
      </c>
      <c r="D419" s="3" t="s">
        <v>59</v>
      </c>
      <c r="E419" s="3" t="s">
        <v>36</v>
      </c>
      <c r="F419" s="3" t="s">
        <v>221</v>
      </c>
      <c r="G419" s="3" t="s">
        <v>82</v>
      </c>
      <c r="H419" s="3" t="s">
        <v>78</v>
      </c>
      <c r="I419" s="3" t="s">
        <v>2430</v>
      </c>
      <c r="J419" s="3" t="s">
        <v>223</v>
      </c>
      <c r="K419" s="3" t="s">
        <v>41</v>
      </c>
      <c r="L419" s="3" t="s">
        <v>2431</v>
      </c>
      <c r="M419" s="3" t="s">
        <v>2432</v>
      </c>
      <c r="N419" s="3" t="s">
        <v>123</v>
      </c>
      <c r="O419" s="3" t="s">
        <v>270</v>
      </c>
      <c r="P419" s="3" t="s">
        <v>3247</v>
      </c>
      <c r="Q419" s="3" t="s">
        <v>3248</v>
      </c>
      <c r="R419" s="3" t="s">
        <v>36</v>
      </c>
      <c r="S419" s="3" t="s">
        <v>221</v>
      </c>
      <c r="T419" s="3" t="s">
        <v>82</v>
      </c>
      <c r="U419" s="3" t="s">
        <v>49</v>
      </c>
      <c r="V419" s="3" t="s">
        <v>2647</v>
      </c>
      <c r="W419" s="3" t="s">
        <v>223</v>
      </c>
      <c r="X419" s="3" t="s">
        <v>41</v>
      </c>
      <c r="Y419" s="3" t="s">
        <v>2648</v>
      </c>
      <c r="Z419" s="3" t="s">
        <v>1672</v>
      </c>
      <c r="AA419" s="3" t="s">
        <v>63</v>
      </c>
      <c r="AB419" s="3" t="s">
        <v>240</v>
      </c>
      <c r="AC419" s="3" t="s">
        <v>3249</v>
      </c>
      <c r="AD419" s="14">
        <v>45684</v>
      </c>
      <c r="AE419" s="14"/>
      <c r="AF419" s="3"/>
    </row>
    <row r="420" spans="1:32" ht="39.6" hidden="1">
      <c r="A420" s="3" t="s">
        <v>272</v>
      </c>
      <c r="B420" s="3" t="s">
        <v>273</v>
      </c>
      <c r="C420" s="3" t="s">
        <v>3250</v>
      </c>
      <c r="D420" s="3" t="s">
        <v>59</v>
      </c>
      <c r="E420" s="3" t="s">
        <v>36</v>
      </c>
      <c r="F420" s="3" t="s">
        <v>274</v>
      </c>
      <c r="G420" s="3" t="s">
        <v>82</v>
      </c>
      <c r="H420" s="3" t="s">
        <v>78</v>
      </c>
      <c r="I420" s="3" t="s">
        <v>275</v>
      </c>
      <c r="J420" s="3" t="s">
        <v>223</v>
      </c>
      <c r="K420" s="3" t="s">
        <v>41</v>
      </c>
      <c r="L420" s="3" t="s">
        <v>276</v>
      </c>
      <c r="M420" s="3" t="s">
        <v>277</v>
      </c>
      <c r="N420" s="3" t="s">
        <v>123</v>
      </c>
      <c r="O420" s="3" t="s">
        <v>278</v>
      </c>
      <c r="P420" s="3" t="s">
        <v>3251</v>
      </c>
      <c r="Q420" s="3" t="s">
        <v>3252</v>
      </c>
      <c r="R420" s="3" t="s">
        <v>467</v>
      </c>
      <c r="S420" s="3" t="s">
        <v>247</v>
      </c>
      <c r="T420" s="3" t="s">
        <v>82</v>
      </c>
      <c r="U420" s="3" t="s">
        <v>49</v>
      </c>
      <c r="V420" s="3" t="s">
        <v>3253</v>
      </c>
      <c r="W420" s="3" t="s">
        <v>223</v>
      </c>
      <c r="X420" s="3" t="s">
        <v>41</v>
      </c>
      <c r="Y420" s="3" t="s">
        <v>3254</v>
      </c>
      <c r="Z420" s="3" t="s">
        <v>384</v>
      </c>
      <c r="AA420" s="3" t="s">
        <v>79</v>
      </c>
      <c r="AB420" s="3" t="s">
        <v>385</v>
      </c>
      <c r="AC420" s="3" t="s">
        <v>3255</v>
      </c>
      <c r="AD420" s="14">
        <v>45689</v>
      </c>
      <c r="AE420" s="14">
        <v>46081</v>
      </c>
      <c r="AF420" s="3"/>
    </row>
    <row r="421" spans="1:32" ht="39.6" hidden="1">
      <c r="A421" s="3" t="s">
        <v>3256</v>
      </c>
      <c r="B421" s="3" t="s">
        <v>3257</v>
      </c>
      <c r="C421" s="3" t="s">
        <v>2805</v>
      </c>
      <c r="D421" s="3" t="s">
        <v>687</v>
      </c>
      <c r="E421" s="3" t="s">
        <v>36</v>
      </c>
      <c r="F421" s="3" t="s">
        <v>221</v>
      </c>
      <c r="G421" s="3" t="s">
        <v>82</v>
      </c>
      <c r="H421" s="3" t="s">
        <v>49</v>
      </c>
      <c r="I421" s="3" t="s">
        <v>2851</v>
      </c>
      <c r="J421" s="3" t="s">
        <v>223</v>
      </c>
      <c r="K421" s="3" t="s">
        <v>780</v>
      </c>
      <c r="L421" s="3" t="s">
        <v>2852</v>
      </c>
      <c r="M421" s="3" t="s">
        <v>2168</v>
      </c>
      <c r="N421" s="3" t="s">
        <v>53</v>
      </c>
      <c r="O421" s="3" t="s">
        <v>643</v>
      </c>
      <c r="P421" s="3" t="s">
        <v>3258</v>
      </c>
      <c r="Q421" s="3" t="s">
        <v>3259</v>
      </c>
      <c r="R421" s="3" t="s">
        <v>36</v>
      </c>
      <c r="S421" s="3" t="s">
        <v>221</v>
      </c>
      <c r="T421" s="3" t="s">
        <v>82</v>
      </c>
      <c r="U421" s="3" t="s">
        <v>49</v>
      </c>
      <c r="V421" s="3" t="s">
        <v>2899</v>
      </c>
      <c r="W421" s="3" t="s">
        <v>223</v>
      </c>
      <c r="X421" s="3" t="s">
        <v>780</v>
      </c>
      <c r="Y421" s="3" t="s">
        <v>2747</v>
      </c>
      <c r="Z421" s="3" t="s">
        <v>2148</v>
      </c>
      <c r="AA421" s="3" t="s">
        <v>285</v>
      </c>
      <c r="AB421" s="3" t="s">
        <v>643</v>
      </c>
      <c r="AC421" s="3" t="s">
        <v>3260</v>
      </c>
      <c r="AD421" s="14">
        <v>45566</v>
      </c>
      <c r="AE421" s="14">
        <v>45931</v>
      </c>
      <c r="AF421" s="3"/>
    </row>
    <row r="422" spans="1:32" ht="39.6" hidden="1">
      <c r="A422" s="3" t="s">
        <v>3256</v>
      </c>
      <c r="B422" s="3" t="s">
        <v>3257</v>
      </c>
      <c r="C422" s="3" t="s">
        <v>2805</v>
      </c>
      <c r="D422" s="3" t="s">
        <v>687</v>
      </c>
      <c r="E422" s="3" t="s">
        <v>36</v>
      </c>
      <c r="F422" s="3" t="s">
        <v>221</v>
      </c>
      <c r="G422" s="3" t="s">
        <v>82</v>
      </c>
      <c r="H422" s="3" t="s">
        <v>49</v>
      </c>
      <c r="I422" s="3" t="s">
        <v>2851</v>
      </c>
      <c r="J422" s="3" t="s">
        <v>223</v>
      </c>
      <c r="K422" s="3" t="s">
        <v>780</v>
      </c>
      <c r="L422" s="3" t="s">
        <v>2852</v>
      </c>
      <c r="M422" s="3" t="s">
        <v>2168</v>
      </c>
      <c r="N422" s="3" t="s">
        <v>53</v>
      </c>
      <c r="O422" s="3" t="s">
        <v>643</v>
      </c>
      <c r="P422" s="3" t="s">
        <v>3261</v>
      </c>
      <c r="Q422" s="3" t="s">
        <v>3262</v>
      </c>
      <c r="R422" s="3" t="s">
        <v>36</v>
      </c>
      <c r="S422" s="3" t="s">
        <v>221</v>
      </c>
      <c r="T422" s="3" t="s">
        <v>82</v>
      </c>
      <c r="U422" s="3" t="s">
        <v>49</v>
      </c>
      <c r="V422" s="3" t="s">
        <v>3263</v>
      </c>
      <c r="W422" s="3" t="s">
        <v>223</v>
      </c>
      <c r="X422" s="3" t="s">
        <v>780</v>
      </c>
      <c r="Y422" s="3" t="s">
        <v>3264</v>
      </c>
      <c r="Z422" s="3" t="s">
        <v>2920</v>
      </c>
      <c r="AA422" s="3" t="s">
        <v>63</v>
      </c>
      <c r="AB422" s="3" t="s">
        <v>643</v>
      </c>
      <c r="AC422" s="3" t="s">
        <v>3265</v>
      </c>
      <c r="AD422" s="14">
        <v>45566</v>
      </c>
      <c r="AE422" s="14">
        <v>45931</v>
      </c>
      <c r="AF422" s="3"/>
    </row>
    <row r="423" spans="1:32" ht="158.44999999999999" hidden="1">
      <c r="A423" s="3" t="s">
        <v>2702</v>
      </c>
      <c r="B423" s="3" t="s">
        <v>2703</v>
      </c>
      <c r="C423" s="3" t="s">
        <v>3266</v>
      </c>
      <c r="D423" s="3" t="s">
        <v>59</v>
      </c>
      <c r="E423" s="3" t="s">
        <v>36</v>
      </c>
      <c r="F423" s="3" t="s">
        <v>221</v>
      </c>
      <c r="G423" s="3" t="s">
        <v>82</v>
      </c>
      <c r="H423" s="3" t="s">
        <v>49</v>
      </c>
      <c r="I423" s="3" t="s">
        <v>2705</v>
      </c>
      <c r="J423" s="3" t="s">
        <v>223</v>
      </c>
      <c r="K423" s="3" t="s">
        <v>41</v>
      </c>
      <c r="L423" s="3" t="s">
        <v>2706</v>
      </c>
      <c r="M423" s="3" t="s">
        <v>911</v>
      </c>
      <c r="N423" s="3" t="s">
        <v>63</v>
      </c>
      <c r="O423" s="3" t="s">
        <v>721</v>
      </c>
      <c r="P423" s="3" t="s">
        <v>3267</v>
      </c>
      <c r="Q423" s="3" t="s">
        <v>3268</v>
      </c>
      <c r="R423" s="3" t="s">
        <v>36</v>
      </c>
      <c r="S423" s="3" t="s">
        <v>221</v>
      </c>
      <c r="T423" s="3" t="s">
        <v>82</v>
      </c>
      <c r="U423" s="3" t="s">
        <v>73</v>
      </c>
      <c r="V423" s="3" t="s">
        <v>3269</v>
      </c>
      <c r="W423" s="3" t="s">
        <v>223</v>
      </c>
      <c r="X423" s="3" t="s">
        <v>41</v>
      </c>
      <c r="Y423" s="3" t="s">
        <v>3270</v>
      </c>
      <c r="Z423" s="3" t="s">
        <v>1389</v>
      </c>
      <c r="AA423" s="3" t="s">
        <v>281</v>
      </c>
      <c r="AB423" s="3" t="s">
        <v>54</v>
      </c>
      <c r="AC423" s="3" t="s">
        <v>3271</v>
      </c>
      <c r="AD423" s="14">
        <v>45672</v>
      </c>
      <c r="AE423" s="14">
        <v>45731</v>
      </c>
      <c r="AF423" s="3"/>
    </row>
    <row r="424" spans="1:32" ht="277.14999999999998" hidden="1">
      <c r="A424" s="3" t="s">
        <v>2460</v>
      </c>
      <c r="B424" s="3" t="s">
        <v>2461</v>
      </c>
      <c r="C424" s="3" t="s">
        <v>3272</v>
      </c>
      <c r="D424" s="3" t="s">
        <v>59</v>
      </c>
      <c r="E424" s="3" t="s">
        <v>36</v>
      </c>
      <c r="F424" s="3" t="s">
        <v>221</v>
      </c>
      <c r="G424" s="3" t="s">
        <v>37</v>
      </c>
      <c r="H424" s="3" t="s">
        <v>38</v>
      </c>
      <c r="I424" s="3" t="s">
        <v>2463</v>
      </c>
      <c r="J424" s="3" t="s">
        <v>223</v>
      </c>
      <c r="K424" s="3" t="s">
        <v>780</v>
      </c>
      <c r="L424" s="3" t="s">
        <v>2464</v>
      </c>
      <c r="M424" s="3" t="s">
        <v>2465</v>
      </c>
      <c r="N424" s="3" t="s">
        <v>63</v>
      </c>
      <c r="O424" s="3" t="s">
        <v>2466</v>
      </c>
      <c r="P424" s="3" t="s">
        <v>3273</v>
      </c>
      <c r="Q424" s="3" t="s">
        <v>3274</v>
      </c>
      <c r="R424" s="3" t="s">
        <v>36</v>
      </c>
      <c r="S424" s="3" t="s">
        <v>221</v>
      </c>
      <c r="T424" s="3" t="s">
        <v>82</v>
      </c>
      <c r="U424" s="3" t="s">
        <v>49</v>
      </c>
      <c r="V424" s="3" t="s">
        <v>2945</v>
      </c>
      <c r="W424" s="3" t="s">
        <v>223</v>
      </c>
      <c r="X424" s="3" t="s">
        <v>780</v>
      </c>
      <c r="Y424" s="3" t="s">
        <v>2747</v>
      </c>
      <c r="Z424" s="3" t="s">
        <v>2148</v>
      </c>
      <c r="AA424" s="3" t="s">
        <v>281</v>
      </c>
      <c r="AB424" s="3" t="s">
        <v>643</v>
      </c>
      <c r="AC424" s="3" t="s">
        <v>3275</v>
      </c>
      <c r="AD424" s="14">
        <v>45664</v>
      </c>
      <c r="AE424" s="14">
        <v>46210</v>
      </c>
      <c r="AF424" s="3"/>
    </row>
    <row r="425" spans="1:32" ht="409.6" hidden="1">
      <c r="A425" s="3" t="s">
        <v>507</v>
      </c>
      <c r="B425" s="3" t="s">
        <v>508</v>
      </c>
      <c r="C425" s="3" t="s">
        <v>3276</v>
      </c>
      <c r="D425" s="3" t="s">
        <v>348</v>
      </c>
      <c r="E425" s="3" t="s">
        <v>36</v>
      </c>
      <c r="F425" s="3" t="s">
        <v>254</v>
      </c>
      <c r="G425" s="3" t="s">
        <v>82</v>
      </c>
      <c r="H425" s="3" t="s">
        <v>49</v>
      </c>
      <c r="I425" s="3" t="s">
        <v>509</v>
      </c>
      <c r="J425" s="3" t="s">
        <v>223</v>
      </c>
      <c r="K425" s="3" t="s">
        <v>41</v>
      </c>
      <c r="L425" s="3" t="s">
        <v>510</v>
      </c>
      <c r="M425" s="3" t="s">
        <v>511</v>
      </c>
      <c r="N425" s="3" t="s">
        <v>53</v>
      </c>
      <c r="O425" s="3" t="s">
        <v>506</v>
      </c>
      <c r="P425" s="3" t="s">
        <v>3277</v>
      </c>
      <c r="Q425" s="3" t="s">
        <v>3278</v>
      </c>
      <c r="R425" s="3" t="s">
        <v>36</v>
      </c>
      <c r="S425" s="3" t="s">
        <v>221</v>
      </c>
      <c r="T425" s="3" t="s">
        <v>82</v>
      </c>
      <c r="U425" s="3" t="s">
        <v>73</v>
      </c>
      <c r="V425" s="3" t="s">
        <v>3279</v>
      </c>
      <c r="W425" s="3" t="s">
        <v>223</v>
      </c>
      <c r="X425" s="3" t="s">
        <v>41</v>
      </c>
      <c r="Y425" s="3" t="s">
        <v>3280</v>
      </c>
      <c r="Z425" s="3" t="s">
        <v>115</v>
      </c>
      <c r="AA425" s="3" t="s">
        <v>281</v>
      </c>
      <c r="AB425" s="3" t="s">
        <v>116</v>
      </c>
      <c r="AC425" s="3" t="s">
        <v>3281</v>
      </c>
      <c r="AD425" s="14">
        <v>45666</v>
      </c>
      <c r="AE425" s="14">
        <v>46029</v>
      </c>
      <c r="AF425" s="3"/>
    </row>
    <row r="426" spans="1:32" ht="250.9" hidden="1">
      <c r="A426" s="3" t="s">
        <v>3282</v>
      </c>
      <c r="B426" s="3" t="s">
        <v>3283</v>
      </c>
      <c r="C426" s="3" t="s">
        <v>3284</v>
      </c>
      <c r="D426" s="3" t="s">
        <v>348</v>
      </c>
      <c r="E426" s="3" t="s">
        <v>36</v>
      </c>
      <c r="F426" s="3" t="s">
        <v>274</v>
      </c>
      <c r="G426" s="3" t="s">
        <v>82</v>
      </c>
      <c r="H426" s="3" t="s">
        <v>78</v>
      </c>
      <c r="I426" s="3" t="s">
        <v>3285</v>
      </c>
      <c r="J426" s="3" t="s">
        <v>223</v>
      </c>
      <c r="K426" s="3" t="s">
        <v>41</v>
      </c>
      <c r="L426" s="3" t="s">
        <v>3286</v>
      </c>
      <c r="M426" s="3" t="s">
        <v>530</v>
      </c>
      <c r="N426" s="3" t="s">
        <v>44</v>
      </c>
      <c r="O426" s="3" t="s">
        <v>278</v>
      </c>
      <c r="P426" s="3" t="s">
        <v>3287</v>
      </c>
      <c r="Q426" s="3" t="s">
        <v>3288</v>
      </c>
      <c r="R426" s="3" t="s">
        <v>36</v>
      </c>
      <c r="S426" s="3" t="s">
        <v>221</v>
      </c>
      <c r="T426" s="3" t="s">
        <v>37</v>
      </c>
      <c r="U426" s="3" t="s">
        <v>49</v>
      </c>
      <c r="V426" s="3" t="s">
        <v>3289</v>
      </c>
      <c r="W426" s="3" t="s">
        <v>223</v>
      </c>
      <c r="X426" s="3" t="s">
        <v>41</v>
      </c>
      <c r="Y426" s="3" t="s">
        <v>2365</v>
      </c>
      <c r="Z426" s="3" t="s">
        <v>692</v>
      </c>
      <c r="AA426" s="3" t="s">
        <v>63</v>
      </c>
      <c r="AB426" s="3" t="s">
        <v>658</v>
      </c>
      <c r="AC426" s="3" t="s">
        <v>3290</v>
      </c>
      <c r="AD426" s="14">
        <v>45689</v>
      </c>
      <c r="AE426" s="14">
        <v>46003</v>
      </c>
      <c r="AF426" s="3"/>
    </row>
    <row r="427" spans="1:32" ht="92.45" hidden="1">
      <c r="A427" s="3" t="s">
        <v>3291</v>
      </c>
      <c r="B427" s="3" t="s">
        <v>3292</v>
      </c>
      <c r="C427" s="3" t="s">
        <v>3293</v>
      </c>
      <c r="D427" s="3" t="s">
        <v>59</v>
      </c>
      <c r="E427" s="3" t="s">
        <v>36</v>
      </c>
      <c r="F427" s="3" t="s">
        <v>247</v>
      </c>
      <c r="G427" s="3" t="s">
        <v>82</v>
      </c>
      <c r="H427" s="3" t="s">
        <v>49</v>
      </c>
      <c r="I427" s="3" t="s">
        <v>3294</v>
      </c>
      <c r="J427" s="3" t="s">
        <v>223</v>
      </c>
      <c r="K427" s="3" t="s">
        <v>41</v>
      </c>
      <c r="L427" s="3" t="s">
        <v>3295</v>
      </c>
      <c r="M427" s="3" t="s">
        <v>951</v>
      </c>
      <c r="N427" s="3" t="s">
        <v>44</v>
      </c>
      <c r="O427" s="3" t="s">
        <v>295</v>
      </c>
      <c r="P427" s="3" t="s">
        <v>3296</v>
      </c>
      <c r="Q427" s="3" t="s">
        <v>3297</v>
      </c>
      <c r="R427" s="3" t="s">
        <v>467</v>
      </c>
      <c r="S427" s="3" t="s">
        <v>221</v>
      </c>
      <c r="T427" s="3" t="s">
        <v>37</v>
      </c>
      <c r="U427" s="3" t="s">
        <v>49</v>
      </c>
      <c r="V427" s="3" t="s">
        <v>3298</v>
      </c>
      <c r="W427" s="3" t="s">
        <v>223</v>
      </c>
      <c r="X427" s="3" t="s">
        <v>41</v>
      </c>
      <c r="Y427" s="3" t="s">
        <v>3295</v>
      </c>
      <c r="Z427" s="3" t="s">
        <v>3299</v>
      </c>
      <c r="AA427" s="3" t="s">
        <v>79</v>
      </c>
      <c r="AB427" s="3" t="s">
        <v>100</v>
      </c>
      <c r="AC427" s="3" t="s">
        <v>3300</v>
      </c>
      <c r="AD427" s="14">
        <v>45703</v>
      </c>
      <c r="AE427" s="14"/>
      <c r="AF427" s="3"/>
    </row>
    <row r="428" spans="1:32" ht="39.6" hidden="1">
      <c r="A428" s="3" t="s">
        <v>2085</v>
      </c>
      <c r="B428" s="3" t="s">
        <v>2086</v>
      </c>
      <c r="C428" s="3"/>
      <c r="D428" s="3" t="s">
        <v>35</v>
      </c>
      <c r="E428" s="3" t="s">
        <v>36</v>
      </c>
      <c r="F428" s="3" t="s">
        <v>221</v>
      </c>
      <c r="G428" s="3" t="s">
        <v>82</v>
      </c>
      <c r="H428" s="3" t="s">
        <v>38</v>
      </c>
      <c r="I428" s="3" t="s">
        <v>2088</v>
      </c>
      <c r="J428" s="3" t="s">
        <v>223</v>
      </c>
      <c r="K428" s="3" t="s">
        <v>41</v>
      </c>
      <c r="L428" s="3" t="s">
        <v>2089</v>
      </c>
      <c r="M428" s="3" t="s">
        <v>2090</v>
      </c>
      <c r="N428" s="3" t="s">
        <v>123</v>
      </c>
      <c r="O428" s="3" t="s">
        <v>295</v>
      </c>
      <c r="P428" s="3" t="s">
        <v>3301</v>
      </c>
      <c r="Q428" s="3" t="s">
        <v>3302</v>
      </c>
      <c r="R428" s="3" t="s">
        <v>36</v>
      </c>
      <c r="S428" s="3" t="s">
        <v>221</v>
      </c>
      <c r="T428" s="3" t="s">
        <v>37</v>
      </c>
      <c r="U428" s="3" t="s">
        <v>49</v>
      </c>
      <c r="V428" s="3" t="s">
        <v>3303</v>
      </c>
      <c r="W428" s="3" t="s">
        <v>223</v>
      </c>
      <c r="X428" s="3" t="s">
        <v>41</v>
      </c>
      <c r="Y428" s="3" t="s">
        <v>3304</v>
      </c>
      <c r="Z428" s="3" t="s">
        <v>3305</v>
      </c>
      <c r="AA428" s="3" t="s">
        <v>79</v>
      </c>
      <c r="AB428" s="3" t="s">
        <v>54</v>
      </c>
      <c r="AC428" s="3" t="s">
        <v>3306</v>
      </c>
      <c r="AD428" s="14">
        <v>45692</v>
      </c>
      <c r="AE428" s="14">
        <v>45835</v>
      </c>
      <c r="AF428" s="3"/>
    </row>
    <row r="429" spans="1:32" ht="39.6" hidden="1">
      <c r="A429" s="3" t="s">
        <v>3307</v>
      </c>
      <c r="B429" s="3" t="s">
        <v>3308</v>
      </c>
      <c r="C429" s="3"/>
      <c r="D429" s="3" t="s">
        <v>348</v>
      </c>
      <c r="E429" s="3" t="s">
        <v>36</v>
      </c>
      <c r="F429" s="3" t="s">
        <v>221</v>
      </c>
      <c r="G429" s="3" t="s">
        <v>82</v>
      </c>
      <c r="H429" s="3" t="s">
        <v>49</v>
      </c>
      <c r="I429" s="3" t="s">
        <v>3309</v>
      </c>
      <c r="J429" s="3" t="s">
        <v>223</v>
      </c>
      <c r="K429" s="3" t="s">
        <v>780</v>
      </c>
      <c r="L429" s="3" t="s">
        <v>3310</v>
      </c>
      <c r="M429" s="3" t="s">
        <v>3311</v>
      </c>
      <c r="N429" s="3" t="s">
        <v>79</v>
      </c>
      <c r="O429" s="3" t="s">
        <v>811</v>
      </c>
      <c r="P429" s="3" t="s">
        <v>3312</v>
      </c>
      <c r="Q429" s="3" t="s">
        <v>3313</v>
      </c>
      <c r="R429" s="3" t="s">
        <v>36</v>
      </c>
      <c r="S429" s="3" t="s">
        <v>221</v>
      </c>
      <c r="T429" s="3" t="s">
        <v>37</v>
      </c>
      <c r="U429" s="3" t="s">
        <v>49</v>
      </c>
      <c r="V429" s="3" t="s">
        <v>3314</v>
      </c>
      <c r="W429" s="3" t="s">
        <v>223</v>
      </c>
      <c r="X429" s="3" t="s">
        <v>780</v>
      </c>
      <c r="Y429" s="3" t="s">
        <v>2589</v>
      </c>
      <c r="Z429" s="3" t="s">
        <v>3315</v>
      </c>
      <c r="AA429" s="3" t="s">
        <v>281</v>
      </c>
      <c r="AB429" s="3" t="s">
        <v>2118</v>
      </c>
      <c r="AC429" s="3" t="s">
        <v>3316</v>
      </c>
      <c r="AD429" s="14">
        <v>45658</v>
      </c>
      <c r="AE429" s="14">
        <v>46022</v>
      </c>
      <c r="AF429" s="3"/>
    </row>
    <row r="430" spans="1:32" ht="39.6" hidden="1">
      <c r="A430" s="3" t="s">
        <v>3317</v>
      </c>
      <c r="B430" s="3" t="s">
        <v>3318</v>
      </c>
      <c r="C430" s="3" t="s">
        <v>2859</v>
      </c>
      <c r="D430" s="3" t="s">
        <v>687</v>
      </c>
      <c r="E430" s="3" t="s">
        <v>36</v>
      </c>
      <c r="F430" s="3" t="s">
        <v>274</v>
      </c>
      <c r="G430" s="3" t="s">
        <v>82</v>
      </c>
      <c r="H430" s="3" t="s">
        <v>73</v>
      </c>
      <c r="I430" s="3" t="s">
        <v>3319</v>
      </c>
      <c r="J430" s="3" t="s">
        <v>223</v>
      </c>
      <c r="K430" s="3" t="s">
        <v>780</v>
      </c>
      <c r="L430" s="3" t="s">
        <v>3320</v>
      </c>
      <c r="M430" s="3" t="s">
        <v>2880</v>
      </c>
      <c r="N430" s="3" t="s">
        <v>79</v>
      </c>
      <c r="O430" s="3" t="s">
        <v>2466</v>
      </c>
      <c r="P430" s="3" t="s">
        <v>3273</v>
      </c>
      <c r="Q430" s="3" t="s">
        <v>3274</v>
      </c>
      <c r="R430" s="3" t="s">
        <v>36</v>
      </c>
      <c r="S430" s="3" t="s">
        <v>221</v>
      </c>
      <c r="T430" s="3" t="s">
        <v>82</v>
      </c>
      <c r="U430" s="3" t="s">
        <v>49</v>
      </c>
      <c r="V430" s="3" t="s">
        <v>2945</v>
      </c>
      <c r="W430" s="3" t="s">
        <v>223</v>
      </c>
      <c r="X430" s="3" t="s">
        <v>780</v>
      </c>
      <c r="Y430" s="3" t="s">
        <v>2747</v>
      </c>
      <c r="Z430" s="3" t="s">
        <v>2148</v>
      </c>
      <c r="AA430" s="3" t="s">
        <v>281</v>
      </c>
      <c r="AB430" s="3" t="s">
        <v>643</v>
      </c>
      <c r="AC430" s="3" t="s">
        <v>3321</v>
      </c>
      <c r="AD430" s="14">
        <v>45566</v>
      </c>
      <c r="AE430" s="14">
        <v>45931</v>
      </c>
      <c r="AF430" s="3"/>
    </row>
    <row r="431" spans="1:32" ht="409.6" hidden="1">
      <c r="A431" s="3" t="s">
        <v>3322</v>
      </c>
      <c r="B431" s="3" t="s">
        <v>3323</v>
      </c>
      <c r="C431" s="3" t="s">
        <v>3324</v>
      </c>
      <c r="D431" s="3" t="s">
        <v>132</v>
      </c>
      <c r="E431" s="3" t="s">
        <v>36</v>
      </c>
      <c r="F431" s="3" t="s">
        <v>221</v>
      </c>
      <c r="G431" s="3" t="s">
        <v>82</v>
      </c>
      <c r="H431" s="3" t="s">
        <v>49</v>
      </c>
      <c r="I431" s="3" t="s">
        <v>3325</v>
      </c>
      <c r="J431" s="3" t="s">
        <v>223</v>
      </c>
      <c r="K431" s="3" t="s">
        <v>41</v>
      </c>
      <c r="L431" s="3" t="s">
        <v>3326</v>
      </c>
      <c r="M431" s="3" t="s">
        <v>1000</v>
      </c>
      <c r="N431" s="3" t="s">
        <v>285</v>
      </c>
      <c r="O431" s="3" t="s">
        <v>308</v>
      </c>
      <c r="P431" s="3" t="s">
        <v>3327</v>
      </c>
      <c r="Q431" s="3" t="s">
        <v>3328</v>
      </c>
      <c r="R431" s="3" t="s">
        <v>36</v>
      </c>
      <c r="S431" s="3" t="s">
        <v>221</v>
      </c>
      <c r="T431" s="3" t="s">
        <v>37</v>
      </c>
      <c r="U431" s="3" t="s">
        <v>49</v>
      </c>
      <c r="V431" s="3" t="s">
        <v>3329</v>
      </c>
      <c r="W431" s="3" t="s">
        <v>223</v>
      </c>
      <c r="X431" s="3" t="s">
        <v>41</v>
      </c>
      <c r="Y431" s="3" t="s">
        <v>3330</v>
      </c>
      <c r="Z431" s="3" t="s">
        <v>3331</v>
      </c>
      <c r="AA431" s="3" t="s">
        <v>79</v>
      </c>
      <c r="AB431" s="3" t="s">
        <v>1741</v>
      </c>
      <c r="AC431" s="3" t="s">
        <v>3332</v>
      </c>
      <c r="AD431" s="14">
        <v>45698</v>
      </c>
      <c r="AE431" s="14"/>
      <c r="AF431" s="3"/>
    </row>
    <row r="432" spans="1:32" ht="105.6" hidden="1">
      <c r="A432" s="3" t="s">
        <v>1320</v>
      </c>
      <c r="B432" s="3" t="s">
        <v>1321</v>
      </c>
      <c r="C432" s="3" t="s">
        <v>3333</v>
      </c>
      <c r="D432" s="3" t="s">
        <v>348</v>
      </c>
      <c r="E432" s="3" t="s">
        <v>36</v>
      </c>
      <c r="F432" s="3" t="s">
        <v>274</v>
      </c>
      <c r="G432" s="3" t="s">
        <v>82</v>
      </c>
      <c r="H432" s="3" t="s">
        <v>38</v>
      </c>
      <c r="I432" s="3" t="s">
        <v>1323</v>
      </c>
      <c r="J432" s="3" t="s">
        <v>223</v>
      </c>
      <c r="K432" s="3" t="s">
        <v>41</v>
      </c>
      <c r="L432" s="3" t="s">
        <v>1324</v>
      </c>
      <c r="M432" s="3" t="s">
        <v>1325</v>
      </c>
      <c r="N432" s="3" t="s">
        <v>44</v>
      </c>
      <c r="O432" s="3" t="s">
        <v>1239</v>
      </c>
      <c r="P432" s="3" t="s">
        <v>3334</v>
      </c>
      <c r="Q432" s="3" t="s">
        <v>3335</v>
      </c>
      <c r="R432" s="3"/>
      <c r="S432" s="3" t="s">
        <v>3336</v>
      </c>
      <c r="T432" s="3" t="s">
        <v>82</v>
      </c>
      <c r="U432" s="3" t="s">
        <v>73</v>
      </c>
      <c r="V432" s="3"/>
      <c r="W432" s="3" t="s">
        <v>3337</v>
      </c>
      <c r="X432" s="3"/>
      <c r="Y432" s="3"/>
      <c r="Z432" s="3"/>
      <c r="AA432" s="3" t="s">
        <v>69</v>
      </c>
      <c r="AB432" s="3"/>
      <c r="AC432" s="3" t="s">
        <v>3338</v>
      </c>
      <c r="AD432" s="14">
        <v>45677</v>
      </c>
      <c r="AE432" s="14">
        <v>45708</v>
      </c>
      <c r="AF432" s="3"/>
    </row>
    <row r="433" spans="1:32" ht="224.45" hidden="1">
      <c r="A433" s="3" t="s">
        <v>2460</v>
      </c>
      <c r="B433" s="3" t="s">
        <v>2461</v>
      </c>
      <c r="C433" s="3" t="s">
        <v>3339</v>
      </c>
      <c r="D433" s="3" t="s">
        <v>59</v>
      </c>
      <c r="E433" s="3" t="s">
        <v>36</v>
      </c>
      <c r="F433" s="3" t="s">
        <v>221</v>
      </c>
      <c r="G433" s="3" t="s">
        <v>37</v>
      </c>
      <c r="H433" s="3" t="s">
        <v>38</v>
      </c>
      <c r="I433" s="3" t="s">
        <v>2463</v>
      </c>
      <c r="J433" s="3" t="s">
        <v>223</v>
      </c>
      <c r="K433" s="3" t="s">
        <v>780</v>
      </c>
      <c r="L433" s="3" t="s">
        <v>2464</v>
      </c>
      <c r="M433" s="3" t="s">
        <v>2465</v>
      </c>
      <c r="N433" s="3" t="s">
        <v>63</v>
      </c>
      <c r="O433" s="3" t="s">
        <v>2466</v>
      </c>
      <c r="P433" s="3" t="s">
        <v>3340</v>
      </c>
      <c r="Q433" s="3" t="s">
        <v>3341</v>
      </c>
      <c r="R433" s="3" t="s">
        <v>36</v>
      </c>
      <c r="S433" s="3" t="s">
        <v>3336</v>
      </c>
      <c r="T433" s="3" t="s">
        <v>82</v>
      </c>
      <c r="U433" s="3" t="s">
        <v>49</v>
      </c>
      <c r="V433" s="3" t="s">
        <v>3342</v>
      </c>
      <c r="W433" s="3" t="s">
        <v>3337</v>
      </c>
      <c r="X433" s="3" t="s">
        <v>41</v>
      </c>
      <c r="Y433" s="3" t="s">
        <v>3343</v>
      </c>
      <c r="Z433" s="3" t="s">
        <v>3344</v>
      </c>
      <c r="AA433" s="3" t="s">
        <v>79</v>
      </c>
      <c r="AB433" s="3" t="s">
        <v>1530</v>
      </c>
      <c r="AC433" s="3" t="s">
        <v>3345</v>
      </c>
      <c r="AD433" s="14">
        <v>45566</v>
      </c>
      <c r="AE433" s="14">
        <v>45869</v>
      </c>
      <c r="AF433" s="3"/>
    </row>
    <row r="434" spans="1:32" ht="39.6" hidden="1">
      <c r="A434" s="3" t="s">
        <v>3346</v>
      </c>
      <c r="B434" s="3" t="s">
        <v>3347</v>
      </c>
      <c r="C434" s="3" t="s">
        <v>3348</v>
      </c>
      <c r="D434" s="3" t="s">
        <v>35</v>
      </c>
      <c r="E434" s="3" t="s">
        <v>36</v>
      </c>
      <c r="F434" s="3" t="s">
        <v>254</v>
      </c>
      <c r="G434" s="3" t="s">
        <v>82</v>
      </c>
      <c r="H434" s="3" t="s">
        <v>49</v>
      </c>
      <c r="I434" s="3" t="s">
        <v>3349</v>
      </c>
      <c r="J434" s="3" t="s">
        <v>223</v>
      </c>
      <c r="K434" s="3" t="s">
        <v>41</v>
      </c>
      <c r="L434" s="3" t="s">
        <v>3181</v>
      </c>
      <c r="M434" s="3" t="s">
        <v>3350</v>
      </c>
      <c r="N434" s="3" t="s">
        <v>53</v>
      </c>
      <c r="O434" s="3" t="s">
        <v>270</v>
      </c>
      <c r="P434" s="3" t="s">
        <v>3351</v>
      </c>
      <c r="Q434" s="3" t="s">
        <v>3352</v>
      </c>
      <c r="R434" s="3" t="s">
        <v>36</v>
      </c>
      <c r="S434" s="3" t="s">
        <v>221</v>
      </c>
      <c r="T434" s="3" t="s">
        <v>37</v>
      </c>
      <c r="U434" s="3" t="s">
        <v>49</v>
      </c>
      <c r="V434" s="3" t="s">
        <v>3353</v>
      </c>
      <c r="W434" s="3" t="s">
        <v>223</v>
      </c>
      <c r="X434" s="3" t="s">
        <v>41</v>
      </c>
      <c r="Y434" s="3" t="s">
        <v>3181</v>
      </c>
      <c r="Z434" s="3" t="s">
        <v>556</v>
      </c>
      <c r="AA434" s="3" t="s">
        <v>79</v>
      </c>
      <c r="AB434" s="3" t="s">
        <v>557</v>
      </c>
      <c r="AC434" s="3" t="s">
        <v>3354</v>
      </c>
      <c r="AD434" s="14">
        <v>45658</v>
      </c>
      <c r="AE434" s="14">
        <v>46022</v>
      </c>
      <c r="AF434" s="3"/>
    </row>
    <row r="435" spans="1:32" ht="52.9" hidden="1">
      <c r="A435" s="3" t="s">
        <v>3355</v>
      </c>
      <c r="B435" s="3" t="s">
        <v>3356</v>
      </c>
      <c r="C435" s="3"/>
      <c r="D435" s="3" t="s">
        <v>132</v>
      </c>
      <c r="E435" s="3"/>
      <c r="F435" s="3" t="s">
        <v>221</v>
      </c>
      <c r="G435" s="3" t="s">
        <v>37</v>
      </c>
      <c r="H435" s="3" t="s">
        <v>475</v>
      </c>
      <c r="I435" s="3"/>
      <c r="J435" s="3" t="s">
        <v>223</v>
      </c>
      <c r="K435" s="3"/>
      <c r="L435" s="3"/>
      <c r="M435" s="3"/>
      <c r="N435" s="3" t="s">
        <v>69</v>
      </c>
      <c r="O435" s="3"/>
      <c r="P435" s="3" t="s">
        <v>3357</v>
      </c>
      <c r="Q435" s="3" t="s">
        <v>3358</v>
      </c>
      <c r="R435" s="3" t="s">
        <v>36</v>
      </c>
      <c r="S435" s="3" t="s">
        <v>247</v>
      </c>
      <c r="T435" s="3" t="s">
        <v>82</v>
      </c>
      <c r="U435" s="3" t="s">
        <v>49</v>
      </c>
      <c r="V435" s="3" t="s">
        <v>3359</v>
      </c>
      <c r="W435" s="3" t="s">
        <v>223</v>
      </c>
      <c r="X435" s="3" t="s">
        <v>41</v>
      </c>
      <c r="Y435" s="3" t="s">
        <v>3360</v>
      </c>
      <c r="Z435" s="3" t="s">
        <v>3361</v>
      </c>
      <c r="AA435" s="3" t="s">
        <v>63</v>
      </c>
      <c r="AB435" s="3" t="s">
        <v>64</v>
      </c>
      <c r="AC435" s="3" t="s">
        <v>3362</v>
      </c>
      <c r="AD435" s="14">
        <v>45292</v>
      </c>
      <c r="AE435" s="14"/>
      <c r="AF435" s="3"/>
    </row>
    <row r="436" spans="1:32" ht="52.9" hidden="1">
      <c r="A436" s="3" t="s">
        <v>3363</v>
      </c>
      <c r="B436" s="3" t="s">
        <v>3364</v>
      </c>
      <c r="C436" s="3" t="s">
        <v>2859</v>
      </c>
      <c r="D436" s="3" t="s">
        <v>687</v>
      </c>
      <c r="E436" s="3" t="s">
        <v>36</v>
      </c>
      <c r="F436" s="3" t="s">
        <v>274</v>
      </c>
      <c r="G436" s="3" t="s">
        <v>82</v>
      </c>
      <c r="H436" s="3" t="s">
        <v>78</v>
      </c>
      <c r="I436" s="3" t="s">
        <v>3365</v>
      </c>
      <c r="J436" s="3" t="s">
        <v>223</v>
      </c>
      <c r="K436" s="3" t="s">
        <v>780</v>
      </c>
      <c r="L436" s="3" t="s">
        <v>2869</v>
      </c>
      <c r="M436" s="3" t="s">
        <v>2168</v>
      </c>
      <c r="N436" s="3" t="s">
        <v>123</v>
      </c>
      <c r="O436" s="3" t="s">
        <v>643</v>
      </c>
      <c r="P436" s="3" t="s">
        <v>3366</v>
      </c>
      <c r="Q436" s="3" t="s">
        <v>3367</v>
      </c>
      <c r="R436" s="3" t="s">
        <v>36</v>
      </c>
      <c r="S436" s="3" t="s">
        <v>221</v>
      </c>
      <c r="T436" s="3" t="s">
        <v>82</v>
      </c>
      <c r="U436" s="3" t="s">
        <v>73</v>
      </c>
      <c r="V436" s="3" t="s">
        <v>2984</v>
      </c>
      <c r="W436" s="3" t="s">
        <v>223</v>
      </c>
      <c r="X436" s="3" t="s">
        <v>780</v>
      </c>
      <c r="Y436" s="3" t="s">
        <v>2747</v>
      </c>
      <c r="Z436" s="3" t="s">
        <v>2148</v>
      </c>
      <c r="AA436" s="3" t="s">
        <v>285</v>
      </c>
      <c r="AB436" s="3" t="s">
        <v>643</v>
      </c>
      <c r="AC436" s="3" t="s">
        <v>3368</v>
      </c>
      <c r="AD436" s="14">
        <v>45566</v>
      </c>
      <c r="AE436" s="14">
        <v>45931</v>
      </c>
      <c r="AF436" s="3"/>
    </row>
    <row r="437" spans="1:32" ht="145.15" hidden="1">
      <c r="A437" s="3" t="s">
        <v>3369</v>
      </c>
      <c r="B437" s="3" t="s">
        <v>3370</v>
      </c>
      <c r="C437" s="3" t="s">
        <v>3371</v>
      </c>
      <c r="D437" s="3" t="s">
        <v>59</v>
      </c>
      <c r="E437" s="3" t="s">
        <v>36</v>
      </c>
      <c r="F437" s="3" t="s">
        <v>274</v>
      </c>
      <c r="G437" s="3" t="s">
        <v>37</v>
      </c>
      <c r="H437" s="3" t="s">
        <v>38</v>
      </c>
      <c r="I437" s="3" t="s">
        <v>3372</v>
      </c>
      <c r="J437" s="3" t="s">
        <v>223</v>
      </c>
      <c r="K437" s="3" t="s">
        <v>41</v>
      </c>
      <c r="L437" s="3" t="s">
        <v>3373</v>
      </c>
      <c r="M437" s="3" t="s">
        <v>1289</v>
      </c>
      <c r="N437" s="3" t="s">
        <v>53</v>
      </c>
      <c r="O437" s="3" t="s">
        <v>240</v>
      </c>
      <c r="P437" s="3" t="s">
        <v>3374</v>
      </c>
      <c r="Q437" s="3" t="s">
        <v>3375</v>
      </c>
      <c r="R437" s="3" t="s">
        <v>36</v>
      </c>
      <c r="S437" s="3" t="s">
        <v>221</v>
      </c>
      <c r="T437" s="3" t="s">
        <v>82</v>
      </c>
      <c r="U437" s="3" t="s">
        <v>49</v>
      </c>
      <c r="V437" s="3" t="s">
        <v>3376</v>
      </c>
      <c r="W437" s="3" t="s">
        <v>223</v>
      </c>
      <c r="X437" s="3" t="s">
        <v>41</v>
      </c>
      <c r="Y437" s="3" t="s">
        <v>3020</v>
      </c>
      <c r="Z437" s="3" t="s">
        <v>1740</v>
      </c>
      <c r="AA437" s="3" t="s">
        <v>79</v>
      </c>
      <c r="AB437" s="3" t="s">
        <v>1741</v>
      </c>
      <c r="AC437" s="3" t="s">
        <v>3377</v>
      </c>
      <c r="AD437" s="14">
        <v>45700</v>
      </c>
      <c r="AE437" s="14">
        <v>46022</v>
      </c>
      <c r="AF437" s="3"/>
    </row>
    <row r="438" spans="1:32" ht="118.9" hidden="1">
      <c r="A438" s="3" t="s">
        <v>2301</v>
      </c>
      <c r="B438" s="3" t="s">
        <v>2302</v>
      </c>
      <c r="C438" s="3" t="s">
        <v>3378</v>
      </c>
      <c r="D438" s="3" t="s">
        <v>348</v>
      </c>
      <c r="E438" s="3" t="s">
        <v>36</v>
      </c>
      <c r="F438" s="3" t="s">
        <v>247</v>
      </c>
      <c r="G438" s="3" t="s">
        <v>37</v>
      </c>
      <c r="H438" s="3" t="s">
        <v>49</v>
      </c>
      <c r="I438" s="3" t="s">
        <v>2303</v>
      </c>
      <c r="J438" s="3" t="s">
        <v>223</v>
      </c>
      <c r="K438" s="3" t="s">
        <v>41</v>
      </c>
      <c r="L438" s="3" t="s">
        <v>2304</v>
      </c>
      <c r="M438" s="3" t="s">
        <v>2305</v>
      </c>
      <c r="N438" s="3" t="s">
        <v>79</v>
      </c>
      <c r="O438" s="3" t="s">
        <v>270</v>
      </c>
      <c r="P438" s="3" t="s">
        <v>3379</v>
      </c>
      <c r="Q438" s="3" t="s">
        <v>3380</v>
      </c>
      <c r="R438" s="3" t="s">
        <v>36</v>
      </c>
      <c r="S438" s="3" t="s">
        <v>254</v>
      </c>
      <c r="T438" s="3" t="s">
        <v>82</v>
      </c>
      <c r="U438" s="3" t="s">
        <v>49</v>
      </c>
      <c r="V438" s="3" t="s">
        <v>3381</v>
      </c>
      <c r="W438" s="3" t="s">
        <v>223</v>
      </c>
      <c r="X438" s="3" t="s">
        <v>41</v>
      </c>
      <c r="Y438" s="3" t="s">
        <v>3382</v>
      </c>
      <c r="Z438" s="3" t="s">
        <v>3383</v>
      </c>
      <c r="AA438" s="3" t="s">
        <v>79</v>
      </c>
      <c r="AB438" s="3" t="s">
        <v>308</v>
      </c>
      <c r="AC438" s="3" t="s">
        <v>3384</v>
      </c>
      <c r="AD438" s="14">
        <v>45706</v>
      </c>
      <c r="AE438" s="14">
        <v>45744</v>
      </c>
      <c r="AF438" s="3"/>
    </row>
    <row r="439" spans="1:32" ht="39.6" hidden="1">
      <c r="A439" s="3" t="s">
        <v>3385</v>
      </c>
      <c r="B439" s="3" t="s">
        <v>3386</v>
      </c>
      <c r="C439" s="3" t="s">
        <v>3387</v>
      </c>
      <c r="D439" s="3" t="s">
        <v>59</v>
      </c>
      <c r="E439" s="3" t="s">
        <v>36</v>
      </c>
      <c r="F439" s="3" t="s">
        <v>274</v>
      </c>
      <c r="G439" s="3" t="s">
        <v>82</v>
      </c>
      <c r="H439" s="3" t="s">
        <v>49</v>
      </c>
      <c r="I439" s="3" t="s">
        <v>3388</v>
      </c>
      <c r="J439" s="3" t="s">
        <v>223</v>
      </c>
      <c r="K439" s="3" t="s">
        <v>41</v>
      </c>
      <c r="L439" s="3" t="s">
        <v>2836</v>
      </c>
      <c r="M439" s="3" t="s">
        <v>3389</v>
      </c>
      <c r="N439" s="3" t="s">
        <v>79</v>
      </c>
      <c r="O439" s="3" t="s">
        <v>1239</v>
      </c>
      <c r="P439" s="3" t="s">
        <v>3390</v>
      </c>
      <c r="Q439" s="3" t="s">
        <v>3391</v>
      </c>
      <c r="R439" s="3" t="s">
        <v>36</v>
      </c>
      <c r="S439" s="3" t="s">
        <v>221</v>
      </c>
      <c r="T439" s="3" t="s">
        <v>82</v>
      </c>
      <c r="U439" s="3" t="s">
        <v>38</v>
      </c>
      <c r="V439" s="3" t="s">
        <v>3392</v>
      </c>
      <c r="W439" s="3" t="s">
        <v>223</v>
      </c>
      <c r="X439" s="3" t="s">
        <v>41</v>
      </c>
      <c r="Y439" s="3" t="s">
        <v>3286</v>
      </c>
      <c r="Z439" s="3" t="s">
        <v>277</v>
      </c>
      <c r="AA439" s="3" t="s">
        <v>44</v>
      </c>
      <c r="AB439" s="3" t="s">
        <v>278</v>
      </c>
      <c r="AC439" s="3" t="s">
        <v>3393</v>
      </c>
      <c r="AD439" s="14">
        <v>45713</v>
      </c>
      <c r="AE439" s="14"/>
      <c r="AF439" s="3"/>
    </row>
    <row r="440" spans="1:32" ht="39.6" hidden="1">
      <c r="A440" s="3" t="s">
        <v>3394</v>
      </c>
      <c r="B440" s="3" t="s">
        <v>3395</v>
      </c>
      <c r="C440" s="3" t="s">
        <v>3396</v>
      </c>
      <c r="D440" s="3" t="s">
        <v>59</v>
      </c>
      <c r="E440" s="3" t="s">
        <v>36</v>
      </c>
      <c r="F440" s="3"/>
      <c r="G440" s="3" t="s">
        <v>37</v>
      </c>
      <c r="H440" s="3" t="s">
        <v>38</v>
      </c>
      <c r="I440" s="3" t="s">
        <v>3397</v>
      </c>
      <c r="J440" s="3" t="s">
        <v>198</v>
      </c>
      <c r="K440" s="3" t="s">
        <v>41</v>
      </c>
      <c r="L440" s="3" t="s">
        <v>3398</v>
      </c>
      <c r="M440" s="3" t="s">
        <v>3399</v>
      </c>
      <c r="N440" s="3" t="s">
        <v>63</v>
      </c>
      <c r="O440" s="3" t="s">
        <v>64</v>
      </c>
      <c r="P440" s="3" t="s">
        <v>3400</v>
      </c>
      <c r="Q440" s="3" t="s">
        <v>3401</v>
      </c>
      <c r="R440" s="3" t="s">
        <v>36</v>
      </c>
      <c r="S440" s="3" t="s">
        <v>1827</v>
      </c>
      <c r="T440" s="3" t="s">
        <v>82</v>
      </c>
      <c r="U440" s="3" t="s">
        <v>73</v>
      </c>
      <c r="V440" s="3" t="s">
        <v>3402</v>
      </c>
      <c r="W440" s="3" t="s">
        <v>198</v>
      </c>
      <c r="X440" s="3" t="s">
        <v>41</v>
      </c>
      <c r="Y440" s="3" t="s">
        <v>3403</v>
      </c>
      <c r="Z440" s="3" t="s">
        <v>168</v>
      </c>
      <c r="AA440" s="3" t="s">
        <v>281</v>
      </c>
      <c r="AB440" s="3" t="s">
        <v>54</v>
      </c>
      <c r="AC440" s="3" t="s">
        <v>3404</v>
      </c>
      <c r="AD440" s="14">
        <v>45740</v>
      </c>
      <c r="AE440" s="14">
        <v>45835</v>
      </c>
      <c r="AF440" s="3"/>
    </row>
    <row r="441" spans="1:32" ht="409.6" hidden="1">
      <c r="A441" s="3" t="s">
        <v>501</v>
      </c>
      <c r="B441" s="3" t="s">
        <v>502</v>
      </c>
      <c r="C441" s="3" t="s">
        <v>3405</v>
      </c>
      <c r="D441" s="3" t="s">
        <v>59</v>
      </c>
      <c r="E441" s="3" t="s">
        <v>36</v>
      </c>
      <c r="F441" s="3" t="s">
        <v>274</v>
      </c>
      <c r="G441" s="3" t="s">
        <v>37</v>
      </c>
      <c r="H441" s="3" t="s">
        <v>78</v>
      </c>
      <c r="I441" s="3" t="s">
        <v>503</v>
      </c>
      <c r="J441" s="3" t="s">
        <v>223</v>
      </c>
      <c r="K441" s="3" t="s">
        <v>41</v>
      </c>
      <c r="L441" s="3" t="s">
        <v>504</v>
      </c>
      <c r="M441" s="3" t="s">
        <v>505</v>
      </c>
      <c r="N441" s="3" t="s">
        <v>53</v>
      </c>
      <c r="O441" s="3" t="s">
        <v>506</v>
      </c>
      <c r="P441" s="3" t="s">
        <v>3406</v>
      </c>
      <c r="Q441" s="3" t="s">
        <v>3407</v>
      </c>
      <c r="R441" s="3" t="s">
        <v>36</v>
      </c>
      <c r="S441" s="3" t="s">
        <v>221</v>
      </c>
      <c r="T441" s="3" t="s">
        <v>37</v>
      </c>
      <c r="U441" s="3" t="s">
        <v>49</v>
      </c>
      <c r="V441" s="3" t="s">
        <v>3408</v>
      </c>
      <c r="W441" s="3" t="s">
        <v>223</v>
      </c>
      <c r="X441" s="3" t="s">
        <v>41</v>
      </c>
      <c r="Y441" s="3" t="s">
        <v>504</v>
      </c>
      <c r="Z441" s="3" t="s">
        <v>3409</v>
      </c>
      <c r="AA441" s="3" t="s">
        <v>63</v>
      </c>
      <c r="AB441" s="3" t="s">
        <v>1591</v>
      </c>
      <c r="AC441" s="3" t="s">
        <v>3410</v>
      </c>
      <c r="AD441" s="14">
        <v>45712</v>
      </c>
      <c r="AE441" s="14"/>
      <c r="AF441" s="3"/>
    </row>
    <row r="442" spans="1:32" ht="66" hidden="1">
      <c r="A442" s="3" t="s">
        <v>3411</v>
      </c>
      <c r="B442" s="3" t="s">
        <v>3412</v>
      </c>
      <c r="C442" s="3" t="s">
        <v>3413</v>
      </c>
      <c r="D442" s="3" t="s">
        <v>35</v>
      </c>
      <c r="E442" s="3" t="s">
        <v>36</v>
      </c>
      <c r="F442" s="3" t="s">
        <v>221</v>
      </c>
      <c r="G442" s="3" t="s">
        <v>82</v>
      </c>
      <c r="H442" s="3" t="s">
        <v>38</v>
      </c>
      <c r="I442" s="3" t="s">
        <v>3414</v>
      </c>
      <c r="J442" s="3" t="s">
        <v>223</v>
      </c>
      <c r="K442" s="3" t="s">
        <v>780</v>
      </c>
      <c r="L442" s="3" t="s">
        <v>3415</v>
      </c>
      <c r="M442" s="3" t="s">
        <v>3416</v>
      </c>
      <c r="N442" s="3" t="s">
        <v>63</v>
      </c>
      <c r="O442" s="3" t="s">
        <v>308</v>
      </c>
      <c r="P442" s="3" t="s">
        <v>3417</v>
      </c>
      <c r="Q442" s="3" t="s">
        <v>3418</v>
      </c>
      <c r="R442" s="3" t="s">
        <v>36</v>
      </c>
      <c r="S442" s="3" t="s">
        <v>221</v>
      </c>
      <c r="T442" s="3" t="s">
        <v>82</v>
      </c>
      <c r="U442" s="3" t="s">
        <v>49</v>
      </c>
      <c r="V442" s="3" t="s">
        <v>1775</v>
      </c>
      <c r="W442" s="3" t="s">
        <v>223</v>
      </c>
      <c r="X442" s="3" t="s">
        <v>41</v>
      </c>
      <c r="Y442" s="3" t="s">
        <v>504</v>
      </c>
      <c r="Z442" s="3" t="s">
        <v>1776</v>
      </c>
      <c r="AA442" s="3" t="s">
        <v>63</v>
      </c>
      <c r="AB442" s="3" t="s">
        <v>506</v>
      </c>
      <c r="AC442" s="3" t="s">
        <v>3419</v>
      </c>
      <c r="AD442" s="14">
        <v>45713</v>
      </c>
      <c r="AE442" s="14"/>
      <c r="AF442" s="3"/>
    </row>
    <row r="443" spans="1:32" ht="66" hidden="1">
      <c r="A443" s="3" t="s">
        <v>3420</v>
      </c>
      <c r="B443" s="3" t="s">
        <v>3421</v>
      </c>
      <c r="C443" s="3" t="s">
        <v>3422</v>
      </c>
      <c r="D443" s="3" t="s">
        <v>59</v>
      </c>
      <c r="E443" s="3" t="s">
        <v>36</v>
      </c>
      <c r="F443" s="3" t="s">
        <v>221</v>
      </c>
      <c r="G443" s="3" t="s">
        <v>37</v>
      </c>
      <c r="H443" s="3" t="s">
        <v>49</v>
      </c>
      <c r="I443" s="3" t="s">
        <v>3423</v>
      </c>
      <c r="J443" s="3" t="s">
        <v>223</v>
      </c>
      <c r="K443" s="3" t="s">
        <v>41</v>
      </c>
      <c r="L443" s="3" t="s">
        <v>3424</v>
      </c>
      <c r="M443" s="3" t="s">
        <v>3425</v>
      </c>
      <c r="N443" s="3" t="s">
        <v>79</v>
      </c>
      <c r="O443" s="3" t="s">
        <v>3426</v>
      </c>
      <c r="P443" s="3" t="s">
        <v>3427</v>
      </c>
      <c r="Q443" s="3" t="s">
        <v>3428</v>
      </c>
      <c r="R443" s="3" t="s">
        <v>36</v>
      </c>
      <c r="S443" s="3" t="s">
        <v>221</v>
      </c>
      <c r="T443" s="3" t="s">
        <v>82</v>
      </c>
      <c r="U443" s="3" t="s">
        <v>49</v>
      </c>
      <c r="V443" s="3" t="s">
        <v>3429</v>
      </c>
      <c r="W443" s="3" t="s">
        <v>223</v>
      </c>
      <c r="X443" s="3" t="s">
        <v>41</v>
      </c>
      <c r="Y443" s="3" t="s">
        <v>3430</v>
      </c>
      <c r="Z443" s="3" t="s">
        <v>648</v>
      </c>
      <c r="AA443" s="3" t="s">
        <v>79</v>
      </c>
      <c r="AB443" s="3" t="s">
        <v>116</v>
      </c>
      <c r="AC443" s="3" t="s">
        <v>3431</v>
      </c>
      <c r="AD443" s="14">
        <v>45707</v>
      </c>
      <c r="AE443" s="14"/>
      <c r="AF443" s="3"/>
    </row>
    <row r="444" spans="1:32" ht="52.9" hidden="1">
      <c r="A444" s="3" t="s">
        <v>2361</v>
      </c>
      <c r="B444" s="3" t="s">
        <v>2362</v>
      </c>
      <c r="C444" s="3" t="s">
        <v>3432</v>
      </c>
      <c r="D444" s="3" t="s">
        <v>59</v>
      </c>
      <c r="E444" s="3" t="s">
        <v>36</v>
      </c>
      <c r="F444" s="3" t="s">
        <v>221</v>
      </c>
      <c r="G444" s="3" t="s">
        <v>82</v>
      </c>
      <c r="H444" s="3" t="s">
        <v>49</v>
      </c>
      <c r="I444" s="3" t="s">
        <v>2364</v>
      </c>
      <c r="J444" s="3" t="s">
        <v>223</v>
      </c>
      <c r="K444" s="3" t="s">
        <v>41</v>
      </c>
      <c r="L444" s="3" t="s">
        <v>2365</v>
      </c>
      <c r="M444" s="3" t="s">
        <v>1085</v>
      </c>
      <c r="N444" s="3" t="s">
        <v>53</v>
      </c>
      <c r="O444" s="3" t="s">
        <v>658</v>
      </c>
      <c r="P444" s="3" t="s">
        <v>3433</v>
      </c>
      <c r="Q444" s="3" t="s">
        <v>3434</v>
      </c>
      <c r="R444" s="3" t="s">
        <v>36</v>
      </c>
      <c r="S444" s="3" t="s">
        <v>221</v>
      </c>
      <c r="T444" s="3" t="s">
        <v>37</v>
      </c>
      <c r="U444" s="3" t="s">
        <v>49</v>
      </c>
      <c r="V444" s="3" t="s">
        <v>3435</v>
      </c>
      <c r="W444" s="3" t="s">
        <v>223</v>
      </c>
      <c r="X444" s="3" t="s">
        <v>780</v>
      </c>
      <c r="Y444" s="3" t="s">
        <v>3436</v>
      </c>
      <c r="Z444" s="3" t="s">
        <v>3437</v>
      </c>
      <c r="AA444" s="3" t="s">
        <v>63</v>
      </c>
      <c r="AB444" s="3" t="s">
        <v>506</v>
      </c>
      <c r="AC444" s="3" t="s">
        <v>3438</v>
      </c>
      <c r="AD444" s="14">
        <v>45698</v>
      </c>
      <c r="AE444" s="14">
        <v>45869</v>
      </c>
      <c r="AF444" s="3"/>
    </row>
    <row r="445" spans="1:32" ht="39.6" hidden="1">
      <c r="A445" s="3" t="s">
        <v>3439</v>
      </c>
      <c r="B445" s="3" t="s">
        <v>3440</v>
      </c>
      <c r="C445" s="3" t="s">
        <v>3441</v>
      </c>
      <c r="D445" s="3" t="s">
        <v>35</v>
      </c>
      <c r="E445" s="3" t="s">
        <v>36</v>
      </c>
      <c r="F445" s="3" t="s">
        <v>221</v>
      </c>
      <c r="G445" s="3" t="s">
        <v>82</v>
      </c>
      <c r="H445" s="3" t="s">
        <v>38</v>
      </c>
      <c r="I445" s="3" t="s">
        <v>3442</v>
      </c>
      <c r="J445" s="3" t="s">
        <v>223</v>
      </c>
      <c r="K445" s="3" t="s">
        <v>41</v>
      </c>
      <c r="L445" s="3" t="s">
        <v>504</v>
      </c>
      <c r="M445" s="3" t="s">
        <v>2493</v>
      </c>
      <c r="N445" s="3" t="s">
        <v>44</v>
      </c>
      <c r="O445" s="3" t="s">
        <v>506</v>
      </c>
      <c r="P445" s="3" t="s">
        <v>3443</v>
      </c>
      <c r="Q445" s="3" t="s">
        <v>3444</v>
      </c>
      <c r="R445" s="3" t="s">
        <v>36</v>
      </c>
      <c r="S445" s="3" t="s">
        <v>221</v>
      </c>
      <c r="T445" s="3" t="s">
        <v>37</v>
      </c>
      <c r="U445" s="3" t="s">
        <v>38</v>
      </c>
      <c r="V445" s="3" t="s">
        <v>3445</v>
      </c>
      <c r="W445" s="3" t="s">
        <v>223</v>
      </c>
      <c r="X445" s="3" t="s">
        <v>41</v>
      </c>
      <c r="Y445" s="3" t="s">
        <v>3446</v>
      </c>
      <c r="Z445" s="3" t="s">
        <v>1590</v>
      </c>
      <c r="AA445" s="3" t="s">
        <v>79</v>
      </c>
      <c r="AB445" s="3" t="s">
        <v>1591</v>
      </c>
      <c r="AC445" s="3" t="s">
        <v>3447</v>
      </c>
      <c r="AD445" s="14">
        <v>45706</v>
      </c>
      <c r="AE445" s="14">
        <v>46752</v>
      </c>
      <c r="AF445" s="3"/>
    </row>
    <row r="446" spans="1:32" ht="409.6" hidden="1">
      <c r="A446" s="3" t="s">
        <v>3448</v>
      </c>
      <c r="B446" s="3" t="s">
        <v>3449</v>
      </c>
      <c r="C446" s="3" t="s">
        <v>3450</v>
      </c>
      <c r="D446" s="3" t="s">
        <v>59</v>
      </c>
      <c r="E446" s="3" t="s">
        <v>36</v>
      </c>
      <c r="F446" s="3" t="s">
        <v>254</v>
      </c>
      <c r="G446" s="3" t="s">
        <v>37</v>
      </c>
      <c r="H446" s="3" t="s">
        <v>38</v>
      </c>
      <c r="I446" s="3" t="s">
        <v>3451</v>
      </c>
      <c r="J446" s="3" t="s">
        <v>223</v>
      </c>
      <c r="K446" s="3" t="s">
        <v>41</v>
      </c>
      <c r="L446" s="3" t="s">
        <v>342</v>
      </c>
      <c r="M446" s="3" t="s">
        <v>343</v>
      </c>
      <c r="N446" s="3" t="s">
        <v>63</v>
      </c>
      <c r="O446" s="3" t="s">
        <v>344</v>
      </c>
      <c r="P446" s="3" t="s">
        <v>3452</v>
      </c>
      <c r="Q446" s="3" t="s">
        <v>3453</v>
      </c>
      <c r="R446" s="3" t="s">
        <v>36</v>
      </c>
      <c r="S446" s="3" t="s">
        <v>221</v>
      </c>
      <c r="T446" s="3" t="s">
        <v>37</v>
      </c>
      <c r="U446" s="3" t="s">
        <v>49</v>
      </c>
      <c r="V446" s="3" t="s">
        <v>3454</v>
      </c>
      <c r="W446" s="3" t="s">
        <v>223</v>
      </c>
      <c r="X446" s="3" t="s">
        <v>41</v>
      </c>
      <c r="Y446" s="3" t="s">
        <v>3455</v>
      </c>
      <c r="Z446" s="3" t="s">
        <v>3456</v>
      </c>
      <c r="AA446" s="3" t="s">
        <v>79</v>
      </c>
      <c r="AB446" s="3" t="s">
        <v>3426</v>
      </c>
      <c r="AC446" s="3" t="s">
        <v>3457</v>
      </c>
      <c r="AD446" s="14">
        <v>45707</v>
      </c>
      <c r="AE446" s="14">
        <v>45827</v>
      </c>
      <c r="AF446" s="3"/>
    </row>
    <row r="447" spans="1:32" ht="158.44999999999999" hidden="1">
      <c r="A447" s="3" t="s">
        <v>3458</v>
      </c>
      <c r="B447" s="3" t="s">
        <v>3459</v>
      </c>
      <c r="C447" s="3" t="s">
        <v>3460</v>
      </c>
      <c r="D447" s="3" t="s">
        <v>59</v>
      </c>
      <c r="E447" s="3" t="s">
        <v>36</v>
      </c>
      <c r="F447" s="3" t="s">
        <v>221</v>
      </c>
      <c r="G447" s="3" t="s">
        <v>82</v>
      </c>
      <c r="H447" s="3" t="s">
        <v>49</v>
      </c>
      <c r="I447" s="3" t="s">
        <v>3461</v>
      </c>
      <c r="J447" s="3" t="s">
        <v>223</v>
      </c>
      <c r="K447" s="3" t="s">
        <v>41</v>
      </c>
      <c r="L447" s="3" t="s">
        <v>3462</v>
      </c>
      <c r="M447" s="3" t="s">
        <v>3463</v>
      </c>
      <c r="N447" s="3" t="s">
        <v>53</v>
      </c>
      <c r="O447" s="3" t="s">
        <v>506</v>
      </c>
      <c r="P447" s="3" t="s">
        <v>3464</v>
      </c>
      <c r="Q447" s="3" t="s">
        <v>3465</v>
      </c>
      <c r="R447" s="3" t="s">
        <v>36</v>
      </c>
      <c r="S447" s="3" t="s">
        <v>247</v>
      </c>
      <c r="T447" s="3" t="s">
        <v>37</v>
      </c>
      <c r="U447" s="3" t="s">
        <v>38</v>
      </c>
      <c r="V447" s="3" t="s">
        <v>3466</v>
      </c>
      <c r="W447" s="3" t="s">
        <v>223</v>
      </c>
      <c r="X447" s="3" t="s">
        <v>41</v>
      </c>
      <c r="Y447" s="3" t="s">
        <v>3382</v>
      </c>
      <c r="Z447" s="3" t="s">
        <v>3409</v>
      </c>
      <c r="AA447" s="3" t="s">
        <v>63</v>
      </c>
      <c r="AB447" s="3" t="s">
        <v>1591</v>
      </c>
      <c r="AC447" s="3" t="s">
        <v>3467</v>
      </c>
      <c r="AD447" s="14">
        <v>45714</v>
      </c>
      <c r="AE447" s="14">
        <v>46017</v>
      </c>
      <c r="AF447" s="3"/>
    </row>
    <row r="448" spans="1:32" ht="92.45" hidden="1">
      <c r="A448" s="3" t="s">
        <v>439</v>
      </c>
      <c r="B448" s="3" t="s">
        <v>440</v>
      </c>
      <c r="C448" s="3" t="s">
        <v>3468</v>
      </c>
      <c r="D448" s="3" t="s">
        <v>35</v>
      </c>
      <c r="E448" s="3" t="s">
        <v>36</v>
      </c>
      <c r="F448" s="3" t="s">
        <v>180</v>
      </c>
      <c r="G448" s="3" t="s">
        <v>37</v>
      </c>
      <c r="H448" s="3" t="s">
        <v>49</v>
      </c>
      <c r="I448" s="3" t="s">
        <v>441</v>
      </c>
      <c r="J448" s="3" t="s">
        <v>182</v>
      </c>
      <c r="K448" s="3" t="s">
        <v>41</v>
      </c>
      <c r="L448" s="3" t="s">
        <v>442</v>
      </c>
      <c r="M448" s="3" t="s">
        <v>443</v>
      </c>
      <c r="N448" s="3" t="s">
        <v>79</v>
      </c>
      <c r="O448" s="3" t="s">
        <v>270</v>
      </c>
      <c r="P448" s="3" t="s">
        <v>3469</v>
      </c>
      <c r="Q448" s="3" t="s">
        <v>3470</v>
      </c>
      <c r="R448" s="3" t="s">
        <v>36</v>
      </c>
      <c r="S448" s="3" t="s">
        <v>221</v>
      </c>
      <c r="T448" s="3" t="s">
        <v>82</v>
      </c>
      <c r="U448" s="3" t="s">
        <v>49</v>
      </c>
      <c r="V448" s="3" t="s">
        <v>3471</v>
      </c>
      <c r="W448" s="3" t="s">
        <v>223</v>
      </c>
      <c r="X448" s="3" t="s">
        <v>780</v>
      </c>
      <c r="Y448" s="3" t="s">
        <v>3472</v>
      </c>
      <c r="Z448" s="3" t="s">
        <v>3473</v>
      </c>
      <c r="AA448" s="3" t="s">
        <v>79</v>
      </c>
      <c r="AB448" s="3" t="s">
        <v>1310</v>
      </c>
      <c r="AC448" s="3" t="s">
        <v>3474</v>
      </c>
      <c r="AD448" s="14">
        <v>45723</v>
      </c>
      <c r="AE448" s="14">
        <v>45869</v>
      </c>
      <c r="AF448" s="3"/>
    </row>
    <row r="449" spans="1:32" ht="39.6" hidden="1">
      <c r="A449" s="3" t="s">
        <v>2507</v>
      </c>
      <c r="B449" s="3" t="s">
        <v>2508</v>
      </c>
      <c r="C449" s="3" t="s">
        <v>3475</v>
      </c>
      <c r="D449" s="3" t="s">
        <v>35</v>
      </c>
      <c r="E449" s="3" t="s">
        <v>36</v>
      </c>
      <c r="F449" s="3" t="s">
        <v>247</v>
      </c>
      <c r="G449" s="3" t="s">
        <v>37</v>
      </c>
      <c r="H449" s="3" t="s">
        <v>78</v>
      </c>
      <c r="I449" s="3" t="s">
        <v>2510</v>
      </c>
      <c r="J449" s="3" t="s">
        <v>223</v>
      </c>
      <c r="K449" s="3" t="s">
        <v>41</v>
      </c>
      <c r="L449" s="3" t="s">
        <v>2511</v>
      </c>
      <c r="M449" s="3" t="s">
        <v>2323</v>
      </c>
      <c r="N449" s="3" t="s">
        <v>123</v>
      </c>
      <c r="O449" s="3" t="s">
        <v>699</v>
      </c>
      <c r="P449" s="3" t="s">
        <v>2723</v>
      </c>
      <c r="Q449" s="3" t="s">
        <v>2724</v>
      </c>
      <c r="R449" s="3" t="s">
        <v>36</v>
      </c>
      <c r="S449" s="3" t="s">
        <v>247</v>
      </c>
      <c r="T449" s="3" t="s">
        <v>37</v>
      </c>
      <c r="U449" s="3" t="s">
        <v>49</v>
      </c>
      <c r="V449" s="3" t="s">
        <v>2725</v>
      </c>
      <c r="W449" s="3" t="s">
        <v>223</v>
      </c>
      <c r="X449" s="3" t="s">
        <v>41</v>
      </c>
      <c r="Y449" s="3" t="s">
        <v>2511</v>
      </c>
      <c r="Z449" s="3" t="s">
        <v>225</v>
      </c>
      <c r="AA449" s="3" t="s">
        <v>281</v>
      </c>
      <c r="AB449" s="3" t="s">
        <v>226</v>
      </c>
      <c r="AC449" s="3" t="s">
        <v>3476</v>
      </c>
      <c r="AD449" s="14">
        <v>45712</v>
      </c>
      <c r="AE449" s="14">
        <v>46418</v>
      </c>
      <c r="AF449" s="3"/>
    </row>
    <row r="450" spans="1:32" ht="92.45" hidden="1">
      <c r="A450" s="3" t="s">
        <v>3477</v>
      </c>
      <c r="B450" s="3" t="s">
        <v>3478</v>
      </c>
      <c r="C450" s="3" t="s">
        <v>3479</v>
      </c>
      <c r="D450" s="3" t="s">
        <v>348</v>
      </c>
      <c r="E450" s="3" t="s">
        <v>36</v>
      </c>
      <c r="F450" s="3" t="s">
        <v>221</v>
      </c>
      <c r="G450" s="3" t="s">
        <v>82</v>
      </c>
      <c r="H450" s="3" t="s">
        <v>49</v>
      </c>
      <c r="I450" s="3" t="s">
        <v>3480</v>
      </c>
      <c r="J450" s="3" t="s">
        <v>223</v>
      </c>
      <c r="K450" s="3" t="s">
        <v>41</v>
      </c>
      <c r="L450" s="3" t="s">
        <v>3481</v>
      </c>
      <c r="M450" s="3" t="s">
        <v>692</v>
      </c>
      <c r="N450" s="3" t="s">
        <v>281</v>
      </c>
      <c r="O450" s="3" t="s">
        <v>658</v>
      </c>
      <c r="P450" s="3" t="s">
        <v>2366</v>
      </c>
      <c r="Q450" s="3" t="s">
        <v>2367</v>
      </c>
      <c r="R450" s="3" t="s">
        <v>36</v>
      </c>
      <c r="S450" s="3" t="s">
        <v>221</v>
      </c>
      <c r="T450" s="3" t="s">
        <v>82</v>
      </c>
      <c r="U450" s="3" t="s">
        <v>73</v>
      </c>
      <c r="V450" s="3" t="s">
        <v>2368</v>
      </c>
      <c r="W450" s="3" t="s">
        <v>223</v>
      </c>
      <c r="X450" s="3" t="s">
        <v>41</v>
      </c>
      <c r="Y450" s="3" t="s">
        <v>2369</v>
      </c>
      <c r="Z450" s="3" t="s">
        <v>692</v>
      </c>
      <c r="AA450" s="3" t="s">
        <v>63</v>
      </c>
      <c r="AB450" s="3" t="s">
        <v>658</v>
      </c>
      <c r="AC450" s="3" t="s">
        <v>3482</v>
      </c>
      <c r="AD450" s="14">
        <v>45726</v>
      </c>
      <c r="AE450" s="14"/>
      <c r="AF450" s="3"/>
    </row>
    <row r="451" spans="1:32" ht="39.6" hidden="1">
      <c r="A451" s="3" t="s">
        <v>3439</v>
      </c>
      <c r="B451" s="3" t="s">
        <v>3440</v>
      </c>
      <c r="C451" s="3" t="s">
        <v>3483</v>
      </c>
      <c r="D451" s="3" t="s">
        <v>59</v>
      </c>
      <c r="E451" s="3" t="s">
        <v>36</v>
      </c>
      <c r="F451" s="3" t="s">
        <v>221</v>
      </c>
      <c r="G451" s="3" t="s">
        <v>82</v>
      </c>
      <c r="H451" s="3" t="s">
        <v>38</v>
      </c>
      <c r="I451" s="3" t="s">
        <v>3442</v>
      </c>
      <c r="J451" s="3" t="s">
        <v>223</v>
      </c>
      <c r="K451" s="3" t="s">
        <v>41</v>
      </c>
      <c r="L451" s="3" t="s">
        <v>504</v>
      </c>
      <c r="M451" s="3" t="s">
        <v>2493</v>
      </c>
      <c r="N451" s="3" t="s">
        <v>44</v>
      </c>
      <c r="O451" s="3" t="s">
        <v>506</v>
      </c>
      <c r="P451" s="3" t="s">
        <v>3443</v>
      </c>
      <c r="Q451" s="3" t="s">
        <v>3444</v>
      </c>
      <c r="R451" s="3" t="s">
        <v>36</v>
      </c>
      <c r="S451" s="3" t="s">
        <v>221</v>
      </c>
      <c r="T451" s="3" t="s">
        <v>37</v>
      </c>
      <c r="U451" s="3" t="s">
        <v>38</v>
      </c>
      <c r="V451" s="3" t="s">
        <v>3445</v>
      </c>
      <c r="W451" s="3" t="s">
        <v>223</v>
      </c>
      <c r="X451" s="3" t="s">
        <v>41</v>
      </c>
      <c r="Y451" s="3" t="s">
        <v>3446</v>
      </c>
      <c r="Z451" s="3" t="s">
        <v>1590</v>
      </c>
      <c r="AA451" s="3" t="s">
        <v>79</v>
      </c>
      <c r="AB451" s="3" t="s">
        <v>1591</v>
      </c>
      <c r="AC451" s="3" t="s">
        <v>3447</v>
      </c>
      <c r="AD451" s="14">
        <v>45706</v>
      </c>
      <c r="AE451" s="14">
        <v>47117</v>
      </c>
      <c r="AF451" s="3"/>
    </row>
    <row r="452" spans="1:32" ht="39.6" hidden="1">
      <c r="A452" s="3" t="s">
        <v>3411</v>
      </c>
      <c r="B452" s="3" t="s">
        <v>3412</v>
      </c>
      <c r="C452" s="3"/>
      <c r="D452" s="3" t="s">
        <v>35</v>
      </c>
      <c r="E452" s="3" t="s">
        <v>36</v>
      </c>
      <c r="F452" s="3" t="s">
        <v>221</v>
      </c>
      <c r="G452" s="3" t="s">
        <v>82</v>
      </c>
      <c r="H452" s="3" t="s">
        <v>38</v>
      </c>
      <c r="I452" s="3" t="s">
        <v>3414</v>
      </c>
      <c r="J452" s="3" t="s">
        <v>223</v>
      </c>
      <c r="K452" s="3" t="s">
        <v>780</v>
      </c>
      <c r="L452" s="3" t="s">
        <v>3415</v>
      </c>
      <c r="M452" s="3" t="s">
        <v>3416</v>
      </c>
      <c r="N452" s="3" t="s">
        <v>63</v>
      </c>
      <c r="O452" s="3" t="s">
        <v>308</v>
      </c>
      <c r="P452" s="3" t="s">
        <v>3484</v>
      </c>
      <c r="Q452" s="3" t="s">
        <v>3485</v>
      </c>
      <c r="R452" s="3" t="s">
        <v>36</v>
      </c>
      <c r="S452" s="3" t="s">
        <v>221</v>
      </c>
      <c r="T452" s="3" t="s">
        <v>82</v>
      </c>
      <c r="U452" s="3" t="s">
        <v>49</v>
      </c>
      <c r="V452" s="3" t="s">
        <v>3486</v>
      </c>
      <c r="W452" s="3" t="s">
        <v>223</v>
      </c>
      <c r="X452" s="3" t="s">
        <v>780</v>
      </c>
      <c r="Y452" s="3" t="s">
        <v>3487</v>
      </c>
      <c r="Z452" s="3" t="s">
        <v>3488</v>
      </c>
      <c r="AA452" s="3" t="s">
        <v>79</v>
      </c>
      <c r="AB452" s="3" t="s">
        <v>45</v>
      </c>
      <c r="AC452" s="3" t="s">
        <v>3489</v>
      </c>
      <c r="AD452" s="14">
        <v>45658</v>
      </c>
      <c r="AE452" s="14">
        <v>46022</v>
      </c>
      <c r="AF452" s="3"/>
    </row>
    <row r="453" spans="1:32" ht="409.6" hidden="1">
      <c r="A453" s="3" t="s">
        <v>3490</v>
      </c>
      <c r="B453" s="3" t="s">
        <v>3491</v>
      </c>
      <c r="C453" s="3" t="s">
        <v>3492</v>
      </c>
      <c r="D453" s="3" t="s">
        <v>59</v>
      </c>
      <c r="E453" s="3" t="s">
        <v>36</v>
      </c>
      <c r="F453" s="3" t="s">
        <v>221</v>
      </c>
      <c r="G453" s="3" t="s">
        <v>37</v>
      </c>
      <c r="H453" s="3" t="s">
        <v>38</v>
      </c>
      <c r="I453" s="3" t="s">
        <v>3493</v>
      </c>
      <c r="J453" s="3" t="s">
        <v>223</v>
      </c>
      <c r="K453" s="3" t="s">
        <v>41</v>
      </c>
      <c r="L453" s="3" t="s">
        <v>3494</v>
      </c>
      <c r="M453" s="3" t="s">
        <v>3495</v>
      </c>
      <c r="N453" s="3" t="s">
        <v>79</v>
      </c>
      <c r="O453" s="3" t="s">
        <v>226</v>
      </c>
      <c r="P453" s="3" t="s">
        <v>3496</v>
      </c>
      <c r="Q453" s="3" t="s">
        <v>3497</v>
      </c>
      <c r="R453" s="3" t="s">
        <v>36</v>
      </c>
      <c r="S453" s="3" t="s">
        <v>221</v>
      </c>
      <c r="T453" s="3" t="s">
        <v>37</v>
      </c>
      <c r="U453" s="3" t="s">
        <v>38</v>
      </c>
      <c r="V453" s="3" t="s">
        <v>1964</v>
      </c>
      <c r="W453" s="3" t="s">
        <v>223</v>
      </c>
      <c r="X453" s="3" t="s">
        <v>41</v>
      </c>
      <c r="Y453" s="3" t="s">
        <v>1965</v>
      </c>
      <c r="Z453" s="3" t="s">
        <v>1966</v>
      </c>
      <c r="AA453" s="3" t="s">
        <v>79</v>
      </c>
      <c r="AB453" s="3" t="s">
        <v>54</v>
      </c>
      <c r="AC453" s="3" t="s">
        <v>3498</v>
      </c>
      <c r="AD453" s="14">
        <v>45723</v>
      </c>
      <c r="AE453" s="14">
        <v>45869</v>
      </c>
      <c r="AF453" s="3" t="s">
        <v>3499</v>
      </c>
    </row>
    <row r="454" spans="1:32" ht="39.6" hidden="1">
      <c r="A454" s="3" t="s">
        <v>3500</v>
      </c>
      <c r="B454" s="3" t="s">
        <v>3501</v>
      </c>
      <c r="C454" s="3" t="s">
        <v>3502</v>
      </c>
      <c r="D454" s="3" t="s">
        <v>35</v>
      </c>
      <c r="E454" s="3" t="s">
        <v>36</v>
      </c>
      <c r="F454" s="3" t="s">
        <v>274</v>
      </c>
      <c r="G454" s="3" t="s">
        <v>37</v>
      </c>
      <c r="H454" s="3" t="s">
        <v>78</v>
      </c>
      <c r="I454" s="3" t="s">
        <v>3503</v>
      </c>
      <c r="J454" s="3" t="s">
        <v>223</v>
      </c>
      <c r="K454" s="3" t="s">
        <v>1373</v>
      </c>
      <c r="L454" s="3" t="s">
        <v>3504</v>
      </c>
      <c r="M454" s="3" t="s">
        <v>3505</v>
      </c>
      <c r="N454" s="3" t="s">
        <v>123</v>
      </c>
      <c r="O454" s="3" t="s">
        <v>270</v>
      </c>
      <c r="P454" s="3" t="s">
        <v>3506</v>
      </c>
      <c r="Q454" s="3" t="s">
        <v>3507</v>
      </c>
      <c r="R454" s="3" t="s">
        <v>36</v>
      </c>
      <c r="S454" s="3" t="s">
        <v>254</v>
      </c>
      <c r="T454" s="3" t="s">
        <v>37</v>
      </c>
      <c r="U454" s="3" t="s">
        <v>38</v>
      </c>
      <c r="V454" s="3" t="s">
        <v>3508</v>
      </c>
      <c r="W454" s="3" t="s">
        <v>223</v>
      </c>
      <c r="X454" s="3" t="s">
        <v>41</v>
      </c>
      <c r="Y454" s="3" t="s">
        <v>3509</v>
      </c>
      <c r="Z454" s="3" t="s">
        <v>3510</v>
      </c>
      <c r="AA454" s="3" t="s">
        <v>79</v>
      </c>
      <c r="AB454" s="3" t="s">
        <v>643</v>
      </c>
      <c r="AC454" s="3" t="s">
        <v>3511</v>
      </c>
      <c r="AD454" s="14">
        <v>45719</v>
      </c>
      <c r="AE454" s="14">
        <v>46053</v>
      </c>
      <c r="AF454" s="3"/>
    </row>
    <row r="455" spans="1:32" ht="198" hidden="1">
      <c r="A455" s="3" t="s">
        <v>3212</v>
      </c>
      <c r="B455" s="3" t="s">
        <v>3213</v>
      </c>
      <c r="C455" s="3" t="s">
        <v>3512</v>
      </c>
      <c r="D455" s="3" t="s">
        <v>348</v>
      </c>
      <c r="E455" s="3" t="s">
        <v>36</v>
      </c>
      <c r="F455" s="3" t="s">
        <v>274</v>
      </c>
      <c r="G455" s="3" t="s">
        <v>37</v>
      </c>
      <c r="H455" s="3" t="s">
        <v>78</v>
      </c>
      <c r="I455" s="3" t="s">
        <v>3215</v>
      </c>
      <c r="J455" s="3" t="s">
        <v>223</v>
      </c>
      <c r="K455" s="3" t="s">
        <v>41</v>
      </c>
      <c r="L455" s="3" t="s">
        <v>3216</v>
      </c>
      <c r="M455" s="3" t="s">
        <v>313</v>
      </c>
      <c r="N455" s="3" t="s">
        <v>63</v>
      </c>
      <c r="O455" s="3" t="s">
        <v>308</v>
      </c>
      <c r="P455" s="3" t="s">
        <v>3513</v>
      </c>
      <c r="Q455" s="3" t="s">
        <v>3514</v>
      </c>
      <c r="R455" s="3" t="s">
        <v>36</v>
      </c>
      <c r="S455" s="3" t="s">
        <v>221</v>
      </c>
      <c r="T455" s="3" t="s">
        <v>37</v>
      </c>
      <c r="U455" s="3" t="s">
        <v>49</v>
      </c>
      <c r="V455" s="3" t="s">
        <v>3515</v>
      </c>
      <c r="W455" s="3" t="s">
        <v>223</v>
      </c>
      <c r="X455" s="3" t="s">
        <v>41</v>
      </c>
      <c r="Y455" s="3" t="s">
        <v>3516</v>
      </c>
      <c r="Z455" s="3" t="s">
        <v>3517</v>
      </c>
      <c r="AA455" s="3" t="s">
        <v>79</v>
      </c>
      <c r="AB455" s="3" t="s">
        <v>308</v>
      </c>
      <c r="AC455" s="3" t="s">
        <v>3518</v>
      </c>
      <c r="AD455" s="14">
        <v>45723</v>
      </c>
      <c r="AE455" s="14">
        <v>46087</v>
      </c>
      <c r="AF455" s="3"/>
    </row>
    <row r="456" spans="1:32" ht="52.9" hidden="1">
      <c r="A456" s="3" t="s">
        <v>537</v>
      </c>
      <c r="B456" s="3" t="s">
        <v>538</v>
      </c>
      <c r="C456" s="3" t="s">
        <v>3519</v>
      </c>
      <c r="D456" s="3" t="s">
        <v>59</v>
      </c>
      <c r="E456" s="3" t="s">
        <v>36</v>
      </c>
      <c r="F456" s="3" t="s">
        <v>526</v>
      </c>
      <c r="G456" s="3" t="s">
        <v>37</v>
      </c>
      <c r="H456" s="3" t="s">
        <v>78</v>
      </c>
      <c r="I456" s="3" t="s">
        <v>540</v>
      </c>
      <c r="J456" s="3" t="s">
        <v>528</v>
      </c>
      <c r="K456" s="3" t="s">
        <v>41</v>
      </c>
      <c r="L456" s="3" t="s">
        <v>541</v>
      </c>
      <c r="M456" s="3" t="s">
        <v>542</v>
      </c>
      <c r="N456" s="3" t="s">
        <v>79</v>
      </c>
      <c r="O456" s="3" t="s">
        <v>543</v>
      </c>
      <c r="P456" s="3" t="s">
        <v>3520</v>
      </c>
      <c r="Q456" s="3" t="s">
        <v>3521</v>
      </c>
      <c r="R456" s="3" t="s">
        <v>36</v>
      </c>
      <c r="S456" s="3" t="s">
        <v>526</v>
      </c>
      <c r="T456" s="3" t="s">
        <v>37</v>
      </c>
      <c r="U456" s="3" t="s">
        <v>49</v>
      </c>
      <c r="V456" s="3" t="s">
        <v>2479</v>
      </c>
      <c r="W456" s="3" t="s">
        <v>528</v>
      </c>
      <c r="X456" s="3" t="s">
        <v>41</v>
      </c>
      <c r="Y456" s="3" t="s">
        <v>1626</v>
      </c>
      <c r="Z456" s="3" t="s">
        <v>2095</v>
      </c>
      <c r="AA456" s="3" t="s">
        <v>53</v>
      </c>
      <c r="AB456" s="3" t="s">
        <v>201</v>
      </c>
      <c r="AC456" s="3" t="s">
        <v>3522</v>
      </c>
      <c r="AD456" s="14">
        <v>45717</v>
      </c>
      <c r="AE456" s="14"/>
      <c r="AF456" s="3"/>
    </row>
    <row r="457" spans="1:32" ht="409.6" hidden="1">
      <c r="A457" s="3" t="s">
        <v>3523</v>
      </c>
      <c r="B457" s="3" t="s">
        <v>3524</v>
      </c>
      <c r="C457" s="3" t="s">
        <v>3525</v>
      </c>
      <c r="D457" s="3" t="s">
        <v>59</v>
      </c>
      <c r="E457" s="3" t="s">
        <v>36</v>
      </c>
      <c r="F457" s="3" t="s">
        <v>221</v>
      </c>
      <c r="G457" s="3" t="s">
        <v>37</v>
      </c>
      <c r="H457" s="3" t="s">
        <v>49</v>
      </c>
      <c r="I457" s="3" t="s">
        <v>3526</v>
      </c>
      <c r="J457" s="3" t="s">
        <v>223</v>
      </c>
      <c r="K457" s="3" t="s">
        <v>41</v>
      </c>
      <c r="L457" s="3" t="s">
        <v>3527</v>
      </c>
      <c r="M457" s="3" t="s">
        <v>796</v>
      </c>
      <c r="N457" s="3" t="s">
        <v>79</v>
      </c>
      <c r="O457" s="3" t="s">
        <v>699</v>
      </c>
      <c r="P457" s="3" t="s">
        <v>3496</v>
      </c>
      <c r="Q457" s="3" t="s">
        <v>3497</v>
      </c>
      <c r="R457" s="3" t="s">
        <v>36</v>
      </c>
      <c r="S457" s="3" t="s">
        <v>221</v>
      </c>
      <c r="T457" s="3" t="s">
        <v>37</v>
      </c>
      <c r="U457" s="3" t="s">
        <v>38</v>
      </c>
      <c r="V457" s="3" t="s">
        <v>1964</v>
      </c>
      <c r="W457" s="3" t="s">
        <v>223</v>
      </c>
      <c r="X457" s="3" t="s">
        <v>41</v>
      </c>
      <c r="Y457" s="3" t="s">
        <v>1965</v>
      </c>
      <c r="Z457" s="3" t="s">
        <v>1966</v>
      </c>
      <c r="AA457" s="3" t="s">
        <v>79</v>
      </c>
      <c r="AB457" s="3" t="s">
        <v>54</v>
      </c>
      <c r="AC457" s="3" t="s">
        <v>3528</v>
      </c>
      <c r="AD457" s="14">
        <v>45723</v>
      </c>
      <c r="AE457" s="14">
        <v>45869</v>
      </c>
      <c r="AF457" s="3" t="s">
        <v>3499</v>
      </c>
    </row>
    <row r="458" spans="1:32" ht="316.89999999999998" hidden="1">
      <c r="A458" s="3" t="s">
        <v>2042</v>
      </c>
      <c r="B458" s="3" t="s">
        <v>2043</v>
      </c>
      <c r="C458" s="3" t="s">
        <v>3529</v>
      </c>
      <c r="D458" s="3" t="s">
        <v>59</v>
      </c>
      <c r="E458" s="3" t="s">
        <v>36</v>
      </c>
      <c r="F458" s="3"/>
      <c r="G458" s="3" t="s">
        <v>37</v>
      </c>
      <c r="H458" s="3" t="s">
        <v>38</v>
      </c>
      <c r="I458" s="3" t="s">
        <v>2045</v>
      </c>
      <c r="J458" s="3" t="s">
        <v>40</v>
      </c>
      <c r="K458" s="3" t="s">
        <v>41</v>
      </c>
      <c r="L458" s="3" t="s">
        <v>2046</v>
      </c>
      <c r="M458" s="3" t="s">
        <v>2047</v>
      </c>
      <c r="N458" s="3" t="s">
        <v>79</v>
      </c>
      <c r="O458" s="3" t="s">
        <v>54</v>
      </c>
      <c r="P458" s="3" t="s">
        <v>3530</v>
      </c>
      <c r="Q458" s="3" t="s">
        <v>3531</v>
      </c>
      <c r="R458" s="3" t="s">
        <v>36</v>
      </c>
      <c r="S458" s="3" t="s">
        <v>48</v>
      </c>
      <c r="T458" s="3" t="s">
        <v>37</v>
      </c>
      <c r="U458" s="3" t="s">
        <v>73</v>
      </c>
      <c r="V458" s="3" t="s">
        <v>105</v>
      </c>
      <c r="W458" s="3" t="s">
        <v>40</v>
      </c>
      <c r="X458" s="3" t="s">
        <v>41</v>
      </c>
      <c r="Y458" s="3" t="s">
        <v>106</v>
      </c>
      <c r="Z458" s="3" t="s">
        <v>107</v>
      </c>
      <c r="AA458" s="3" t="s">
        <v>69</v>
      </c>
      <c r="AB458" s="3" t="s">
        <v>64</v>
      </c>
      <c r="AC458" s="3" t="s">
        <v>3532</v>
      </c>
      <c r="AD458" s="14">
        <v>45719</v>
      </c>
      <c r="AE458" s="14"/>
      <c r="AF458" s="3"/>
    </row>
    <row r="459" spans="1:32" ht="409.6" hidden="1">
      <c r="A459" s="3" t="s">
        <v>3533</v>
      </c>
      <c r="B459" s="3" t="s">
        <v>3534</v>
      </c>
      <c r="C459" s="3" t="s">
        <v>3492</v>
      </c>
      <c r="D459" s="3" t="s">
        <v>59</v>
      </c>
      <c r="E459" s="3" t="s">
        <v>36</v>
      </c>
      <c r="F459" s="3" t="s">
        <v>221</v>
      </c>
      <c r="G459" s="3" t="s">
        <v>37</v>
      </c>
      <c r="H459" s="3" t="s">
        <v>49</v>
      </c>
      <c r="I459" s="3" t="s">
        <v>3535</v>
      </c>
      <c r="J459" s="3" t="s">
        <v>223</v>
      </c>
      <c r="K459" s="3" t="s">
        <v>1373</v>
      </c>
      <c r="L459" s="3" t="s">
        <v>3536</v>
      </c>
      <c r="M459" s="3" t="s">
        <v>796</v>
      </c>
      <c r="N459" s="3" t="s">
        <v>79</v>
      </c>
      <c r="O459" s="3" t="s">
        <v>699</v>
      </c>
      <c r="P459" s="3" t="s">
        <v>3496</v>
      </c>
      <c r="Q459" s="3" t="s">
        <v>3497</v>
      </c>
      <c r="R459" s="3" t="s">
        <v>36</v>
      </c>
      <c r="S459" s="3" t="s">
        <v>221</v>
      </c>
      <c r="T459" s="3" t="s">
        <v>37</v>
      </c>
      <c r="U459" s="3" t="s">
        <v>38</v>
      </c>
      <c r="V459" s="3" t="s">
        <v>1964</v>
      </c>
      <c r="W459" s="3" t="s">
        <v>223</v>
      </c>
      <c r="X459" s="3" t="s">
        <v>41</v>
      </c>
      <c r="Y459" s="3" t="s">
        <v>1965</v>
      </c>
      <c r="Z459" s="3" t="s">
        <v>1966</v>
      </c>
      <c r="AA459" s="3" t="s">
        <v>79</v>
      </c>
      <c r="AB459" s="3" t="s">
        <v>54</v>
      </c>
      <c r="AC459" s="3" t="s">
        <v>3537</v>
      </c>
      <c r="AD459" s="14">
        <v>45723</v>
      </c>
      <c r="AE459" s="14">
        <v>45869</v>
      </c>
      <c r="AF459" s="3" t="s">
        <v>632</v>
      </c>
    </row>
    <row r="460" spans="1:32" ht="409.6" hidden="1">
      <c r="A460" s="3" t="s">
        <v>3538</v>
      </c>
      <c r="B460" s="3" t="s">
        <v>3539</v>
      </c>
      <c r="C460" s="3" t="s">
        <v>3540</v>
      </c>
      <c r="D460" s="3" t="s">
        <v>59</v>
      </c>
      <c r="E460" s="3" t="s">
        <v>36</v>
      </c>
      <c r="F460" s="3" t="s">
        <v>274</v>
      </c>
      <c r="G460" s="3" t="s">
        <v>37</v>
      </c>
      <c r="H460" s="3" t="s">
        <v>78</v>
      </c>
      <c r="I460" s="3" t="s">
        <v>3541</v>
      </c>
      <c r="J460" s="3" t="s">
        <v>223</v>
      </c>
      <c r="K460" s="3" t="s">
        <v>780</v>
      </c>
      <c r="L460" s="3" t="s">
        <v>3542</v>
      </c>
      <c r="M460" s="3" t="s">
        <v>3543</v>
      </c>
      <c r="N460" s="3" t="s">
        <v>53</v>
      </c>
      <c r="O460" s="3" t="s">
        <v>301</v>
      </c>
      <c r="P460" s="3" t="s">
        <v>3544</v>
      </c>
      <c r="Q460" s="3" t="s">
        <v>3545</v>
      </c>
      <c r="R460" s="3" t="s">
        <v>36</v>
      </c>
      <c r="S460" s="3" t="s">
        <v>274</v>
      </c>
      <c r="T460" s="3" t="s">
        <v>82</v>
      </c>
      <c r="U460" s="3" t="s">
        <v>73</v>
      </c>
      <c r="V460" s="3" t="s">
        <v>3546</v>
      </c>
      <c r="W460" s="3" t="s">
        <v>223</v>
      </c>
      <c r="X460" s="3" t="s">
        <v>41</v>
      </c>
      <c r="Y460" s="3" t="s">
        <v>1739</v>
      </c>
      <c r="Z460" s="3" t="s">
        <v>1740</v>
      </c>
      <c r="AA460" s="3" t="s">
        <v>63</v>
      </c>
      <c r="AB460" s="3" t="s">
        <v>1741</v>
      </c>
      <c r="AC460" s="3" t="s">
        <v>3547</v>
      </c>
      <c r="AD460" s="14">
        <v>45733</v>
      </c>
      <c r="AE460" s="14"/>
      <c r="AF460" s="3"/>
    </row>
    <row r="461" spans="1:32" ht="92.45" hidden="1">
      <c r="A461" s="3" t="s">
        <v>3548</v>
      </c>
      <c r="B461" s="3" t="s">
        <v>3549</v>
      </c>
      <c r="C461" s="3" t="s">
        <v>3550</v>
      </c>
      <c r="D461" s="3" t="s">
        <v>59</v>
      </c>
      <c r="E461" s="3" t="s">
        <v>36</v>
      </c>
      <c r="F461" s="3" t="s">
        <v>254</v>
      </c>
      <c r="G461" s="3" t="s">
        <v>37</v>
      </c>
      <c r="H461" s="3" t="s">
        <v>49</v>
      </c>
      <c r="I461" s="3" t="s">
        <v>3551</v>
      </c>
      <c r="J461" s="3" t="s">
        <v>223</v>
      </c>
      <c r="K461" s="3" t="s">
        <v>41</v>
      </c>
      <c r="L461" s="3" t="s">
        <v>3552</v>
      </c>
      <c r="M461" s="3" t="s">
        <v>1553</v>
      </c>
      <c r="N461" s="3" t="s">
        <v>79</v>
      </c>
      <c r="O461" s="3" t="s">
        <v>54</v>
      </c>
      <c r="P461" s="3" t="s">
        <v>3553</v>
      </c>
      <c r="Q461" s="3" t="s">
        <v>3554</v>
      </c>
      <c r="R461" s="3" t="s">
        <v>36</v>
      </c>
      <c r="S461" s="3" t="s">
        <v>254</v>
      </c>
      <c r="T461" s="3" t="s">
        <v>37</v>
      </c>
      <c r="U461" s="3" t="s">
        <v>38</v>
      </c>
      <c r="V461" s="3" t="s">
        <v>3555</v>
      </c>
      <c r="W461" s="3" t="s">
        <v>223</v>
      </c>
      <c r="X461" s="3" t="s">
        <v>41</v>
      </c>
      <c r="Y461" s="3" t="s">
        <v>3556</v>
      </c>
      <c r="Z461" s="3" t="s">
        <v>2124</v>
      </c>
      <c r="AA461" s="3" t="s">
        <v>285</v>
      </c>
      <c r="AB461" s="3" t="s">
        <v>270</v>
      </c>
      <c r="AC461" s="3" t="s">
        <v>3557</v>
      </c>
      <c r="AD461" s="14">
        <v>45615</v>
      </c>
      <c r="AE461" s="14"/>
      <c r="AF461" s="3"/>
    </row>
    <row r="462" spans="1:32" ht="330" hidden="1">
      <c r="A462" s="3" t="s">
        <v>3558</v>
      </c>
      <c r="B462" s="3" t="s">
        <v>3559</v>
      </c>
      <c r="C462" s="3" t="s">
        <v>3560</v>
      </c>
      <c r="D462" s="3" t="s">
        <v>59</v>
      </c>
      <c r="E462" s="3" t="s">
        <v>36</v>
      </c>
      <c r="F462" s="3" t="s">
        <v>221</v>
      </c>
      <c r="G462" s="3" t="s">
        <v>82</v>
      </c>
      <c r="H462" s="3" t="s">
        <v>38</v>
      </c>
      <c r="I462" s="3" t="s">
        <v>3561</v>
      </c>
      <c r="J462" s="3" t="s">
        <v>223</v>
      </c>
      <c r="K462" s="3" t="s">
        <v>780</v>
      </c>
      <c r="L462" s="3" t="s">
        <v>3562</v>
      </c>
      <c r="M462" s="3" t="s">
        <v>3563</v>
      </c>
      <c r="N462" s="3" t="s">
        <v>63</v>
      </c>
      <c r="O462" s="3" t="s">
        <v>45</v>
      </c>
      <c r="P462" s="3" t="s">
        <v>3564</v>
      </c>
      <c r="Q462" s="3" t="s">
        <v>3565</v>
      </c>
      <c r="R462" s="3" t="s">
        <v>36</v>
      </c>
      <c r="S462" s="3" t="s">
        <v>221</v>
      </c>
      <c r="T462" s="3" t="s">
        <v>82</v>
      </c>
      <c r="U462" s="3" t="s">
        <v>49</v>
      </c>
      <c r="V462" s="3" t="s">
        <v>3566</v>
      </c>
      <c r="W462" s="3" t="s">
        <v>223</v>
      </c>
      <c r="X462" s="3" t="s">
        <v>41</v>
      </c>
      <c r="Y462" s="3" t="s">
        <v>2365</v>
      </c>
      <c r="Z462" s="3" t="s">
        <v>692</v>
      </c>
      <c r="AA462" s="3" t="s">
        <v>281</v>
      </c>
      <c r="AB462" s="3" t="s">
        <v>658</v>
      </c>
      <c r="AC462" s="3" t="s">
        <v>3567</v>
      </c>
      <c r="AD462" s="14">
        <v>45741</v>
      </c>
      <c r="AE462" s="14"/>
      <c r="AF462" s="3"/>
    </row>
    <row r="463" spans="1:32" ht="409.6" hidden="1">
      <c r="A463" s="3" t="s">
        <v>3568</v>
      </c>
      <c r="B463" s="3" t="s">
        <v>3569</v>
      </c>
      <c r="C463" s="3" t="s">
        <v>3570</v>
      </c>
      <c r="D463" s="3" t="s">
        <v>59</v>
      </c>
      <c r="E463" s="3" t="s">
        <v>1821</v>
      </c>
      <c r="F463" s="3" t="s">
        <v>3571</v>
      </c>
      <c r="G463" s="3" t="s">
        <v>37</v>
      </c>
      <c r="H463" s="3" t="s">
        <v>38</v>
      </c>
      <c r="I463" s="3" t="s">
        <v>3572</v>
      </c>
      <c r="J463" s="3" t="s">
        <v>3573</v>
      </c>
      <c r="K463" s="3" t="s">
        <v>41</v>
      </c>
      <c r="L463" s="3" t="s">
        <v>3574</v>
      </c>
      <c r="M463" s="3" t="s">
        <v>3575</v>
      </c>
      <c r="N463" s="3" t="s">
        <v>44</v>
      </c>
      <c r="O463" s="3" t="s">
        <v>94</v>
      </c>
      <c r="P463" s="3" t="s">
        <v>3576</v>
      </c>
      <c r="Q463" s="3" t="s">
        <v>3577</v>
      </c>
      <c r="R463" s="3" t="s">
        <v>36</v>
      </c>
      <c r="S463" s="3" t="s">
        <v>221</v>
      </c>
      <c r="T463" s="3" t="s">
        <v>37</v>
      </c>
      <c r="U463" s="3" t="s">
        <v>49</v>
      </c>
      <c r="V463" s="3" t="s">
        <v>3578</v>
      </c>
      <c r="W463" s="3" t="s">
        <v>223</v>
      </c>
      <c r="X463" s="3" t="s">
        <v>41</v>
      </c>
      <c r="Y463" s="3" t="s">
        <v>3579</v>
      </c>
      <c r="Z463" s="3" t="s">
        <v>107</v>
      </c>
      <c r="AA463" s="3" t="s">
        <v>79</v>
      </c>
      <c r="AB463" s="3" t="s">
        <v>64</v>
      </c>
      <c r="AC463" s="3" t="s">
        <v>3580</v>
      </c>
      <c r="AD463" s="14">
        <v>45748</v>
      </c>
      <c r="AE463" s="14"/>
      <c r="AF463" s="3"/>
    </row>
    <row r="464" spans="1:32" ht="409.6" hidden="1">
      <c r="A464" s="3" t="s">
        <v>3523</v>
      </c>
      <c r="B464" s="3" t="s">
        <v>3524</v>
      </c>
      <c r="C464" s="3" t="s">
        <v>3581</v>
      </c>
      <c r="D464" s="3" t="s">
        <v>59</v>
      </c>
      <c r="E464" s="3" t="s">
        <v>36</v>
      </c>
      <c r="F464" s="3" t="s">
        <v>221</v>
      </c>
      <c r="G464" s="3" t="s">
        <v>37</v>
      </c>
      <c r="H464" s="3" t="s">
        <v>49</v>
      </c>
      <c r="I464" s="3" t="s">
        <v>3526</v>
      </c>
      <c r="J464" s="3" t="s">
        <v>223</v>
      </c>
      <c r="K464" s="3" t="s">
        <v>41</v>
      </c>
      <c r="L464" s="3" t="s">
        <v>3527</v>
      </c>
      <c r="M464" s="3" t="s">
        <v>796</v>
      </c>
      <c r="N464" s="3" t="s">
        <v>79</v>
      </c>
      <c r="O464" s="3" t="s">
        <v>699</v>
      </c>
      <c r="P464" s="3" t="s">
        <v>3582</v>
      </c>
      <c r="Q464" s="3" t="s">
        <v>3583</v>
      </c>
      <c r="R464" s="3" t="s">
        <v>467</v>
      </c>
      <c r="S464" s="3" t="s">
        <v>221</v>
      </c>
      <c r="T464" s="3" t="s">
        <v>37</v>
      </c>
      <c r="U464" s="3" t="s">
        <v>49</v>
      </c>
      <c r="V464" s="3" t="s">
        <v>3584</v>
      </c>
      <c r="W464" s="3" t="s">
        <v>223</v>
      </c>
      <c r="X464" s="3" t="s">
        <v>41</v>
      </c>
      <c r="Y464" s="3" t="s">
        <v>3585</v>
      </c>
      <c r="Z464" s="3" t="s">
        <v>3586</v>
      </c>
      <c r="AA464" s="3" t="s">
        <v>281</v>
      </c>
      <c r="AB464" s="3" t="s">
        <v>64</v>
      </c>
      <c r="AC464" s="3" t="s">
        <v>3587</v>
      </c>
      <c r="AD464" s="14">
        <v>45740</v>
      </c>
      <c r="AE464" s="14"/>
      <c r="AF464" s="3"/>
    </row>
    <row r="465" spans="1:32" ht="409.6" hidden="1">
      <c r="A465" s="3" t="s">
        <v>2839</v>
      </c>
      <c r="B465" s="3" t="s">
        <v>2840</v>
      </c>
      <c r="C465" s="3" t="s">
        <v>3588</v>
      </c>
      <c r="D465" s="3" t="s">
        <v>59</v>
      </c>
      <c r="E465" s="3" t="s">
        <v>36</v>
      </c>
      <c r="F465" s="3" t="s">
        <v>221</v>
      </c>
      <c r="G465" s="3" t="s">
        <v>82</v>
      </c>
      <c r="H465" s="3" t="s">
        <v>49</v>
      </c>
      <c r="I465" s="3" t="s">
        <v>1670</v>
      </c>
      <c r="J465" s="3" t="s">
        <v>223</v>
      </c>
      <c r="K465" s="3" t="s">
        <v>41</v>
      </c>
      <c r="L465" s="3" t="s">
        <v>1671</v>
      </c>
      <c r="M465" s="3" t="s">
        <v>796</v>
      </c>
      <c r="N465" s="3" t="s">
        <v>63</v>
      </c>
      <c r="O465" s="3" t="s">
        <v>699</v>
      </c>
      <c r="P465" s="3" t="s">
        <v>3582</v>
      </c>
      <c r="Q465" s="3" t="s">
        <v>3583</v>
      </c>
      <c r="R465" s="3" t="s">
        <v>467</v>
      </c>
      <c r="S465" s="3" t="s">
        <v>221</v>
      </c>
      <c r="T465" s="3" t="s">
        <v>37</v>
      </c>
      <c r="U465" s="3" t="s">
        <v>49</v>
      </c>
      <c r="V465" s="3" t="s">
        <v>3584</v>
      </c>
      <c r="W465" s="3" t="s">
        <v>223</v>
      </c>
      <c r="X465" s="3" t="s">
        <v>41</v>
      </c>
      <c r="Y465" s="3" t="s">
        <v>3585</v>
      </c>
      <c r="Z465" s="3" t="s">
        <v>3586</v>
      </c>
      <c r="AA465" s="3" t="s">
        <v>281</v>
      </c>
      <c r="AB465" s="3" t="s">
        <v>64</v>
      </c>
      <c r="AC465" s="3" t="s">
        <v>3589</v>
      </c>
      <c r="AD465" s="14">
        <v>45741</v>
      </c>
      <c r="AE465" s="14"/>
      <c r="AF465" s="3"/>
    </row>
    <row r="466" spans="1:32" ht="66" hidden="1">
      <c r="A466" s="3" t="s">
        <v>3590</v>
      </c>
      <c r="B466" s="3" t="s">
        <v>3591</v>
      </c>
      <c r="C466" s="3" t="s">
        <v>3592</v>
      </c>
      <c r="D466" s="3" t="s">
        <v>59</v>
      </c>
      <c r="E466" s="3" t="s">
        <v>36</v>
      </c>
      <c r="F466" s="3" t="s">
        <v>274</v>
      </c>
      <c r="G466" s="3" t="s">
        <v>82</v>
      </c>
      <c r="H466" s="3" t="s">
        <v>78</v>
      </c>
      <c r="I466" s="3" t="s">
        <v>3414</v>
      </c>
      <c r="J466" s="3" t="s">
        <v>223</v>
      </c>
      <c r="K466" s="3" t="s">
        <v>780</v>
      </c>
      <c r="L466" s="3" t="s">
        <v>3593</v>
      </c>
      <c r="M466" s="3" t="s">
        <v>3594</v>
      </c>
      <c r="N466" s="3" t="s">
        <v>79</v>
      </c>
      <c r="O466" s="3" t="s">
        <v>308</v>
      </c>
      <c r="P466" s="3" t="s">
        <v>3417</v>
      </c>
      <c r="Q466" s="3" t="s">
        <v>3418</v>
      </c>
      <c r="R466" s="3" t="s">
        <v>36</v>
      </c>
      <c r="S466" s="3" t="s">
        <v>221</v>
      </c>
      <c r="T466" s="3" t="s">
        <v>82</v>
      </c>
      <c r="U466" s="3" t="s">
        <v>49</v>
      </c>
      <c r="V466" s="3" t="s">
        <v>1775</v>
      </c>
      <c r="W466" s="3" t="s">
        <v>223</v>
      </c>
      <c r="X466" s="3" t="s">
        <v>41</v>
      </c>
      <c r="Y466" s="3" t="s">
        <v>504</v>
      </c>
      <c r="Z466" s="3" t="s">
        <v>1776</v>
      </c>
      <c r="AA466" s="3" t="s">
        <v>63</v>
      </c>
      <c r="AB466" s="3" t="s">
        <v>506</v>
      </c>
      <c r="AC466" s="3" t="s">
        <v>3595</v>
      </c>
      <c r="AD466" s="14">
        <v>45712</v>
      </c>
      <c r="AE466" s="14"/>
      <c r="AF466" s="3"/>
    </row>
    <row r="467" spans="1:32" ht="52.9" hidden="1">
      <c r="A467" s="3" t="s">
        <v>2839</v>
      </c>
      <c r="B467" s="3" t="s">
        <v>2840</v>
      </c>
      <c r="C467" s="3" t="s">
        <v>3596</v>
      </c>
      <c r="D467" s="3" t="s">
        <v>59</v>
      </c>
      <c r="E467" s="3" t="s">
        <v>36</v>
      </c>
      <c r="F467" s="3" t="s">
        <v>221</v>
      </c>
      <c r="G467" s="3" t="s">
        <v>82</v>
      </c>
      <c r="H467" s="3" t="s">
        <v>49</v>
      </c>
      <c r="I467" s="3" t="s">
        <v>1670</v>
      </c>
      <c r="J467" s="3" t="s">
        <v>223</v>
      </c>
      <c r="K467" s="3" t="s">
        <v>41</v>
      </c>
      <c r="L467" s="3" t="s">
        <v>1671</v>
      </c>
      <c r="M467" s="3" t="s">
        <v>796</v>
      </c>
      <c r="N467" s="3" t="s">
        <v>63</v>
      </c>
      <c r="O467" s="3" t="s">
        <v>699</v>
      </c>
      <c r="P467" s="3" t="s">
        <v>3597</v>
      </c>
      <c r="Q467" s="3" t="s">
        <v>3598</v>
      </c>
      <c r="R467" s="3" t="s">
        <v>36</v>
      </c>
      <c r="S467" s="3" t="s">
        <v>221</v>
      </c>
      <c r="T467" s="3" t="s">
        <v>82</v>
      </c>
      <c r="U467" s="3" t="s">
        <v>49</v>
      </c>
      <c r="V467" s="3" t="s">
        <v>3599</v>
      </c>
      <c r="W467" s="3" t="s">
        <v>223</v>
      </c>
      <c r="X467" s="3" t="s">
        <v>41</v>
      </c>
      <c r="Y467" s="3" t="s">
        <v>3600</v>
      </c>
      <c r="Z467" s="3" t="s">
        <v>3601</v>
      </c>
      <c r="AA467" s="3" t="s">
        <v>63</v>
      </c>
      <c r="AB467" s="3" t="s">
        <v>201</v>
      </c>
      <c r="AC467" s="3" t="s">
        <v>3602</v>
      </c>
      <c r="AD467" s="14">
        <v>45811</v>
      </c>
      <c r="AE467" s="14">
        <v>45976</v>
      </c>
      <c r="AF467" s="3"/>
    </row>
    <row r="468" spans="1:32" ht="409.6" hidden="1">
      <c r="A468" s="3" t="s">
        <v>1519</v>
      </c>
      <c r="B468" s="3" t="s">
        <v>1520</v>
      </c>
      <c r="C468" s="3" t="s">
        <v>3603</v>
      </c>
      <c r="D468" s="3" t="s">
        <v>35</v>
      </c>
      <c r="E468" s="3" t="s">
        <v>36</v>
      </c>
      <c r="F468" s="3" t="s">
        <v>247</v>
      </c>
      <c r="G468" s="3" t="s">
        <v>82</v>
      </c>
      <c r="H468" s="3" t="s">
        <v>78</v>
      </c>
      <c r="I468" s="3" t="s">
        <v>1522</v>
      </c>
      <c r="J468" s="3" t="s">
        <v>223</v>
      </c>
      <c r="K468" s="3" t="s">
        <v>41</v>
      </c>
      <c r="L468" s="3" t="s">
        <v>1523</v>
      </c>
      <c r="M468" s="3" t="s">
        <v>1524</v>
      </c>
      <c r="N468" s="3" t="s">
        <v>123</v>
      </c>
      <c r="O468" s="3" t="s">
        <v>270</v>
      </c>
      <c r="P468" s="3" t="s">
        <v>3604</v>
      </c>
      <c r="Q468" s="3" t="s">
        <v>3605</v>
      </c>
      <c r="R468" s="3" t="s">
        <v>36</v>
      </c>
      <c r="S468" s="3" t="s">
        <v>247</v>
      </c>
      <c r="T468" s="3" t="s">
        <v>37</v>
      </c>
      <c r="U468" s="3" t="s">
        <v>49</v>
      </c>
      <c r="V468" s="3" t="s">
        <v>1114</v>
      </c>
      <c r="W468" s="3" t="s">
        <v>223</v>
      </c>
      <c r="X468" s="3" t="s">
        <v>41</v>
      </c>
      <c r="Y468" s="3" t="s">
        <v>230</v>
      </c>
      <c r="Z468" s="3" t="s">
        <v>1115</v>
      </c>
      <c r="AA468" s="3" t="s">
        <v>53</v>
      </c>
      <c r="AB468" s="3" t="s">
        <v>270</v>
      </c>
      <c r="AC468" s="3" t="s">
        <v>3606</v>
      </c>
      <c r="AD468" s="14">
        <v>45748</v>
      </c>
      <c r="AE468" s="14">
        <v>45808</v>
      </c>
      <c r="AF468" s="3"/>
    </row>
    <row r="469" spans="1:32" ht="52.9" hidden="1">
      <c r="A469" s="3" t="s">
        <v>3607</v>
      </c>
      <c r="B469" s="3" t="s">
        <v>3608</v>
      </c>
      <c r="C469" s="3" t="s">
        <v>3609</v>
      </c>
      <c r="D469" s="3" t="s">
        <v>59</v>
      </c>
      <c r="E469" s="3" t="s">
        <v>36</v>
      </c>
      <c r="F469" s="3" t="s">
        <v>247</v>
      </c>
      <c r="G469" s="3" t="s">
        <v>82</v>
      </c>
      <c r="H469" s="3" t="s">
        <v>38</v>
      </c>
      <c r="I469" s="3" t="s">
        <v>1975</v>
      </c>
      <c r="J469" s="3" t="s">
        <v>223</v>
      </c>
      <c r="K469" s="3" t="s">
        <v>41</v>
      </c>
      <c r="L469" s="3" t="s">
        <v>1608</v>
      </c>
      <c r="M469" s="3" t="s">
        <v>3610</v>
      </c>
      <c r="N469" s="3" t="s">
        <v>53</v>
      </c>
      <c r="O469" s="3" t="s">
        <v>1741</v>
      </c>
      <c r="P469" s="3" t="s">
        <v>3611</v>
      </c>
      <c r="Q469" s="3" t="s">
        <v>3612</v>
      </c>
      <c r="R469" s="3" t="s">
        <v>36</v>
      </c>
      <c r="S469" s="3" t="s">
        <v>247</v>
      </c>
      <c r="T469" s="3" t="s">
        <v>82</v>
      </c>
      <c r="U469" s="3" t="s">
        <v>49</v>
      </c>
      <c r="V469" s="3" t="s">
        <v>3613</v>
      </c>
      <c r="W469" s="3" t="s">
        <v>223</v>
      </c>
      <c r="X469" s="3" t="s">
        <v>41</v>
      </c>
      <c r="Y469" s="3" t="s">
        <v>3614</v>
      </c>
      <c r="Z469" s="3" t="s">
        <v>3615</v>
      </c>
      <c r="AA469" s="3" t="s">
        <v>53</v>
      </c>
      <c r="AB469" s="3" t="s">
        <v>308</v>
      </c>
      <c r="AC469" s="3" t="s">
        <v>3616</v>
      </c>
      <c r="AD469" s="14">
        <v>45474</v>
      </c>
      <c r="AE469" s="14"/>
      <c r="AF469" s="3"/>
    </row>
    <row r="470" spans="1:32" ht="39.6" hidden="1">
      <c r="A470" s="3" t="s">
        <v>3500</v>
      </c>
      <c r="B470" s="3" t="s">
        <v>3501</v>
      </c>
      <c r="C470" s="3" t="s">
        <v>3617</v>
      </c>
      <c r="D470" s="3" t="s">
        <v>35</v>
      </c>
      <c r="E470" s="3" t="s">
        <v>36</v>
      </c>
      <c r="F470" s="3" t="s">
        <v>274</v>
      </c>
      <c r="G470" s="3" t="s">
        <v>37</v>
      </c>
      <c r="H470" s="3" t="s">
        <v>78</v>
      </c>
      <c r="I470" s="3" t="s">
        <v>3503</v>
      </c>
      <c r="J470" s="3" t="s">
        <v>223</v>
      </c>
      <c r="K470" s="3" t="s">
        <v>1373</v>
      </c>
      <c r="L470" s="3" t="s">
        <v>3504</v>
      </c>
      <c r="M470" s="3" t="s">
        <v>3505</v>
      </c>
      <c r="N470" s="3" t="s">
        <v>123</v>
      </c>
      <c r="O470" s="3" t="s">
        <v>270</v>
      </c>
      <c r="P470" s="3" t="s">
        <v>3618</v>
      </c>
      <c r="Q470" s="3" t="s">
        <v>3619</v>
      </c>
      <c r="R470" s="3" t="s">
        <v>36</v>
      </c>
      <c r="S470" s="3" t="s">
        <v>274</v>
      </c>
      <c r="T470" s="3" t="s">
        <v>82</v>
      </c>
      <c r="U470" s="3" t="s">
        <v>78</v>
      </c>
      <c r="V470" s="3" t="s">
        <v>3620</v>
      </c>
      <c r="W470" s="3" t="s">
        <v>223</v>
      </c>
      <c r="X470" s="3" t="s">
        <v>41</v>
      </c>
      <c r="Y470" s="3" t="s">
        <v>3621</v>
      </c>
      <c r="Z470" s="3" t="s">
        <v>1622</v>
      </c>
      <c r="AA470" s="3" t="s">
        <v>79</v>
      </c>
      <c r="AB470" s="3" t="s">
        <v>251</v>
      </c>
      <c r="AC470" s="3" t="s">
        <v>3622</v>
      </c>
      <c r="AD470" s="14">
        <v>45748</v>
      </c>
      <c r="AE470" s="14">
        <v>45930</v>
      </c>
      <c r="AF470" s="3"/>
    </row>
    <row r="471" spans="1:32" ht="39.6" hidden="1">
      <c r="A471" s="3" t="s">
        <v>2366</v>
      </c>
      <c r="B471" s="3" t="s">
        <v>2367</v>
      </c>
      <c r="C471" s="3" t="s">
        <v>3623</v>
      </c>
      <c r="D471" s="3" t="s">
        <v>348</v>
      </c>
      <c r="E471" s="3" t="s">
        <v>36</v>
      </c>
      <c r="F471" s="3" t="s">
        <v>221</v>
      </c>
      <c r="G471" s="3" t="s">
        <v>82</v>
      </c>
      <c r="H471" s="3" t="s">
        <v>73</v>
      </c>
      <c r="I471" s="3" t="s">
        <v>2368</v>
      </c>
      <c r="J471" s="3" t="s">
        <v>223</v>
      </c>
      <c r="K471" s="3" t="s">
        <v>41</v>
      </c>
      <c r="L471" s="3" t="s">
        <v>2369</v>
      </c>
      <c r="M471" s="3" t="s">
        <v>692</v>
      </c>
      <c r="N471" s="3" t="s">
        <v>63</v>
      </c>
      <c r="O471" s="3" t="s">
        <v>658</v>
      </c>
      <c r="P471" s="3" t="s">
        <v>3624</v>
      </c>
      <c r="Q471" s="3" t="s">
        <v>3625</v>
      </c>
      <c r="R471" s="3" t="s">
        <v>36</v>
      </c>
      <c r="S471" s="3" t="s">
        <v>221</v>
      </c>
      <c r="T471" s="3" t="s">
        <v>82</v>
      </c>
      <c r="U471" s="3" t="s">
        <v>73</v>
      </c>
      <c r="V471" s="3" t="s">
        <v>3626</v>
      </c>
      <c r="W471" s="3" t="s">
        <v>223</v>
      </c>
      <c r="X471" s="3" t="s">
        <v>41</v>
      </c>
      <c r="Y471" s="3" t="s">
        <v>691</v>
      </c>
      <c r="Z471" s="3" t="s">
        <v>3627</v>
      </c>
      <c r="AA471" s="3" t="s">
        <v>281</v>
      </c>
      <c r="AB471" s="3" t="s">
        <v>3628</v>
      </c>
      <c r="AC471" s="3" t="s">
        <v>3629</v>
      </c>
      <c r="AD471" s="14">
        <v>45717</v>
      </c>
      <c r="AE471" s="14"/>
      <c r="AF471" s="3"/>
    </row>
    <row r="472" spans="1:32" ht="39.6" hidden="1">
      <c r="A472" s="3" t="s">
        <v>417</v>
      </c>
      <c r="B472" s="3" t="s">
        <v>418</v>
      </c>
      <c r="C472" s="3"/>
      <c r="D472" s="3" t="s">
        <v>59</v>
      </c>
      <c r="E472" s="3" t="s">
        <v>36</v>
      </c>
      <c r="F472" s="3" t="s">
        <v>247</v>
      </c>
      <c r="G472" s="3" t="s">
        <v>82</v>
      </c>
      <c r="H472" s="3" t="s">
        <v>38</v>
      </c>
      <c r="I472" s="3" t="s">
        <v>419</v>
      </c>
      <c r="J472" s="3" t="s">
        <v>223</v>
      </c>
      <c r="K472" s="3" t="s">
        <v>41</v>
      </c>
      <c r="L472" s="3" t="s">
        <v>420</v>
      </c>
      <c r="M472" s="3" t="s">
        <v>421</v>
      </c>
      <c r="N472" s="3" t="s">
        <v>44</v>
      </c>
      <c r="O472" s="3" t="s">
        <v>270</v>
      </c>
      <c r="P472" s="3" t="s">
        <v>3630</v>
      </c>
      <c r="Q472" s="3" t="s">
        <v>3631</v>
      </c>
      <c r="R472" s="3" t="s">
        <v>36</v>
      </c>
      <c r="S472" s="3" t="s">
        <v>274</v>
      </c>
      <c r="T472" s="3" t="s">
        <v>82</v>
      </c>
      <c r="U472" s="3" t="s">
        <v>73</v>
      </c>
      <c r="V472" s="3" t="s">
        <v>3632</v>
      </c>
      <c r="W472" s="3" t="s">
        <v>223</v>
      </c>
      <c r="X472" s="3" t="s">
        <v>41</v>
      </c>
      <c r="Y472" s="3" t="s">
        <v>3633</v>
      </c>
      <c r="Z472" s="3" t="s">
        <v>692</v>
      </c>
      <c r="AA472" s="3" t="s">
        <v>281</v>
      </c>
      <c r="AB472" s="3" t="s">
        <v>658</v>
      </c>
      <c r="AC472" s="3" t="s">
        <v>3634</v>
      </c>
      <c r="AD472" s="14">
        <v>45748</v>
      </c>
      <c r="AE472" s="14"/>
      <c r="AF472" s="3"/>
    </row>
    <row r="473" spans="1:32" ht="250.9" hidden="1">
      <c r="A473" s="3" t="s">
        <v>2702</v>
      </c>
      <c r="B473" s="3" t="s">
        <v>2703</v>
      </c>
      <c r="C473" s="3" t="s">
        <v>3635</v>
      </c>
      <c r="D473" s="3" t="s">
        <v>35</v>
      </c>
      <c r="E473" s="3" t="s">
        <v>36</v>
      </c>
      <c r="F473" s="3" t="s">
        <v>221</v>
      </c>
      <c r="G473" s="3" t="s">
        <v>82</v>
      </c>
      <c r="H473" s="3" t="s">
        <v>49</v>
      </c>
      <c r="I473" s="3" t="s">
        <v>2705</v>
      </c>
      <c r="J473" s="3" t="s">
        <v>223</v>
      </c>
      <c r="K473" s="3" t="s">
        <v>41</v>
      </c>
      <c r="L473" s="3" t="s">
        <v>2706</v>
      </c>
      <c r="M473" s="3" t="s">
        <v>911</v>
      </c>
      <c r="N473" s="3" t="s">
        <v>63</v>
      </c>
      <c r="O473" s="3" t="s">
        <v>721</v>
      </c>
      <c r="P473" s="3" t="s">
        <v>2387</v>
      </c>
      <c r="Q473" s="3" t="s">
        <v>2388</v>
      </c>
      <c r="R473" s="3" t="s">
        <v>2389</v>
      </c>
      <c r="S473" s="3" t="s">
        <v>221</v>
      </c>
      <c r="T473" s="3" t="s">
        <v>37</v>
      </c>
      <c r="U473" s="3" t="s">
        <v>49</v>
      </c>
      <c r="V473" s="3" t="s">
        <v>2390</v>
      </c>
      <c r="W473" s="3" t="s">
        <v>223</v>
      </c>
      <c r="X473" s="3" t="s">
        <v>41</v>
      </c>
      <c r="Y473" s="3" t="s">
        <v>2391</v>
      </c>
      <c r="Z473" s="3" t="s">
        <v>1529</v>
      </c>
      <c r="AA473" s="3" t="s">
        <v>79</v>
      </c>
      <c r="AB473" s="3" t="s">
        <v>1530</v>
      </c>
      <c r="AC473" s="3" t="s">
        <v>3636</v>
      </c>
      <c r="AD473" s="14">
        <v>45748</v>
      </c>
      <c r="AE473" s="14">
        <v>45991</v>
      </c>
      <c r="AF473" s="3"/>
    </row>
    <row r="474" spans="1:32" ht="409.6" hidden="1">
      <c r="A474" s="3" t="s">
        <v>2739</v>
      </c>
      <c r="B474" s="3" t="s">
        <v>2740</v>
      </c>
      <c r="C474" s="3" t="s">
        <v>3637</v>
      </c>
      <c r="D474" s="3" t="s">
        <v>59</v>
      </c>
      <c r="E474" s="3" t="s">
        <v>36</v>
      </c>
      <c r="F474" s="3" t="s">
        <v>274</v>
      </c>
      <c r="G474" s="3" t="s">
        <v>82</v>
      </c>
      <c r="H474" s="3" t="s">
        <v>49</v>
      </c>
      <c r="I474" s="3" t="s">
        <v>2742</v>
      </c>
      <c r="J474" s="3" t="s">
        <v>223</v>
      </c>
      <c r="K474" s="3" t="s">
        <v>780</v>
      </c>
      <c r="L474" s="3" t="s">
        <v>2743</v>
      </c>
      <c r="M474" s="3" t="s">
        <v>2168</v>
      </c>
      <c r="N474" s="3" t="s">
        <v>53</v>
      </c>
      <c r="O474" s="3" t="s">
        <v>643</v>
      </c>
      <c r="P474" s="3" t="s">
        <v>3638</v>
      </c>
      <c r="Q474" s="3" t="s">
        <v>3639</v>
      </c>
      <c r="R474" s="3" t="s">
        <v>36</v>
      </c>
      <c r="S474" s="3" t="s">
        <v>254</v>
      </c>
      <c r="T474" s="3" t="s">
        <v>37</v>
      </c>
      <c r="U474" s="3" t="s">
        <v>73</v>
      </c>
      <c r="V474" s="3" t="s">
        <v>3640</v>
      </c>
      <c r="W474" s="3" t="s">
        <v>223</v>
      </c>
      <c r="X474" s="3" t="s">
        <v>780</v>
      </c>
      <c r="Y474" s="3" t="s">
        <v>2470</v>
      </c>
      <c r="Z474" s="3" t="s">
        <v>2471</v>
      </c>
      <c r="AA474" s="3" t="s">
        <v>69</v>
      </c>
      <c r="AB474" s="3" t="s">
        <v>270</v>
      </c>
      <c r="AC474" s="3" t="s">
        <v>3641</v>
      </c>
      <c r="AD474" s="14">
        <v>45692</v>
      </c>
      <c r="AE474" s="14">
        <v>45838</v>
      </c>
      <c r="AF474" s="3"/>
    </row>
    <row r="475" spans="1:32" ht="145.15" hidden="1">
      <c r="A475" s="3" t="s">
        <v>3538</v>
      </c>
      <c r="B475" s="3" t="s">
        <v>3539</v>
      </c>
      <c r="C475" s="3" t="s">
        <v>3642</v>
      </c>
      <c r="D475" s="3" t="s">
        <v>59</v>
      </c>
      <c r="E475" s="3" t="s">
        <v>36</v>
      </c>
      <c r="F475" s="3" t="s">
        <v>274</v>
      </c>
      <c r="G475" s="3" t="s">
        <v>37</v>
      </c>
      <c r="H475" s="3" t="s">
        <v>78</v>
      </c>
      <c r="I475" s="3" t="s">
        <v>3541</v>
      </c>
      <c r="J475" s="3" t="s">
        <v>223</v>
      </c>
      <c r="K475" s="3" t="s">
        <v>780</v>
      </c>
      <c r="L475" s="3" t="s">
        <v>3542</v>
      </c>
      <c r="M475" s="3" t="s">
        <v>3543</v>
      </c>
      <c r="N475" s="3" t="s">
        <v>53</v>
      </c>
      <c r="O475" s="3" t="s">
        <v>301</v>
      </c>
      <c r="P475" s="3" t="s">
        <v>3643</v>
      </c>
      <c r="Q475" s="3" t="s">
        <v>3644</v>
      </c>
      <c r="R475" s="3" t="s">
        <v>36</v>
      </c>
      <c r="S475" s="3" t="s">
        <v>254</v>
      </c>
      <c r="T475" s="3" t="s">
        <v>82</v>
      </c>
      <c r="U475" s="3" t="s">
        <v>73</v>
      </c>
      <c r="V475" s="3" t="s">
        <v>3645</v>
      </c>
      <c r="W475" s="3" t="s">
        <v>223</v>
      </c>
      <c r="X475" s="3" t="s">
        <v>356</v>
      </c>
      <c r="Y475" s="3" t="s">
        <v>3646</v>
      </c>
      <c r="Z475" s="3" t="s">
        <v>3647</v>
      </c>
      <c r="AA475" s="3" t="s">
        <v>281</v>
      </c>
      <c r="AB475" s="3" t="s">
        <v>658</v>
      </c>
      <c r="AC475" s="3" t="s">
        <v>3648</v>
      </c>
      <c r="AD475" s="14">
        <v>45740</v>
      </c>
      <c r="AE475" s="14">
        <v>46105</v>
      </c>
      <c r="AF475" s="3"/>
    </row>
    <row r="476" spans="1:32" ht="409.6" hidden="1">
      <c r="A476" s="3" t="s">
        <v>3649</v>
      </c>
      <c r="B476" s="3" t="s">
        <v>3650</v>
      </c>
      <c r="C476" s="3" t="s">
        <v>3651</v>
      </c>
      <c r="D476" s="3" t="s">
        <v>59</v>
      </c>
      <c r="E476" s="3" t="s">
        <v>36</v>
      </c>
      <c r="F476" s="3" t="s">
        <v>274</v>
      </c>
      <c r="G476" s="3" t="s">
        <v>82</v>
      </c>
      <c r="H476" s="3" t="s">
        <v>78</v>
      </c>
      <c r="I476" s="3" t="s">
        <v>3652</v>
      </c>
      <c r="J476" s="3" t="s">
        <v>223</v>
      </c>
      <c r="K476" s="3" t="s">
        <v>41</v>
      </c>
      <c r="L476" s="3" t="s">
        <v>3653</v>
      </c>
      <c r="M476" s="3" t="s">
        <v>1933</v>
      </c>
      <c r="N476" s="3" t="s">
        <v>123</v>
      </c>
      <c r="O476" s="3" t="s">
        <v>543</v>
      </c>
      <c r="P476" s="3" t="s">
        <v>3654</v>
      </c>
      <c r="Q476" s="3" t="s">
        <v>3655</v>
      </c>
      <c r="R476" s="3" t="s">
        <v>36</v>
      </c>
      <c r="S476" s="3" t="s">
        <v>254</v>
      </c>
      <c r="T476" s="3" t="s">
        <v>37</v>
      </c>
      <c r="U476" s="3" t="s">
        <v>49</v>
      </c>
      <c r="V476" s="3" t="s">
        <v>3656</v>
      </c>
      <c r="W476" s="3" t="s">
        <v>223</v>
      </c>
      <c r="X476" s="3" t="s">
        <v>41</v>
      </c>
      <c r="Y476" s="3" t="s">
        <v>3657</v>
      </c>
      <c r="Z476" s="3" t="s">
        <v>1409</v>
      </c>
      <c r="AA476" s="3" t="s">
        <v>79</v>
      </c>
      <c r="AB476" s="3" t="s">
        <v>571</v>
      </c>
      <c r="AC476" s="3" t="s">
        <v>3658</v>
      </c>
      <c r="AD476" s="14">
        <v>45782</v>
      </c>
      <c r="AE476" s="14"/>
      <c r="AF476" s="3"/>
    </row>
    <row r="477" spans="1:32" ht="79.150000000000006" hidden="1">
      <c r="A477" s="3" t="s">
        <v>3659</v>
      </c>
      <c r="B477" s="3" t="s">
        <v>3660</v>
      </c>
      <c r="C477" s="3" t="s">
        <v>3661</v>
      </c>
      <c r="D477" s="3" t="s">
        <v>59</v>
      </c>
      <c r="E477" s="3" t="s">
        <v>36</v>
      </c>
      <c r="F477" s="3" t="s">
        <v>247</v>
      </c>
      <c r="G477" s="3" t="s">
        <v>82</v>
      </c>
      <c r="H477" s="3" t="s">
        <v>49</v>
      </c>
      <c r="I477" s="3" t="s">
        <v>3442</v>
      </c>
      <c r="J477" s="3" t="s">
        <v>223</v>
      </c>
      <c r="K477" s="3" t="s">
        <v>41</v>
      </c>
      <c r="L477" s="3" t="s">
        <v>3662</v>
      </c>
      <c r="M477" s="3" t="s">
        <v>731</v>
      </c>
      <c r="N477" s="3" t="s">
        <v>53</v>
      </c>
      <c r="O477" s="3" t="s">
        <v>658</v>
      </c>
      <c r="P477" s="3" t="s">
        <v>1902</v>
      </c>
      <c r="Q477" s="3" t="s">
        <v>1903</v>
      </c>
      <c r="R477" s="3" t="s">
        <v>36</v>
      </c>
      <c r="S477" s="3" t="s">
        <v>221</v>
      </c>
      <c r="T477" s="3" t="s">
        <v>37</v>
      </c>
      <c r="U477" s="3" t="s">
        <v>73</v>
      </c>
      <c r="V477" s="3" t="s">
        <v>1904</v>
      </c>
      <c r="W477" s="3" t="s">
        <v>223</v>
      </c>
      <c r="X477" s="3" t="s">
        <v>41</v>
      </c>
      <c r="Y477" s="3" t="s">
        <v>1905</v>
      </c>
      <c r="Z477" s="3" t="s">
        <v>392</v>
      </c>
      <c r="AA477" s="3" t="s">
        <v>63</v>
      </c>
      <c r="AB477" s="3" t="s">
        <v>100</v>
      </c>
      <c r="AC477" s="3" t="s">
        <v>3663</v>
      </c>
      <c r="AD477" s="14">
        <v>45770</v>
      </c>
      <c r="AE477" s="14"/>
      <c r="AF477" s="3"/>
    </row>
    <row r="478" spans="1:32" ht="66" hidden="1">
      <c r="A478" s="3" t="s">
        <v>3664</v>
      </c>
      <c r="B478" s="3" t="s">
        <v>3665</v>
      </c>
      <c r="C478" s="3" t="s">
        <v>1482</v>
      </c>
      <c r="D478" s="3" t="s">
        <v>59</v>
      </c>
      <c r="E478" s="3" t="s">
        <v>36</v>
      </c>
      <c r="F478" s="3" t="s">
        <v>221</v>
      </c>
      <c r="G478" s="3" t="s">
        <v>37</v>
      </c>
      <c r="H478" s="3" t="s">
        <v>38</v>
      </c>
      <c r="I478" s="3" t="s">
        <v>3666</v>
      </c>
      <c r="J478" s="3" t="s">
        <v>223</v>
      </c>
      <c r="K478" s="3" t="s">
        <v>41</v>
      </c>
      <c r="L478" s="3" t="s">
        <v>3667</v>
      </c>
      <c r="M478" s="3" t="s">
        <v>294</v>
      </c>
      <c r="N478" s="3" t="s">
        <v>53</v>
      </c>
      <c r="O478" s="3" t="s">
        <v>295</v>
      </c>
      <c r="P478" s="3" t="s">
        <v>3668</v>
      </c>
      <c r="Q478" s="3" t="s">
        <v>3669</v>
      </c>
      <c r="R478" s="3" t="s">
        <v>36</v>
      </c>
      <c r="S478" s="3" t="s">
        <v>221</v>
      </c>
      <c r="T478" s="3" t="s">
        <v>82</v>
      </c>
      <c r="U478" s="3" t="s">
        <v>49</v>
      </c>
      <c r="V478" s="3" t="s">
        <v>586</v>
      </c>
      <c r="W478" s="3" t="s">
        <v>223</v>
      </c>
      <c r="X478" s="3" t="s">
        <v>41</v>
      </c>
      <c r="Y478" s="3" t="s">
        <v>587</v>
      </c>
      <c r="Z478" s="3" t="s">
        <v>588</v>
      </c>
      <c r="AA478" s="3" t="s">
        <v>53</v>
      </c>
      <c r="AB478" s="3" t="s">
        <v>100</v>
      </c>
      <c r="AC478" s="3" t="s">
        <v>3670</v>
      </c>
      <c r="AD478" s="14">
        <v>45688</v>
      </c>
      <c r="AE478" s="14">
        <v>46387</v>
      </c>
      <c r="AF478" s="3"/>
    </row>
    <row r="479" spans="1:32" ht="92.45" hidden="1">
      <c r="A479" s="3" t="s">
        <v>3671</v>
      </c>
      <c r="B479" s="3" t="s">
        <v>3672</v>
      </c>
      <c r="C479" s="3" t="s">
        <v>3673</v>
      </c>
      <c r="D479" s="3" t="s">
        <v>348</v>
      </c>
      <c r="E479" s="3" t="s">
        <v>36</v>
      </c>
      <c r="F479" s="3" t="s">
        <v>247</v>
      </c>
      <c r="G479" s="3" t="s">
        <v>37</v>
      </c>
      <c r="H479" s="3" t="s">
        <v>73</v>
      </c>
      <c r="I479" s="3" t="s">
        <v>3674</v>
      </c>
      <c r="J479" s="3" t="s">
        <v>223</v>
      </c>
      <c r="K479" s="3" t="s">
        <v>41</v>
      </c>
      <c r="L479" s="3" t="s">
        <v>3675</v>
      </c>
      <c r="M479" s="3" t="s">
        <v>225</v>
      </c>
      <c r="N479" s="3" t="s">
        <v>79</v>
      </c>
      <c r="O479" s="3" t="s">
        <v>226</v>
      </c>
      <c r="P479" s="3" t="s">
        <v>3676</v>
      </c>
      <c r="Q479" s="3" t="s">
        <v>3677</v>
      </c>
      <c r="R479" s="3" t="s">
        <v>36</v>
      </c>
      <c r="S479" s="3" t="s">
        <v>221</v>
      </c>
      <c r="T479" s="3" t="s">
        <v>82</v>
      </c>
      <c r="U479" s="3" t="s">
        <v>73</v>
      </c>
      <c r="V479" s="3" t="s">
        <v>3678</v>
      </c>
      <c r="W479" s="3" t="s">
        <v>223</v>
      </c>
      <c r="X479" s="3" t="s">
        <v>41</v>
      </c>
      <c r="Y479" s="3" t="s">
        <v>3679</v>
      </c>
      <c r="Z479" s="3" t="s">
        <v>225</v>
      </c>
      <c r="AA479" s="3" t="s">
        <v>281</v>
      </c>
      <c r="AB479" s="3" t="s">
        <v>226</v>
      </c>
      <c r="AC479" s="3" t="s">
        <v>3680</v>
      </c>
      <c r="AD479" s="14">
        <v>45566</v>
      </c>
      <c r="AE479" s="14">
        <v>45596</v>
      </c>
      <c r="AF479" s="3" t="s">
        <v>233</v>
      </c>
    </row>
    <row r="480" spans="1:32" ht="92.45" hidden="1">
      <c r="A480" s="3" t="s">
        <v>3681</v>
      </c>
      <c r="B480" s="3" t="s">
        <v>3682</v>
      </c>
      <c r="C480" s="3" t="s">
        <v>3683</v>
      </c>
      <c r="D480" s="3" t="s">
        <v>348</v>
      </c>
      <c r="E480" s="3" t="s">
        <v>36</v>
      </c>
      <c r="F480" s="3" t="s">
        <v>247</v>
      </c>
      <c r="G480" s="3" t="s">
        <v>82</v>
      </c>
      <c r="H480" s="3" t="s">
        <v>73</v>
      </c>
      <c r="I480" s="3" t="s">
        <v>3684</v>
      </c>
      <c r="J480" s="3" t="s">
        <v>223</v>
      </c>
      <c r="K480" s="3" t="s">
        <v>41</v>
      </c>
      <c r="L480" s="3" t="s">
        <v>3216</v>
      </c>
      <c r="M480" s="3" t="s">
        <v>225</v>
      </c>
      <c r="N480" s="3" t="s">
        <v>79</v>
      </c>
      <c r="O480" s="3" t="s">
        <v>226</v>
      </c>
      <c r="P480" s="3" t="s">
        <v>3671</v>
      </c>
      <c r="Q480" s="3" t="s">
        <v>3672</v>
      </c>
      <c r="R480" s="3" t="s">
        <v>36</v>
      </c>
      <c r="S480" s="3" t="s">
        <v>247</v>
      </c>
      <c r="T480" s="3" t="s">
        <v>37</v>
      </c>
      <c r="U480" s="3" t="s">
        <v>73</v>
      </c>
      <c r="V480" s="3" t="s">
        <v>3674</v>
      </c>
      <c r="W480" s="3" t="s">
        <v>223</v>
      </c>
      <c r="X480" s="3" t="s">
        <v>41</v>
      </c>
      <c r="Y480" s="3" t="s">
        <v>3675</v>
      </c>
      <c r="Z480" s="3" t="s">
        <v>225</v>
      </c>
      <c r="AA480" s="3" t="s">
        <v>79</v>
      </c>
      <c r="AB480" s="3" t="s">
        <v>226</v>
      </c>
      <c r="AC480" s="3" t="s">
        <v>3685</v>
      </c>
      <c r="AD480" s="14">
        <v>45292</v>
      </c>
      <c r="AE480" s="14">
        <v>45535</v>
      </c>
      <c r="AF480" s="3" t="s">
        <v>233</v>
      </c>
    </row>
    <row r="481" spans="1:32" ht="52.9" hidden="1">
      <c r="A481" s="3" t="s">
        <v>3686</v>
      </c>
      <c r="B481" s="3" t="s">
        <v>3687</v>
      </c>
      <c r="C481" s="3" t="s">
        <v>3688</v>
      </c>
      <c r="D481" s="3" t="s">
        <v>348</v>
      </c>
      <c r="E481" s="3"/>
      <c r="F481" s="3" t="s">
        <v>221</v>
      </c>
      <c r="G481" s="3" t="s">
        <v>82</v>
      </c>
      <c r="H481" s="3" t="s">
        <v>49</v>
      </c>
      <c r="I481" s="3"/>
      <c r="J481" s="3" t="s">
        <v>223</v>
      </c>
      <c r="K481" s="3"/>
      <c r="L481" s="3"/>
      <c r="M481" s="3"/>
      <c r="N481" s="3" t="s">
        <v>63</v>
      </c>
      <c r="O481" s="3"/>
      <c r="P481" s="3" t="s">
        <v>3689</v>
      </c>
      <c r="Q481" s="3" t="s">
        <v>3690</v>
      </c>
      <c r="R481" s="3" t="s">
        <v>36</v>
      </c>
      <c r="S481" s="3" t="s">
        <v>221</v>
      </c>
      <c r="T481" s="3" t="s">
        <v>82</v>
      </c>
      <c r="U481" s="3" t="s">
        <v>49</v>
      </c>
      <c r="V481" s="3" t="s">
        <v>3691</v>
      </c>
      <c r="W481" s="3" t="s">
        <v>223</v>
      </c>
      <c r="X481" s="3" t="s">
        <v>41</v>
      </c>
      <c r="Y481" s="3" t="s">
        <v>3692</v>
      </c>
      <c r="Z481" s="3" t="s">
        <v>1776</v>
      </c>
      <c r="AA481" s="3" t="s">
        <v>285</v>
      </c>
      <c r="AB481" s="3" t="s">
        <v>506</v>
      </c>
      <c r="AC481" s="3" t="s">
        <v>3693</v>
      </c>
      <c r="AD481" s="14">
        <v>45754</v>
      </c>
      <c r="AE481" s="14">
        <v>46119</v>
      </c>
      <c r="AF481" s="3"/>
    </row>
    <row r="482" spans="1:32" ht="409.6" hidden="1">
      <c r="A482" s="3" t="s">
        <v>3694</v>
      </c>
      <c r="B482" s="3" t="s">
        <v>3695</v>
      </c>
      <c r="C482" s="3" t="s">
        <v>3696</v>
      </c>
      <c r="D482" s="3" t="s">
        <v>59</v>
      </c>
      <c r="E482" s="3" t="s">
        <v>36</v>
      </c>
      <c r="F482" s="3" t="s">
        <v>221</v>
      </c>
      <c r="G482" s="3" t="s">
        <v>37</v>
      </c>
      <c r="H482" s="3" t="s">
        <v>78</v>
      </c>
      <c r="I482" s="3" t="s">
        <v>3697</v>
      </c>
      <c r="J482" s="3" t="s">
        <v>223</v>
      </c>
      <c r="K482" s="3" t="s">
        <v>41</v>
      </c>
      <c r="L482" s="3" t="s">
        <v>3698</v>
      </c>
      <c r="M482" s="3" t="s">
        <v>3699</v>
      </c>
      <c r="N482" s="3" t="s">
        <v>123</v>
      </c>
      <c r="O482" s="3" t="s">
        <v>344</v>
      </c>
      <c r="P482" s="3" t="s">
        <v>3700</v>
      </c>
      <c r="Q482" s="3" t="s">
        <v>3701</v>
      </c>
      <c r="R482" s="3" t="s">
        <v>36</v>
      </c>
      <c r="S482" s="3" t="s">
        <v>221</v>
      </c>
      <c r="T482" s="3" t="s">
        <v>82</v>
      </c>
      <c r="U482" s="3" t="s">
        <v>49</v>
      </c>
      <c r="V482" s="3" t="s">
        <v>3702</v>
      </c>
      <c r="W482" s="3" t="s">
        <v>223</v>
      </c>
      <c r="X482" s="3" t="s">
        <v>41</v>
      </c>
      <c r="Y482" s="3" t="s">
        <v>3703</v>
      </c>
      <c r="Z482" s="3" t="s">
        <v>3704</v>
      </c>
      <c r="AA482" s="3" t="s">
        <v>63</v>
      </c>
      <c r="AB482" s="3" t="s">
        <v>278</v>
      </c>
      <c r="AC482" s="3" t="s">
        <v>3705</v>
      </c>
      <c r="AD482" s="14">
        <v>45741</v>
      </c>
      <c r="AE482" s="14">
        <v>46106</v>
      </c>
      <c r="AF482" s="3"/>
    </row>
    <row r="483" spans="1:32" ht="39.6" hidden="1">
      <c r="A483" s="3" t="s">
        <v>3706</v>
      </c>
      <c r="B483" s="3" t="s">
        <v>3707</v>
      </c>
      <c r="C483" s="3" t="s">
        <v>59</v>
      </c>
      <c r="D483" s="3" t="s">
        <v>59</v>
      </c>
      <c r="E483" s="3" t="s">
        <v>36</v>
      </c>
      <c r="F483" s="3" t="s">
        <v>3571</v>
      </c>
      <c r="G483" s="3" t="s">
        <v>82</v>
      </c>
      <c r="H483" s="3" t="s">
        <v>38</v>
      </c>
      <c r="I483" s="3" t="s">
        <v>3572</v>
      </c>
      <c r="J483" s="3" t="s">
        <v>3573</v>
      </c>
      <c r="K483" s="3" t="s">
        <v>41</v>
      </c>
      <c r="L483" s="3" t="s">
        <v>3574</v>
      </c>
      <c r="M483" s="3" t="s">
        <v>1007</v>
      </c>
      <c r="N483" s="3" t="s">
        <v>281</v>
      </c>
      <c r="O483" s="3" t="s">
        <v>240</v>
      </c>
      <c r="P483" s="3" t="s">
        <v>3708</v>
      </c>
      <c r="Q483" s="3" t="s">
        <v>3709</v>
      </c>
      <c r="R483" s="3" t="s">
        <v>36</v>
      </c>
      <c r="S483" s="3" t="s">
        <v>221</v>
      </c>
      <c r="T483" s="3" t="s">
        <v>82</v>
      </c>
      <c r="U483" s="3" t="s">
        <v>49</v>
      </c>
      <c r="V483" s="3" t="s">
        <v>3710</v>
      </c>
      <c r="W483" s="3" t="s">
        <v>223</v>
      </c>
      <c r="X483" s="3" t="s">
        <v>41</v>
      </c>
      <c r="Y483" s="3" t="s">
        <v>3711</v>
      </c>
      <c r="Z483" s="3" t="s">
        <v>1661</v>
      </c>
      <c r="AA483" s="3" t="s">
        <v>63</v>
      </c>
      <c r="AB483" s="3" t="s">
        <v>1239</v>
      </c>
      <c r="AC483" s="3" t="s">
        <v>3712</v>
      </c>
      <c r="AD483" s="14">
        <v>45659</v>
      </c>
      <c r="AE483" s="14"/>
      <c r="AF483" s="3"/>
    </row>
    <row r="484" spans="1:32" ht="145.15" hidden="1">
      <c r="A484" s="3" t="s">
        <v>3713</v>
      </c>
      <c r="B484" s="3" t="s">
        <v>3714</v>
      </c>
      <c r="C484" s="3" t="s">
        <v>3715</v>
      </c>
      <c r="D484" s="3" t="s">
        <v>35</v>
      </c>
      <c r="E484" s="3" t="s">
        <v>36</v>
      </c>
      <c r="F484" s="3" t="s">
        <v>221</v>
      </c>
      <c r="G484" s="3" t="s">
        <v>82</v>
      </c>
      <c r="H484" s="3" t="s">
        <v>49</v>
      </c>
      <c r="I484" s="3" t="s">
        <v>2491</v>
      </c>
      <c r="J484" s="3" t="s">
        <v>223</v>
      </c>
      <c r="K484" s="3" t="s">
        <v>41</v>
      </c>
      <c r="L484" s="3" t="s">
        <v>619</v>
      </c>
      <c r="M484" s="3" t="s">
        <v>3716</v>
      </c>
      <c r="N484" s="3" t="s">
        <v>79</v>
      </c>
      <c r="O484" s="3" t="s">
        <v>557</v>
      </c>
      <c r="P484" s="3" t="s">
        <v>3717</v>
      </c>
      <c r="Q484" s="3" t="s">
        <v>3718</v>
      </c>
      <c r="R484" s="3" t="s">
        <v>36</v>
      </c>
      <c r="S484" s="3" t="s">
        <v>221</v>
      </c>
      <c r="T484" s="3" t="s">
        <v>82</v>
      </c>
      <c r="U484" s="3" t="s">
        <v>38</v>
      </c>
      <c r="V484" s="3" t="s">
        <v>3719</v>
      </c>
      <c r="W484" s="3" t="s">
        <v>223</v>
      </c>
      <c r="X484" s="3" t="s">
        <v>41</v>
      </c>
      <c r="Y484" s="3" t="s">
        <v>3720</v>
      </c>
      <c r="Z484" s="3" t="s">
        <v>3716</v>
      </c>
      <c r="AA484" s="3" t="s">
        <v>44</v>
      </c>
      <c r="AB484" s="3" t="s">
        <v>557</v>
      </c>
      <c r="AC484" s="3" t="s">
        <v>3721</v>
      </c>
      <c r="AD484" s="14">
        <v>45597</v>
      </c>
      <c r="AE484" s="14">
        <v>46053</v>
      </c>
      <c r="AF484" s="3"/>
    </row>
    <row r="485" spans="1:32" ht="92.45" hidden="1">
      <c r="A485" s="3" t="s">
        <v>3671</v>
      </c>
      <c r="B485" s="3" t="s">
        <v>3672</v>
      </c>
      <c r="C485" s="3" t="s">
        <v>3722</v>
      </c>
      <c r="D485" s="3" t="s">
        <v>348</v>
      </c>
      <c r="E485" s="3" t="s">
        <v>36</v>
      </c>
      <c r="F485" s="3" t="s">
        <v>247</v>
      </c>
      <c r="G485" s="3" t="s">
        <v>37</v>
      </c>
      <c r="H485" s="3" t="s">
        <v>73</v>
      </c>
      <c r="I485" s="3" t="s">
        <v>3674</v>
      </c>
      <c r="J485" s="3" t="s">
        <v>223</v>
      </c>
      <c r="K485" s="3" t="s">
        <v>41</v>
      </c>
      <c r="L485" s="3" t="s">
        <v>3675</v>
      </c>
      <c r="M485" s="3" t="s">
        <v>225</v>
      </c>
      <c r="N485" s="3" t="s">
        <v>79</v>
      </c>
      <c r="O485" s="3" t="s">
        <v>226</v>
      </c>
      <c r="P485" s="3" t="s">
        <v>3723</v>
      </c>
      <c r="Q485" s="3" t="s">
        <v>3724</v>
      </c>
      <c r="R485" s="3" t="s">
        <v>36</v>
      </c>
      <c r="S485" s="3" t="s">
        <v>247</v>
      </c>
      <c r="T485" s="3" t="s">
        <v>37</v>
      </c>
      <c r="U485" s="3" t="s">
        <v>73</v>
      </c>
      <c r="V485" s="3" t="s">
        <v>3725</v>
      </c>
      <c r="W485" s="3" t="s">
        <v>223</v>
      </c>
      <c r="X485" s="3" t="s">
        <v>41</v>
      </c>
      <c r="Y485" s="3" t="s">
        <v>3726</v>
      </c>
      <c r="Z485" s="3" t="s">
        <v>225</v>
      </c>
      <c r="AA485" s="3" t="s">
        <v>63</v>
      </c>
      <c r="AB485" s="3" t="s">
        <v>226</v>
      </c>
      <c r="AC485" s="3" t="s">
        <v>3727</v>
      </c>
      <c r="AD485" s="14">
        <v>45019</v>
      </c>
      <c r="AE485" s="14">
        <v>45268</v>
      </c>
      <c r="AF485" s="3" t="s">
        <v>233</v>
      </c>
    </row>
    <row r="486" spans="1:32" ht="52.9" hidden="1">
      <c r="A486" s="3" t="s">
        <v>3728</v>
      </c>
      <c r="B486" s="3" t="s">
        <v>3729</v>
      </c>
      <c r="C486" s="3" t="s">
        <v>3730</v>
      </c>
      <c r="D486" s="3" t="s">
        <v>35</v>
      </c>
      <c r="E486" s="3"/>
      <c r="F486" s="3" t="s">
        <v>274</v>
      </c>
      <c r="G486" s="3" t="s">
        <v>82</v>
      </c>
      <c r="H486" s="3" t="s">
        <v>475</v>
      </c>
      <c r="I486" s="3" t="s">
        <v>1005</v>
      </c>
      <c r="J486" s="3" t="s">
        <v>223</v>
      </c>
      <c r="K486" s="3" t="s">
        <v>41</v>
      </c>
      <c r="L486" s="3" t="s">
        <v>3731</v>
      </c>
      <c r="M486" s="3" t="s">
        <v>996</v>
      </c>
      <c r="N486" s="3" t="s">
        <v>69</v>
      </c>
      <c r="O486" s="3" t="s">
        <v>308</v>
      </c>
      <c r="P486" s="3" t="s">
        <v>3732</v>
      </c>
      <c r="Q486" s="3" t="s">
        <v>3733</v>
      </c>
      <c r="R486" s="3" t="s">
        <v>36</v>
      </c>
      <c r="S486" s="3" t="s">
        <v>274</v>
      </c>
      <c r="T486" s="3" t="s">
        <v>82</v>
      </c>
      <c r="U486" s="3" t="s">
        <v>49</v>
      </c>
      <c r="V486" s="3" t="s">
        <v>237</v>
      </c>
      <c r="W486" s="3" t="s">
        <v>223</v>
      </c>
      <c r="X486" s="3" t="s">
        <v>41</v>
      </c>
      <c r="Y486" s="3" t="s">
        <v>3734</v>
      </c>
      <c r="Z486" s="3" t="s">
        <v>2820</v>
      </c>
      <c r="AA486" s="3" t="s">
        <v>44</v>
      </c>
      <c r="AB486" s="3" t="s">
        <v>1239</v>
      </c>
      <c r="AC486" s="3" t="s">
        <v>3735</v>
      </c>
      <c r="AD486" s="14">
        <v>45717</v>
      </c>
      <c r="AE486" s="14">
        <v>46081</v>
      </c>
      <c r="AF486" s="3"/>
    </row>
    <row r="487" spans="1:32" ht="409.6" hidden="1">
      <c r="A487" s="3" t="s">
        <v>3736</v>
      </c>
      <c r="B487" s="3" t="s">
        <v>3737</v>
      </c>
      <c r="C487" s="3" t="s">
        <v>3738</v>
      </c>
      <c r="D487" s="3" t="s">
        <v>59</v>
      </c>
      <c r="E487" s="3" t="s">
        <v>36</v>
      </c>
      <c r="F487" s="3" t="s">
        <v>221</v>
      </c>
      <c r="G487" s="3" t="s">
        <v>37</v>
      </c>
      <c r="H487" s="3" t="s">
        <v>49</v>
      </c>
      <c r="I487" s="3" t="s">
        <v>3739</v>
      </c>
      <c r="J487" s="3" t="s">
        <v>223</v>
      </c>
      <c r="K487" s="3" t="s">
        <v>41</v>
      </c>
      <c r="L487" s="3" t="s">
        <v>2628</v>
      </c>
      <c r="M487" s="3" t="s">
        <v>1524</v>
      </c>
      <c r="N487" s="3" t="s">
        <v>79</v>
      </c>
      <c r="O487" s="3" t="s">
        <v>270</v>
      </c>
      <c r="P487" s="3" t="s">
        <v>3740</v>
      </c>
      <c r="Q487" s="3" t="s">
        <v>3741</v>
      </c>
      <c r="R487" s="3" t="s">
        <v>36</v>
      </c>
      <c r="S487" s="3" t="s">
        <v>254</v>
      </c>
      <c r="T487" s="3" t="s">
        <v>37</v>
      </c>
      <c r="U487" s="3" t="s">
        <v>73</v>
      </c>
      <c r="V487" s="3" t="s">
        <v>3742</v>
      </c>
      <c r="W487" s="3" t="s">
        <v>223</v>
      </c>
      <c r="X487" s="3" t="s">
        <v>41</v>
      </c>
      <c r="Y487" s="3" t="s">
        <v>2648</v>
      </c>
      <c r="Z487" s="3" t="s">
        <v>2095</v>
      </c>
      <c r="AA487" s="3" t="s">
        <v>79</v>
      </c>
      <c r="AB487" s="3" t="s">
        <v>201</v>
      </c>
      <c r="AC487" s="3" t="s">
        <v>3743</v>
      </c>
      <c r="AD487" s="14">
        <v>45778</v>
      </c>
      <c r="AE487" s="14">
        <v>45931</v>
      </c>
      <c r="AF487" s="3"/>
    </row>
    <row r="488" spans="1:32" ht="409.6" hidden="1">
      <c r="A488" s="3" t="s">
        <v>2839</v>
      </c>
      <c r="B488" s="3" t="s">
        <v>2840</v>
      </c>
      <c r="C488" s="3" t="s">
        <v>3744</v>
      </c>
      <c r="D488" s="3" t="s">
        <v>59</v>
      </c>
      <c r="E488" s="3" t="s">
        <v>36</v>
      </c>
      <c r="F488" s="3" t="s">
        <v>221</v>
      </c>
      <c r="G488" s="3" t="s">
        <v>82</v>
      </c>
      <c r="H488" s="3" t="s">
        <v>49</v>
      </c>
      <c r="I488" s="3" t="s">
        <v>1670</v>
      </c>
      <c r="J488" s="3" t="s">
        <v>223</v>
      </c>
      <c r="K488" s="3" t="s">
        <v>41</v>
      </c>
      <c r="L488" s="3" t="s">
        <v>1671</v>
      </c>
      <c r="M488" s="3" t="s">
        <v>796</v>
      </c>
      <c r="N488" s="3" t="s">
        <v>63</v>
      </c>
      <c r="O488" s="3" t="s">
        <v>699</v>
      </c>
      <c r="P488" s="3" t="s">
        <v>3496</v>
      </c>
      <c r="Q488" s="3" t="s">
        <v>3497</v>
      </c>
      <c r="R488" s="3" t="s">
        <v>36</v>
      </c>
      <c r="S488" s="3" t="s">
        <v>221</v>
      </c>
      <c r="T488" s="3" t="s">
        <v>37</v>
      </c>
      <c r="U488" s="3" t="s">
        <v>38</v>
      </c>
      <c r="V488" s="3" t="s">
        <v>1964</v>
      </c>
      <c r="W488" s="3" t="s">
        <v>223</v>
      </c>
      <c r="X488" s="3" t="s">
        <v>41</v>
      </c>
      <c r="Y488" s="3" t="s">
        <v>1965</v>
      </c>
      <c r="Z488" s="3" t="s">
        <v>1966</v>
      </c>
      <c r="AA488" s="3" t="s">
        <v>79</v>
      </c>
      <c r="AB488" s="3" t="s">
        <v>54</v>
      </c>
      <c r="AC488" s="3" t="s">
        <v>3745</v>
      </c>
      <c r="AD488" s="14">
        <v>45734</v>
      </c>
      <c r="AE488" s="14">
        <v>45887</v>
      </c>
      <c r="AF488" s="3"/>
    </row>
    <row r="489" spans="1:32" ht="92.45" hidden="1">
      <c r="A489" s="3" t="s">
        <v>3671</v>
      </c>
      <c r="B489" s="3" t="s">
        <v>3672</v>
      </c>
      <c r="C489" s="3" t="s">
        <v>3746</v>
      </c>
      <c r="D489" s="3" t="s">
        <v>348</v>
      </c>
      <c r="E489" s="3" t="s">
        <v>36</v>
      </c>
      <c r="F489" s="3" t="s">
        <v>247</v>
      </c>
      <c r="G489" s="3" t="s">
        <v>37</v>
      </c>
      <c r="H489" s="3" t="s">
        <v>73</v>
      </c>
      <c r="I489" s="3" t="s">
        <v>3674</v>
      </c>
      <c r="J489" s="3" t="s">
        <v>223</v>
      </c>
      <c r="K489" s="3" t="s">
        <v>41</v>
      </c>
      <c r="L489" s="3" t="s">
        <v>3675</v>
      </c>
      <c r="M489" s="3" t="s">
        <v>225</v>
      </c>
      <c r="N489" s="3" t="s">
        <v>79</v>
      </c>
      <c r="O489" s="3" t="s">
        <v>226</v>
      </c>
      <c r="P489" s="3" t="s">
        <v>3681</v>
      </c>
      <c r="Q489" s="3" t="s">
        <v>3682</v>
      </c>
      <c r="R489" s="3" t="s">
        <v>36</v>
      </c>
      <c r="S489" s="3" t="s">
        <v>247</v>
      </c>
      <c r="T489" s="3" t="s">
        <v>82</v>
      </c>
      <c r="U489" s="3" t="s">
        <v>73</v>
      </c>
      <c r="V489" s="3" t="s">
        <v>3684</v>
      </c>
      <c r="W489" s="3" t="s">
        <v>223</v>
      </c>
      <c r="X489" s="3" t="s">
        <v>41</v>
      </c>
      <c r="Y489" s="3" t="s">
        <v>3216</v>
      </c>
      <c r="Z489" s="3" t="s">
        <v>225</v>
      </c>
      <c r="AA489" s="3" t="s">
        <v>79</v>
      </c>
      <c r="AB489" s="3" t="s">
        <v>226</v>
      </c>
      <c r="AC489" s="3" t="s">
        <v>3747</v>
      </c>
      <c r="AD489" s="14">
        <v>45292</v>
      </c>
      <c r="AE489" s="14">
        <v>45535</v>
      </c>
      <c r="AF489" s="3" t="s">
        <v>233</v>
      </c>
    </row>
    <row r="490" spans="1:32" ht="184.9" hidden="1">
      <c r="A490" s="3" t="s">
        <v>3748</v>
      </c>
      <c r="B490" s="3" t="s">
        <v>3749</v>
      </c>
      <c r="C490" s="3" t="s">
        <v>3750</v>
      </c>
      <c r="D490" s="3" t="s">
        <v>59</v>
      </c>
      <c r="E490" s="3" t="s">
        <v>36</v>
      </c>
      <c r="F490" s="3" t="s">
        <v>274</v>
      </c>
      <c r="G490" s="3" t="s">
        <v>82</v>
      </c>
      <c r="H490" s="3" t="s">
        <v>38</v>
      </c>
      <c r="I490" s="3" t="s">
        <v>3751</v>
      </c>
      <c r="J490" s="3" t="s">
        <v>223</v>
      </c>
      <c r="K490" s="3" t="s">
        <v>41</v>
      </c>
      <c r="L490" s="3" t="s">
        <v>3752</v>
      </c>
      <c r="M490" s="3" t="s">
        <v>3753</v>
      </c>
      <c r="N490" s="3" t="s">
        <v>79</v>
      </c>
      <c r="O490" s="3" t="s">
        <v>64</v>
      </c>
      <c r="P490" s="3" t="s">
        <v>3754</v>
      </c>
      <c r="Q490" s="3" t="s">
        <v>3755</v>
      </c>
      <c r="R490" s="3" t="s">
        <v>36</v>
      </c>
      <c r="S490" s="3" t="s">
        <v>221</v>
      </c>
      <c r="T490" s="3" t="s">
        <v>82</v>
      </c>
      <c r="U490" s="3" t="s">
        <v>38</v>
      </c>
      <c r="V490" s="3" t="s">
        <v>3756</v>
      </c>
      <c r="W490" s="3" t="s">
        <v>223</v>
      </c>
      <c r="X490" s="3" t="s">
        <v>41</v>
      </c>
      <c r="Y490" s="3" t="s">
        <v>3757</v>
      </c>
      <c r="Z490" s="3" t="s">
        <v>3758</v>
      </c>
      <c r="AA490" s="3" t="s">
        <v>63</v>
      </c>
      <c r="AB490" s="3" t="s">
        <v>45</v>
      </c>
      <c r="AC490" s="3" t="s">
        <v>3759</v>
      </c>
      <c r="AD490" s="14">
        <v>45689</v>
      </c>
      <c r="AE490" s="14"/>
      <c r="AF490" s="3"/>
    </row>
    <row r="491" spans="1:32" ht="264" hidden="1">
      <c r="A491" s="3" t="s">
        <v>3681</v>
      </c>
      <c r="B491" s="3" t="s">
        <v>3682</v>
      </c>
      <c r="C491" s="3" t="s">
        <v>3760</v>
      </c>
      <c r="D491" s="3" t="s">
        <v>348</v>
      </c>
      <c r="E491" s="3" t="s">
        <v>36</v>
      </c>
      <c r="F491" s="3" t="s">
        <v>247</v>
      </c>
      <c r="G491" s="3" t="s">
        <v>82</v>
      </c>
      <c r="H491" s="3" t="s">
        <v>73</v>
      </c>
      <c r="I491" s="3" t="s">
        <v>3684</v>
      </c>
      <c r="J491" s="3" t="s">
        <v>223</v>
      </c>
      <c r="K491" s="3" t="s">
        <v>41</v>
      </c>
      <c r="L491" s="3" t="s">
        <v>3216</v>
      </c>
      <c r="M491" s="3" t="s">
        <v>225</v>
      </c>
      <c r="N491" s="3" t="s">
        <v>79</v>
      </c>
      <c r="O491" s="3" t="s">
        <v>226</v>
      </c>
      <c r="P491" s="3" t="s">
        <v>3723</v>
      </c>
      <c r="Q491" s="3" t="s">
        <v>3724</v>
      </c>
      <c r="R491" s="3" t="s">
        <v>36</v>
      </c>
      <c r="S491" s="3" t="s">
        <v>247</v>
      </c>
      <c r="T491" s="3" t="s">
        <v>37</v>
      </c>
      <c r="U491" s="3" t="s">
        <v>73</v>
      </c>
      <c r="V491" s="3" t="s">
        <v>3725</v>
      </c>
      <c r="W491" s="3" t="s">
        <v>223</v>
      </c>
      <c r="X491" s="3" t="s">
        <v>41</v>
      </c>
      <c r="Y491" s="3" t="s">
        <v>3726</v>
      </c>
      <c r="Z491" s="3" t="s">
        <v>225</v>
      </c>
      <c r="AA491" s="3" t="s">
        <v>63</v>
      </c>
      <c r="AB491" s="3" t="s">
        <v>226</v>
      </c>
      <c r="AC491" s="3" t="s">
        <v>3761</v>
      </c>
      <c r="AD491" s="14">
        <v>44942</v>
      </c>
      <c r="AE491" s="14">
        <v>45506</v>
      </c>
      <c r="AF491" s="3"/>
    </row>
    <row r="492" spans="1:32" ht="224.45" hidden="1">
      <c r="A492" s="3" t="s">
        <v>3671</v>
      </c>
      <c r="B492" s="3" t="s">
        <v>3672</v>
      </c>
      <c r="C492" s="3" t="s">
        <v>3762</v>
      </c>
      <c r="D492" s="3" t="s">
        <v>348</v>
      </c>
      <c r="E492" s="3" t="s">
        <v>36</v>
      </c>
      <c r="F492" s="3" t="s">
        <v>247</v>
      </c>
      <c r="G492" s="3" t="s">
        <v>37</v>
      </c>
      <c r="H492" s="3" t="s">
        <v>73</v>
      </c>
      <c r="I492" s="3" t="s">
        <v>3674</v>
      </c>
      <c r="J492" s="3" t="s">
        <v>223</v>
      </c>
      <c r="K492" s="3" t="s">
        <v>41</v>
      </c>
      <c r="L492" s="3" t="s">
        <v>3675</v>
      </c>
      <c r="M492" s="3" t="s">
        <v>225</v>
      </c>
      <c r="N492" s="3" t="s">
        <v>79</v>
      </c>
      <c r="O492" s="3" t="s">
        <v>226</v>
      </c>
      <c r="P492" s="3" t="s">
        <v>3723</v>
      </c>
      <c r="Q492" s="3" t="s">
        <v>3724</v>
      </c>
      <c r="R492" s="3" t="s">
        <v>36</v>
      </c>
      <c r="S492" s="3" t="s">
        <v>247</v>
      </c>
      <c r="T492" s="3" t="s">
        <v>37</v>
      </c>
      <c r="U492" s="3" t="s">
        <v>73</v>
      </c>
      <c r="V492" s="3" t="s">
        <v>3725</v>
      </c>
      <c r="W492" s="3" t="s">
        <v>223</v>
      </c>
      <c r="X492" s="3" t="s">
        <v>41</v>
      </c>
      <c r="Y492" s="3" t="s">
        <v>3726</v>
      </c>
      <c r="Z492" s="3" t="s">
        <v>225</v>
      </c>
      <c r="AA492" s="3" t="s">
        <v>63</v>
      </c>
      <c r="AB492" s="3" t="s">
        <v>226</v>
      </c>
      <c r="AC492" s="3" t="s">
        <v>3727</v>
      </c>
      <c r="AD492" s="14">
        <v>45313</v>
      </c>
      <c r="AE492" s="14">
        <v>45625</v>
      </c>
      <c r="AF492" s="3" t="s">
        <v>233</v>
      </c>
    </row>
    <row r="493" spans="1:32" ht="52.9" hidden="1">
      <c r="A493" s="3" t="s">
        <v>524</v>
      </c>
      <c r="B493" s="3" t="s">
        <v>525</v>
      </c>
      <c r="C493" s="3"/>
      <c r="D493" s="3" t="s">
        <v>59</v>
      </c>
      <c r="E493" s="3" t="s">
        <v>36</v>
      </c>
      <c r="F493" s="3" t="s">
        <v>526</v>
      </c>
      <c r="G493" s="3" t="s">
        <v>37</v>
      </c>
      <c r="H493" s="3" t="s">
        <v>78</v>
      </c>
      <c r="I493" s="3" t="s">
        <v>527</v>
      </c>
      <c r="J493" s="3" t="s">
        <v>528</v>
      </c>
      <c r="K493" s="3" t="s">
        <v>41</v>
      </c>
      <c r="L493" s="3" t="s">
        <v>529</v>
      </c>
      <c r="M493" s="3" t="s">
        <v>530</v>
      </c>
      <c r="N493" s="3" t="s">
        <v>53</v>
      </c>
      <c r="O493" s="3" t="s">
        <v>278</v>
      </c>
      <c r="P493" s="3" t="s">
        <v>3763</v>
      </c>
      <c r="Q493" s="3" t="s">
        <v>3764</v>
      </c>
      <c r="R493" s="3" t="s">
        <v>36</v>
      </c>
      <c r="S493" s="3" t="s">
        <v>526</v>
      </c>
      <c r="T493" s="3" t="s">
        <v>37</v>
      </c>
      <c r="U493" s="3" t="s">
        <v>49</v>
      </c>
      <c r="V493" s="3" t="s">
        <v>3765</v>
      </c>
      <c r="W493" s="3" t="s">
        <v>528</v>
      </c>
      <c r="X493" s="3" t="s">
        <v>41</v>
      </c>
      <c r="Y493" s="3" t="s">
        <v>3766</v>
      </c>
      <c r="Z493" s="3" t="s">
        <v>52</v>
      </c>
      <c r="AA493" s="3" t="s">
        <v>79</v>
      </c>
      <c r="AB493" s="3" t="s">
        <v>54</v>
      </c>
      <c r="AC493" s="3" t="s">
        <v>3767</v>
      </c>
      <c r="AD493" s="14">
        <v>45730</v>
      </c>
      <c r="AE493" s="14">
        <v>45868</v>
      </c>
      <c r="AF493" s="3"/>
    </row>
    <row r="494" spans="1:32" ht="184.9" hidden="1">
      <c r="A494" s="3" t="s">
        <v>624</v>
      </c>
      <c r="B494" s="3" t="s">
        <v>625</v>
      </c>
      <c r="C494" s="3" t="s">
        <v>3768</v>
      </c>
      <c r="D494" s="3" t="s">
        <v>59</v>
      </c>
      <c r="E494" s="3" t="s">
        <v>36</v>
      </c>
      <c r="F494" s="3" t="s">
        <v>247</v>
      </c>
      <c r="G494" s="3" t="s">
        <v>82</v>
      </c>
      <c r="H494" s="3" t="s">
        <v>49</v>
      </c>
      <c r="I494" s="3" t="s">
        <v>626</v>
      </c>
      <c r="J494" s="3" t="s">
        <v>223</v>
      </c>
      <c r="K494" s="3" t="s">
        <v>356</v>
      </c>
      <c r="L494" s="3" t="s">
        <v>627</v>
      </c>
      <c r="M494" s="3" t="s">
        <v>628</v>
      </c>
      <c r="N494" s="3" t="s">
        <v>53</v>
      </c>
      <c r="O494" s="3" t="s">
        <v>278</v>
      </c>
      <c r="P494" s="3" t="s">
        <v>3769</v>
      </c>
      <c r="Q494" s="3" t="s">
        <v>3770</v>
      </c>
      <c r="R494" s="3" t="s">
        <v>36</v>
      </c>
      <c r="S494" s="3" t="s">
        <v>254</v>
      </c>
      <c r="T494" s="3" t="s">
        <v>37</v>
      </c>
      <c r="U494" s="3" t="s">
        <v>49</v>
      </c>
      <c r="V494" s="3" t="s">
        <v>3771</v>
      </c>
      <c r="W494" s="3" t="s">
        <v>223</v>
      </c>
      <c r="X494" s="3" t="s">
        <v>41</v>
      </c>
      <c r="Y494" s="3" t="s">
        <v>3772</v>
      </c>
      <c r="Z494" s="3" t="s">
        <v>1564</v>
      </c>
      <c r="AA494" s="3" t="s">
        <v>63</v>
      </c>
      <c r="AB494" s="3" t="s">
        <v>116</v>
      </c>
      <c r="AC494" s="3" t="s">
        <v>3773</v>
      </c>
      <c r="AD494" s="14">
        <v>45783</v>
      </c>
      <c r="AE494" s="14"/>
      <c r="AF494" s="3"/>
    </row>
    <row r="495" spans="1:32" ht="39.6" hidden="1">
      <c r="A495" s="3" t="s">
        <v>309</v>
      </c>
      <c r="B495" s="3" t="s">
        <v>310</v>
      </c>
      <c r="C495" s="3" t="s">
        <v>3774</v>
      </c>
      <c r="D495" s="3" t="s">
        <v>348</v>
      </c>
      <c r="E495" s="3" t="s">
        <v>36</v>
      </c>
      <c r="F495" s="3" t="s">
        <v>247</v>
      </c>
      <c r="G495" s="3" t="s">
        <v>37</v>
      </c>
      <c r="H495" s="3" t="s">
        <v>49</v>
      </c>
      <c r="I495" s="3" t="s">
        <v>311</v>
      </c>
      <c r="J495" s="3" t="s">
        <v>223</v>
      </c>
      <c r="K495" s="3" t="s">
        <v>41</v>
      </c>
      <c r="L495" s="3" t="s">
        <v>312</v>
      </c>
      <c r="M495" s="3" t="s">
        <v>313</v>
      </c>
      <c r="N495" s="3" t="s">
        <v>63</v>
      </c>
      <c r="O495" s="3" t="s">
        <v>308</v>
      </c>
      <c r="P495" s="3" t="s">
        <v>3775</v>
      </c>
      <c r="Q495" s="3" t="s">
        <v>3776</v>
      </c>
      <c r="R495" s="3" t="s">
        <v>36</v>
      </c>
      <c r="S495" s="3" t="s">
        <v>247</v>
      </c>
      <c r="T495" s="3" t="s">
        <v>82</v>
      </c>
      <c r="U495" s="3" t="s">
        <v>49</v>
      </c>
      <c r="V495" s="3" t="s">
        <v>3777</v>
      </c>
      <c r="W495" s="3" t="s">
        <v>223</v>
      </c>
      <c r="X495" s="3" t="s">
        <v>41</v>
      </c>
      <c r="Y495" s="3" t="s">
        <v>312</v>
      </c>
      <c r="Z495" s="3" t="s">
        <v>313</v>
      </c>
      <c r="AA495" s="3" t="s">
        <v>63</v>
      </c>
      <c r="AB495" s="3" t="s">
        <v>308</v>
      </c>
      <c r="AC495" s="3" t="s">
        <v>3778</v>
      </c>
      <c r="AD495" s="14">
        <v>45763</v>
      </c>
      <c r="AE495" s="14"/>
      <c r="AF495" s="3"/>
    </row>
    <row r="496" spans="1:32" ht="316.89999999999998" hidden="1">
      <c r="A496" s="3" t="s">
        <v>3779</v>
      </c>
      <c r="B496" s="3" t="s">
        <v>3780</v>
      </c>
      <c r="C496" s="3" t="s">
        <v>3781</v>
      </c>
      <c r="D496" s="3" t="s">
        <v>35</v>
      </c>
      <c r="E496" s="3" t="s">
        <v>36</v>
      </c>
      <c r="F496" s="3" t="s">
        <v>274</v>
      </c>
      <c r="G496" s="3" t="s">
        <v>37</v>
      </c>
      <c r="H496" s="3" t="s">
        <v>38</v>
      </c>
      <c r="I496" s="3" t="s">
        <v>3782</v>
      </c>
      <c r="J496" s="3" t="s">
        <v>223</v>
      </c>
      <c r="K496" s="3" t="s">
        <v>41</v>
      </c>
      <c r="L496" s="3" t="s">
        <v>2522</v>
      </c>
      <c r="M496" s="3" t="s">
        <v>3783</v>
      </c>
      <c r="N496" s="3" t="s">
        <v>53</v>
      </c>
      <c r="O496" s="3" t="s">
        <v>278</v>
      </c>
      <c r="P496" s="3" t="s">
        <v>2324</v>
      </c>
      <c r="Q496" s="3" t="s">
        <v>2325</v>
      </c>
      <c r="R496" s="3" t="s">
        <v>36</v>
      </c>
      <c r="S496" s="3" t="s">
        <v>221</v>
      </c>
      <c r="T496" s="3" t="s">
        <v>37</v>
      </c>
      <c r="U496" s="3" t="s">
        <v>49</v>
      </c>
      <c r="V496" s="3" t="s">
        <v>2326</v>
      </c>
      <c r="W496" s="3" t="s">
        <v>223</v>
      </c>
      <c r="X496" s="3" t="s">
        <v>41</v>
      </c>
      <c r="Y496" s="3" t="s">
        <v>2327</v>
      </c>
      <c r="Z496" s="3" t="s">
        <v>2328</v>
      </c>
      <c r="AA496" s="3" t="s">
        <v>63</v>
      </c>
      <c r="AB496" s="3" t="s">
        <v>226</v>
      </c>
      <c r="AC496" s="3" t="s">
        <v>3784</v>
      </c>
      <c r="AD496" s="14">
        <v>45870</v>
      </c>
      <c r="AE496" s="14">
        <v>45961</v>
      </c>
      <c r="AF496" s="3"/>
    </row>
    <row r="497" spans="1:32" ht="66" hidden="1">
      <c r="A497" s="3" t="s">
        <v>3671</v>
      </c>
      <c r="B497" s="3" t="s">
        <v>3672</v>
      </c>
      <c r="C497" s="3" t="s">
        <v>3785</v>
      </c>
      <c r="D497" s="3" t="s">
        <v>348</v>
      </c>
      <c r="E497" s="3" t="s">
        <v>36</v>
      </c>
      <c r="F497" s="3" t="s">
        <v>247</v>
      </c>
      <c r="G497" s="3" t="s">
        <v>37</v>
      </c>
      <c r="H497" s="3" t="s">
        <v>73</v>
      </c>
      <c r="I497" s="3" t="s">
        <v>3674</v>
      </c>
      <c r="J497" s="3" t="s">
        <v>223</v>
      </c>
      <c r="K497" s="3" t="s">
        <v>41</v>
      </c>
      <c r="L497" s="3" t="s">
        <v>3675</v>
      </c>
      <c r="M497" s="3" t="s">
        <v>225</v>
      </c>
      <c r="N497" s="3" t="s">
        <v>79</v>
      </c>
      <c r="O497" s="3" t="s">
        <v>226</v>
      </c>
      <c r="P497" s="3" t="s">
        <v>3786</v>
      </c>
      <c r="Q497" s="3" t="s">
        <v>3787</v>
      </c>
      <c r="R497" s="3" t="s">
        <v>36</v>
      </c>
      <c r="S497" s="3" t="s">
        <v>221</v>
      </c>
      <c r="T497" s="3" t="s">
        <v>37</v>
      </c>
      <c r="U497" s="3" t="s">
        <v>73</v>
      </c>
      <c r="V497" s="3" t="s">
        <v>3725</v>
      </c>
      <c r="W497" s="3" t="s">
        <v>223</v>
      </c>
      <c r="X497" s="3" t="s">
        <v>41</v>
      </c>
      <c r="Y497" s="3" t="s">
        <v>3726</v>
      </c>
      <c r="Z497" s="3" t="s">
        <v>225</v>
      </c>
      <c r="AA497" s="3" t="s">
        <v>63</v>
      </c>
      <c r="AB497" s="3" t="s">
        <v>226</v>
      </c>
      <c r="AC497" s="3" t="s">
        <v>3788</v>
      </c>
      <c r="AD497" s="14">
        <v>45496</v>
      </c>
      <c r="AE497" s="14">
        <v>45555</v>
      </c>
      <c r="AF497" s="3"/>
    </row>
    <row r="498" spans="1:32" ht="39.6" hidden="1">
      <c r="A498" s="3" t="s">
        <v>3411</v>
      </c>
      <c r="B498" s="3" t="s">
        <v>3412</v>
      </c>
      <c r="C498" s="3" t="s">
        <v>3789</v>
      </c>
      <c r="D498" s="3" t="s">
        <v>35</v>
      </c>
      <c r="E498" s="3" t="s">
        <v>36</v>
      </c>
      <c r="F498" s="3" t="s">
        <v>221</v>
      </c>
      <c r="G498" s="3" t="s">
        <v>82</v>
      </c>
      <c r="H498" s="3" t="s">
        <v>38</v>
      </c>
      <c r="I498" s="3" t="s">
        <v>3414</v>
      </c>
      <c r="J498" s="3" t="s">
        <v>223</v>
      </c>
      <c r="K498" s="3" t="s">
        <v>780</v>
      </c>
      <c r="L498" s="3" t="s">
        <v>3415</v>
      </c>
      <c r="M498" s="3" t="s">
        <v>3416</v>
      </c>
      <c r="N498" s="3" t="s">
        <v>63</v>
      </c>
      <c r="O498" s="3" t="s">
        <v>308</v>
      </c>
      <c r="P498" s="3" t="s">
        <v>3790</v>
      </c>
      <c r="Q498" s="3" t="s">
        <v>3791</v>
      </c>
      <c r="R498" s="3" t="s">
        <v>36</v>
      </c>
      <c r="S498" s="3" t="s">
        <v>221</v>
      </c>
      <c r="T498" s="3" t="s">
        <v>82</v>
      </c>
      <c r="U498" s="3" t="s">
        <v>49</v>
      </c>
      <c r="V498" s="3" t="s">
        <v>3792</v>
      </c>
      <c r="W498" s="3" t="s">
        <v>223</v>
      </c>
      <c r="X498" s="3" t="s">
        <v>780</v>
      </c>
      <c r="Y498" s="3" t="s">
        <v>3793</v>
      </c>
      <c r="Z498" s="3" t="s">
        <v>3389</v>
      </c>
      <c r="AA498" s="3" t="s">
        <v>63</v>
      </c>
      <c r="AB498" s="3" t="s">
        <v>1239</v>
      </c>
      <c r="AC498" s="3" t="s">
        <v>3794</v>
      </c>
      <c r="AD498" s="14">
        <v>45778</v>
      </c>
      <c r="AE498" s="14">
        <v>45991</v>
      </c>
      <c r="AF498" s="3"/>
    </row>
    <row r="499" spans="1:32" ht="66" hidden="1">
      <c r="A499" s="3" t="s">
        <v>3795</v>
      </c>
      <c r="B499" s="3" t="s">
        <v>3796</v>
      </c>
      <c r="C499" s="3"/>
      <c r="D499" s="3" t="s">
        <v>59</v>
      </c>
      <c r="E499" s="3" t="s">
        <v>36</v>
      </c>
      <c r="F499" s="3" t="s">
        <v>274</v>
      </c>
      <c r="G499" s="3" t="s">
        <v>37</v>
      </c>
      <c r="H499" s="3" t="s">
        <v>49</v>
      </c>
      <c r="I499" s="3" t="s">
        <v>3797</v>
      </c>
      <c r="J499" s="3" t="s">
        <v>223</v>
      </c>
      <c r="K499" s="3" t="s">
        <v>41</v>
      </c>
      <c r="L499" s="3" t="s">
        <v>3798</v>
      </c>
      <c r="M499" s="3" t="s">
        <v>43</v>
      </c>
      <c r="N499" s="3" t="s">
        <v>79</v>
      </c>
      <c r="O499" s="3" t="s">
        <v>45</v>
      </c>
      <c r="P499" s="3" t="s">
        <v>3799</v>
      </c>
      <c r="Q499" s="3" t="s">
        <v>3800</v>
      </c>
      <c r="R499" s="3" t="s">
        <v>36</v>
      </c>
      <c r="S499" s="3" t="s">
        <v>247</v>
      </c>
      <c r="T499" s="3" t="s">
        <v>37</v>
      </c>
      <c r="U499" s="3" t="s">
        <v>49</v>
      </c>
      <c r="V499" s="3" t="s">
        <v>3801</v>
      </c>
      <c r="W499" s="3" t="s">
        <v>223</v>
      </c>
      <c r="X499" s="3" t="s">
        <v>41</v>
      </c>
      <c r="Y499" s="3" t="s">
        <v>3802</v>
      </c>
      <c r="Z499" s="3" t="s">
        <v>3803</v>
      </c>
      <c r="AA499" s="3" t="s">
        <v>79</v>
      </c>
      <c r="AB499" s="3" t="s">
        <v>201</v>
      </c>
      <c r="AC499" s="3" t="s">
        <v>3804</v>
      </c>
      <c r="AD499" s="14">
        <v>45769</v>
      </c>
      <c r="AE499" s="14"/>
      <c r="AF499" s="3"/>
    </row>
    <row r="500" spans="1:32" ht="237.6" hidden="1">
      <c r="A500" s="3" t="s">
        <v>3805</v>
      </c>
      <c r="B500" s="3" t="s">
        <v>3806</v>
      </c>
      <c r="C500" s="3" t="s">
        <v>3807</v>
      </c>
      <c r="D500" s="3" t="s">
        <v>59</v>
      </c>
      <c r="E500" s="3" t="s">
        <v>36</v>
      </c>
      <c r="F500" s="3" t="s">
        <v>247</v>
      </c>
      <c r="G500" s="3" t="s">
        <v>82</v>
      </c>
      <c r="H500" s="3" t="s">
        <v>38</v>
      </c>
      <c r="I500" s="3" t="s">
        <v>3808</v>
      </c>
      <c r="J500" s="3" t="s">
        <v>223</v>
      </c>
      <c r="K500" s="3" t="s">
        <v>41</v>
      </c>
      <c r="L500" s="3" t="s">
        <v>3809</v>
      </c>
      <c r="M500" s="3" t="s">
        <v>3810</v>
      </c>
      <c r="N500" s="3" t="s">
        <v>44</v>
      </c>
      <c r="O500" s="3" t="s">
        <v>449</v>
      </c>
      <c r="P500" s="3" t="s">
        <v>3811</v>
      </c>
      <c r="Q500" s="3" t="s">
        <v>3812</v>
      </c>
      <c r="R500" s="3" t="s">
        <v>36</v>
      </c>
      <c r="S500" s="3" t="s">
        <v>247</v>
      </c>
      <c r="T500" s="3" t="s">
        <v>37</v>
      </c>
      <c r="U500" s="3" t="s">
        <v>73</v>
      </c>
      <c r="V500" s="3" t="s">
        <v>3813</v>
      </c>
      <c r="W500" s="3" t="s">
        <v>223</v>
      </c>
      <c r="X500" s="3" t="s">
        <v>41</v>
      </c>
      <c r="Y500" s="3" t="s">
        <v>3731</v>
      </c>
      <c r="Z500" s="3" t="s">
        <v>3814</v>
      </c>
      <c r="AA500" s="3" t="s">
        <v>79</v>
      </c>
      <c r="AB500" s="3" t="s">
        <v>1530</v>
      </c>
      <c r="AC500" s="3" t="s">
        <v>3815</v>
      </c>
      <c r="AD500" s="14">
        <v>45717</v>
      </c>
      <c r="AE500" s="14">
        <v>45747</v>
      </c>
      <c r="AF500" s="3"/>
    </row>
    <row r="501" spans="1:32" ht="409.6" hidden="1">
      <c r="A501" s="3" t="s">
        <v>2348</v>
      </c>
      <c r="B501" s="3" t="s">
        <v>2349</v>
      </c>
      <c r="C501" s="3" t="s">
        <v>3816</v>
      </c>
      <c r="D501" s="3" t="s">
        <v>59</v>
      </c>
      <c r="E501" s="3" t="s">
        <v>36</v>
      </c>
      <c r="F501" s="3" t="s">
        <v>221</v>
      </c>
      <c r="G501" s="3" t="s">
        <v>37</v>
      </c>
      <c r="H501" s="3" t="s">
        <v>38</v>
      </c>
      <c r="I501" s="3" t="s">
        <v>2351</v>
      </c>
      <c r="J501" s="3" t="s">
        <v>223</v>
      </c>
      <c r="K501" s="3" t="s">
        <v>780</v>
      </c>
      <c r="L501" s="3" t="s">
        <v>2352</v>
      </c>
      <c r="M501" s="3" t="s">
        <v>2353</v>
      </c>
      <c r="N501" s="3" t="s">
        <v>44</v>
      </c>
      <c r="O501" s="3" t="s">
        <v>2354</v>
      </c>
      <c r="P501" s="3" t="s">
        <v>3817</v>
      </c>
      <c r="Q501" s="3" t="s">
        <v>3818</v>
      </c>
      <c r="R501" s="3"/>
      <c r="S501" s="3" t="s">
        <v>221</v>
      </c>
      <c r="T501" s="3" t="s">
        <v>82</v>
      </c>
      <c r="U501" s="3" t="s">
        <v>73</v>
      </c>
      <c r="V501" s="3"/>
      <c r="W501" s="3" t="s">
        <v>223</v>
      </c>
      <c r="X501" s="3"/>
      <c r="Y501" s="3"/>
      <c r="Z501" s="3"/>
      <c r="AA501" s="3" t="s">
        <v>63</v>
      </c>
      <c r="AB501" s="3"/>
      <c r="AC501" s="3" t="s">
        <v>3819</v>
      </c>
      <c r="AD501" s="14">
        <v>45692</v>
      </c>
      <c r="AE501" s="14"/>
      <c r="AF501" s="3"/>
    </row>
    <row r="502" spans="1:32" ht="52.9" hidden="1">
      <c r="A502" s="3" t="s">
        <v>3728</v>
      </c>
      <c r="B502" s="3" t="s">
        <v>3729</v>
      </c>
      <c r="C502" s="3" t="s">
        <v>3820</v>
      </c>
      <c r="D502" s="3" t="s">
        <v>348</v>
      </c>
      <c r="E502" s="3"/>
      <c r="F502" s="3" t="s">
        <v>274</v>
      </c>
      <c r="G502" s="3" t="s">
        <v>82</v>
      </c>
      <c r="H502" s="3" t="s">
        <v>475</v>
      </c>
      <c r="I502" s="3" t="s">
        <v>1005</v>
      </c>
      <c r="J502" s="3" t="s">
        <v>223</v>
      </c>
      <c r="K502" s="3" t="s">
        <v>41</v>
      </c>
      <c r="L502" s="3" t="s">
        <v>3731</v>
      </c>
      <c r="M502" s="3" t="s">
        <v>996</v>
      </c>
      <c r="N502" s="3" t="s">
        <v>69</v>
      </c>
      <c r="O502" s="3" t="s">
        <v>308</v>
      </c>
      <c r="P502" s="3" t="s">
        <v>3821</v>
      </c>
      <c r="Q502" s="3" t="s">
        <v>3822</v>
      </c>
      <c r="R502" s="3" t="s">
        <v>36</v>
      </c>
      <c r="S502" s="3" t="s">
        <v>247</v>
      </c>
      <c r="T502" s="3" t="s">
        <v>82</v>
      </c>
      <c r="U502" s="3" t="s">
        <v>38</v>
      </c>
      <c r="V502" s="3" t="s">
        <v>237</v>
      </c>
      <c r="W502" s="3" t="s">
        <v>223</v>
      </c>
      <c r="X502" s="3" t="s">
        <v>41</v>
      </c>
      <c r="Y502" s="3" t="s">
        <v>3734</v>
      </c>
      <c r="Z502" s="3" t="s">
        <v>2820</v>
      </c>
      <c r="AA502" s="3" t="s">
        <v>123</v>
      </c>
      <c r="AB502" s="3" t="s">
        <v>1239</v>
      </c>
      <c r="AC502" s="3" t="s">
        <v>3823</v>
      </c>
      <c r="AD502" s="14">
        <v>45772</v>
      </c>
      <c r="AE502" s="14">
        <v>45995</v>
      </c>
      <c r="AF502" s="3"/>
    </row>
    <row r="503" spans="1:32" ht="409.6" hidden="1">
      <c r="A503" s="3" t="s">
        <v>3824</v>
      </c>
      <c r="B503" s="3" t="s">
        <v>3825</v>
      </c>
      <c r="C503" s="3" t="s">
        <v>3826</v>
      </c>
      <c r="D503" s="3" t="s">
        <v>59</v>
      </c>
      <c r="E503" s="3" t="s">
        <v>36</v>
      </c>
      <c r="F503" s="3" t="s">
        <v>247</v>
      </c>
      <c r="G503" s="3" t="s">
        <v>37</v>
      </c>
      <c r="H503" s="3" t="s">
        <v>38</v>
      </c>
      <c r="I503" s="3" t="s">
        <v>3827</v>
      </c>
      <c r="J503" s="3" t="s">
        <v>223</v>
      </c>
      <c r="K503" s="3" t="s">
        <v>41</v>
      </c>
      <c r="L503" s="3" t="s">
        <v>3828</v>
      </c>
      <c r="M503" s="3" t="s">
        <v>663</v>
      </c>
      <c r="N503" s="3" t="s">
        <v>44</v>
      </c>
      <c r="O503" s="3" t="s">
        <v>251</v>
      </c>
      <c r="P503" s="3" t="s">
        <v>3829</v>
      </c>
      <c r="Q503" s="3" t="s">
        <v>3830</v>
      </c>
      <c r="R503" s="3" t="s">
        <v>36</v>
      </c>
      <c r="S503" s="3" t="s">
        <v>247</v>
      </c>
      <c r="T503" s="3" t="s">
        <v>37</v>
      </c>
      <c r="U503" s="3" t="s">
        <v>38</v>
      </c>
      <c r="V503" s="3" t="s">
        <v>1644</v>
      </c>
      <c r="W503" s="3" t="s">
        <v>223</v>
      </c>
      <c r="X503" s="3" t="s">
        <v>41</v>
      </c>
      <c r="Y503" s="3" t="s">
        <v>1641</v>
      </c>
      <c r="Z503" s="3" t="s">
        <v>3831</v>
      </c>
      <c r="AA503" s="3" t="s">
        <v>79</v>
      </c>
      <c r="AB503" s="3" t="s">
        <v>226</v>
      </c>
      <c r="AC503" s="3" t="s">
        <v>3832</v>
      </c>
      <c r="AD503" s="14">
        <v>45812</v>
      </c>
      <c r="AE503" s="14">
        <v>46029</v>
      </c>
      <c r="AF503" s="3"/>
    </row>
    <row r="504" spans="1:32" ht="105.6" hidden="1">
      <c r="A504" s="3" t="s">
        <v>3228</v>
      </c>
      <c r="B504" s="3" t="s">
        <v>3229</v>
      </c>
      <c r="C504" s="3" t="s">
        <v>3833</v>
      </c>
      <c r="D504" s="3" t="s">
        <v>59</v>
      </c>
      <c r="E504" s="3" t="s">
        <v>36</v>
      </c>
      <c r="F504" s="3" t="s">
        <v>247</v>
      </c>
      <c r="G504" s="3" t="s">
        <v>37</v>
      </c>
      <c r="H504" s="3" t="s">
        <v>78</v>
      </c>
      <c r="I504" s="3" t="s">
        <v>3231</v>
      </c>
      <c r="J504" s="3" t="s">
        <v>223</v>
      </c>
      <c r="K504" s="3" t="s">
        <v>356</v>
      </c>
      <c r="L504" s="3" t="s">
        <v>3232</v>
      </c>
      <c r="M504" s="3" t="s">
        <v>1938</v>
      </c>
      <c r="N504" s="3" t="s">
        <v>79</v>
      </c>
      <c r="O504" s="3" t="s">
        <v>543</v>
      </c>
      <c r="P504" s="3" t="s">
        <v>3834</v>
      </c>
      <c r="Q504" s="3" t="s">
        <v>3835</v>
      </c>
      <c r="R504" s="3" t="s">
        <v>36</v>
      </c>
      <c r="S504" s="3" t="s">
        <v>221</v>
      </c>
      <c r="T504" s="3" t="s">
        <v>37</v>
      </c>
      <c r="U504" s="3" t="s">
        <v>38</v>
      </c>
      <c r="V504" s="3" t="s">
        <v>3836</v>
      </c>
      <c r="W504" s="3" t="s">
        <v>223</v>
      </c>
      <c r="X504" s="3" t="s">
        <v>41</v>
      </c>
      <c r="Y504" s="3" t="s">
        <v>3837</v>
      </c>
      <c r="Z504" s="3" t="s">
        <v>2437</v>
      </c>
      <c r="AA504" s="3" t="s">
        <v>44</v>
      </c>
      <c r="AB504" s="3" t="s">
        <v>100</v>
      </c>
      <c r="AC504" s="3" t="s">
        <v>3838</v>
      </c>
      <c r="AD504" s="14">
        <v>45763</v>
      </c>
      <c r="AE504" s="14">
        <v>46142</v>
      </c>
      <c r="AF504" s="3"/>
    </row>
    <row r="505" spans="1:32" ht="66" hidden="1">
      <c r="A505" s="3" t="s">
        <v>3728</v>
      </c>
      <c r="B505" s="3" t="s">
        <v>3729</v>
      </c>
      <c r="C505" s="3" t="s">
        <v>3839</v>
      </c>
      <c r="D505" s="3" t="s">
        <v>348</v>
      </c>
      <c r="E505" s="3"/>
      <c r="F505" s="3" t="s">
        <v>274</v>
      </c>
      <c r="G505" s="3" t="s">
        <v>82</v>
      </c>
      <c r="H505" s="3" t="s">
        <v>475</v>
      </c>
      <c r="I505" s="3" t="s">
        <v>1005</v>
      </c>
      <c r="J505" s="3" t="s">
        <v>223</v>
      </c>
      <c r="K505" s="3" t="s">
        <v>41</v>
      </c>
      <c r="L505" s="3" t="s">
        <v>3731</v>
      </c>
      <c r="M505" s="3" t="s">
        <v>996</v>
      </c>
      <c r="N505" s="3" t="s">
        <v>69</v>
      </c>
      <c r="O505" s="3" t="s">
        <v>308</v>
      </c>
      <c r="P505" s="3" t="s">
        <v>3840</v>
      </c>
      <c r="Q505" s="3" t="s">
        <v>3841</v>
      </c>
      <c r="R505" s="3" t="s">
        <v>36</v>
      </c>
      <c r="S505" s="3" t="s">
        <v>221</v>
      </c>
      <c r="T505" s="3" t="s">
        <v>82</v>
      </c>
      <c r="U505" s="3" t="s">
        <v>49</v>
      </c>
      <c r="V505" s="3" t="s">
        <v>237</v>
      </c>
      <c r="W505" s="3" t="s">
        <v>223</v>
      </c>
      <c r="X505" s="3" t="s">
        <v>41</v>
      </c>
      <c r="Y505" s="3" t="s">
        <v>3842</v>
      </c>
      <c r="Z505" s="3" t="s">
        <v>2820</v>
      </c>
      <c r="AA505" s="3" t="s">
        <v>53</v>
      </c>
      <c r="AB505" s="3" t="s">
        <v>1239</v>
      </c>
      <c r="AC505" s="3" t="s">
        <v>3843</v>
      </c>
      <c r="AD505" s="14">
        <v>45778</v>
      </c>
      <c r="AE505" s="14"/>
      <c r="AF505" s="3"/>
    </row>
    <row r="506" spans="1:32" ht="39.6" hidden="1">
      <c r="A506" s="3" t="s">
        <v>2642</v>
      </c>
      <c r="B506" s="3" t="s">
        <v>2643</v>
      </c>
      <c r="C506" s="3" t="s">
        <v>3844</v>
      </c>
      <c r="D506" s="3" t="s">
        <v>59</v>
      </c>
      <c r="E506" s="3" t="s">
        <v>36</v>
      </c>
      <c r="F506" s="3" t="s">
        <v>221</v>
      </c>
      <c r="G506" s="3" t="s">
        <v>37</v>
      </c>
      <c r="H506" s="3" t="s">
        <v>78</v>
      </c>
      <c r="I506" s="3" t="s">
        <v>2237</v>
      </c>
      <c r="J506" s="3" t="s">
        <v>223</v>
      </c>
      <c r="K506" s="3" t="s">
        <v>780</v>
      </c>
      <c r="L506" s="3" t="s">
        <v>2594</v>
      </c>
      <c r="M506" s="3" t="s">
        <v>2644</v>
      </c>
      <c r="N506" s="3" t="s">
        <v>79</v>
      </c>
      <c r="O506" s="3" t="s">
        <v>54</v>
      </c>
      <c r="P506" s="3" t="s">
        <v>3845</v>
      </c>
      <c r="Q506" s="3" t="s">
        <v>3846</v>
      </c>
      <c r="R506" s="3" t="s">
        <v>36</v>
      </c>
      <c r="S506" s="3" t="s">
        <v>221</v>
      </c>
      <c r="T506" s="3" t="s">
        <v>37</v>
      </c>
      <c r="U506" s="3" t="s">
        <v>38</v>
      </c>
      <c r="V506" s="3" t="s">
        <v>3847</v>
      </c>
      <c r="W506" s="3" t="s">
        <v>223</v>
      </c>
      <c r="X506" s="3" t="s">
        <v>780</v>
      </c>
      <c r="Y506" s="3" t="s">
        <v>3848</v>
      </c>
      <c r="Z506" s="3" t="s">
        <v>1836</v>
      </c>
      <c r="AA506" s="3" t="s">
        <v>44</v>
      </c>
      <c r="AB506" s="3" t="s">
        <v>1837</v>
      </c>
      <c r="AC506" s="3" t="s">
        <v>3849</v>
      </c>
      <c r="AD506" s="14">
        <v>45600</v>
      </c>
      <c r="AE506" s="14">
        <v>45965</v>
      </c>
      <c r="AF506" s="3"/>
    </row>
    <row r="507" spans="1:32" ht="79.150000000000006" hidden="1">
      <c r="A507" s="3" t="s">
        <v>3728</v>
      </c>
      <c r="B507" s="3" t="s">
        <v>3729</v>
      </c>
      <c r="C507" s="3" t="s">
        <v>3850</v>
      </c>
      <c r="D507" s="3" t="s">
        <v>35</v>
      </c>
      <c r="E507" s="3"/>
      <c r="F507" s="3" t="s">
        <v>274</v>
      </c>
      <c r="G507" s="3" t="s">
        <v>82</v>
      </c>
      <c r="H507" s="3" t="s">
        <v>475</v>
      </c>
      <c r="I507" s="3" t="s">
        <v>1005</v>
      </c>
      <c r="J507" s="3" t="s">
        <v>223</v>
      </c>
      <c r="K507" s="3" t="s">
        <v>41</v>
      </c>
      <c r="L507" s="3" t="s">
        <v>3731</v>
      </c>
      <c r="M507" s="3" t="s">
        <v>996</v>
      </c>
      <c r="N507" s="3" t="s">
        <v>69</v>
      </c>
      <c r="O507" s="3" t="s">
        <v>308</v>
      </c>
      <c r="P507" s="3" t="s">
        <v>3851</v>
      </c>
      <c r="Q507" s="3" t="s">
        <v>3852</v>
      </c>
      <c r="R507" s="3" t="s">
        <v>36</v>
      </c>
      <c r="S507" s="3" t="s">
        <v>247</v>
      </c>
      <c r="T507" s="3" t="s">
        <v>37</v>
      </c>
      <c r="U507" s="3" t="s">
        <v>38</v>
      </c>
      <c r="V507" s="3" t="s">
        <v>237</v>
      </c>
      <c r="W507" s="3" t="s">
        <v>223</v>
      </c>
      <c r="X507" s="3" t="s">
        <v>41</v>
      </c>
      <c r="Y507" s="3" t="s">
        <v>3734</v>
      </c>
      <c r="Z507" s="3" t="s">
        <v>3853</v>
      </c>
      <c r="AA507" s="3" t="s">
        <v>53</v>
      </c>
      <c r="AB507" s="3" t="s">
        <v>1741</v>
      </c>
      <c r="AC507" s="3" t="s">
        <v>3854</v>
      </c>
      <c r="AD507" s="14">
        <v>45751</v>
      </c>
      <c r="AE507" s="14">
        <v>46003</v>
      </c>
      <c r="AF507" s="3"/>
    </row>
    <row r="508" spans="1:32" ht="39.6" hidden="1">
      <c r="A508" s="3" t="s">
        <v>1958</v>
      </c>
      <c r="B508" s="3" t="s">
        <v>1959</v>
      </c>
      <c r="C508" s="3" t="s">
        <v>3855</v>
      </c>
      <c r="D508" s="3" t="s">
        <v>348</v>
      </c>
      <c r="E508" s="3" t="s">
        <v>36</v>
      </c>
      <c r="F508" s="3" t="s">
        <v>221</v>
      </c>
      <c r="G508" s="3" t="s">
        <v>82</v>
      </c>
      <c r="H508" s="3" t="s">
        <v>49</v>
      </c>
      <c r="I508" s="3" t="s">
        <v>1961</v>
      </c>
      <c r="J508" s="3" t="s">
        <v>223</v>
      </c>
      <c r="K508" s="3" t="s">
        <v>41</v>
      </c>
      <c r="L508" s="3" t="s">
        <v>958</v>
      </c>
      <c r="M508" s="3" t="s">
        <v>1085</v>
      </c>
      <c r="N508" s="3" t="s">
        <v>79</v>
      </c>
      <c r="O508" s="3" t="s">
        <v>658</v>
      </c>
      <c r="P508" s="3" t="s">
        <v>3856</v>
      </c>
      <c r="Q508" s="3" t="s">
        <v>3857</v>
      </c>
      <c r="R508" s="3" t="s">
        <v>36</v>
      </c>
      <c r="S508" s="3" t="s">
        <v>221</v>
      </c>
      <c r="T508" s="3" t="s">
        <v>37</v>
      </c>
      <c r="U508" s="3" t="s">
        <v>49</v>
      </c>
      <c r="V508" s="3" t="s">
        <v>3858</v>
      </c>
      <c r="W508" s="3" t="s">
        <v>223</v>
      </c>
      <c r="X508" s="3" t="s">
        <v>41</v>
      </c>
      <c r="Y508" s="3" t="s">
        <v>3859</v>
      </c>
      <c r="Z508" s="3" t="s">
        <v>692</v>
      </c>
      <c r="AA508" s="3" t="s">
        <v>63</v>
      </c>
      <c r="AB508" s="3" t="s">
        <v>658</v>
      </c>
      <c r="AC508" s="3" t="s">
        <v>3860</v>
      </c>
      <c r="AD508" s="14">
        <v>45796</v>
      </c>
      <c r="AE508" s="14"/>
      <c r="AF508" s="3"/>
    </row>
    <row r="509" spans="1:32" ht="250.9" hidden="1">
      <c r="A509" s="3" t="s">
        <v>1284</v>
      </c>
      <c r="B509" s="3" t="s">
        <v>1285</v>
      </c>
      <c r="C509" s="3" t="s">
        <v>3861</v>
      </c>
      <c r="D509" s="3" t="s">
        <v>59</v>
      </c>
      <c r="E509" s="3" t="s">
        <v>36</v>
      </c>
      <c r="F509" s="3" t="s">
        <v>221</v>
      </c>
      <c r="G509" s="3" t="s">
        <v>37</v>
      </c>
      <c r="H509" s="3" t="s">
        <v>38</v>
      </c>
      <c r="I509" s="3" t="s">
        <v>1287</v>
      </c>
      <c r="J509" s="3" t="s">
        <v>223</v>
      </c>
      <c r="K509" s="3" t="s">
        <v>41</v>
      </c>
      <c r="L509" s="3" t="s">
        <v>1288</v>
      </c>
      <c r="M509" s="3" t="s">
        <v>1289</v>
      </c>
      <c r="N509" s="3" t="s">
        <v>44</v>
      </c>
      <c r="O509" s="3" t="s">
        <v>240</v>
      </c>
      <c r="P509" s="3" t="s">
        <v>3862</v>
      </c>
      <c r="Q509" s="3" t="s">
        <v>3863</v>
      </c>
      <c r="R509" s="3" t="s">
        <v>36</v>
      </c>
      <c r="S509" s="3" t="s">
        <v>221</v>
      </c>
      <c r="T509" s="3" t="s">
        <v>37</v>
      </c>
      <c r="U509" s="3" t="s">
        <v>73</v>
      </c>
      <c r="V509" s="3" t="s">
        <v>3864</v>
      </c>
      <c r="W509" s="3" t="s">
        <v>223</v>
      </c>
      <c r="X509" s="3" t="s">
        <v>41</v>
      </c>
      <c r="Y509" s="3" t="s">
        <v>3865</v>
      </c>
      <c r="Z509" s="3" t="s">
        <v>3866</v>
      </c>
      <c r="AA509" s="3" t="s">
        <v>281</v>
      </c>
      <c r="AB509" s="3" t="s">
        <v>54</v>
      </c>
      <c r="AC509" s="3" t="s">
        <v>3867</v>
      </c>
      <c r="AD509" s="14">
        <v>45797</v>
      </c>
      <c r="AE509" s="14"/>
      <c r="AF509" s="3"/>
    </row>
    <row r="510" spans="1:32" ht="39.6" hidden="1">
      <c r="A510" s="3" t="s">
        <v>2781</v>
      </c>
      <c r="B510" s="3" t="s">
        <v>2782</v>
      </c>
      <c r="C510" s="3" t="s">
        <v>3868</v>
      </c>
      <c r="D510" s="3" t="s">
        <v>348</v>
      </c>
      <c r="E510" s="3" t="s">
        <v>36</v>
      </c>
      <c r="F510" s="3" t="s">
        <v>254</v>
      </c>
      <c r="G510" s="3" t="s">
        <v>82</v>
      </c>
      <c r="H510" s="3" t="s">
        <v>38</v>
      </c>
      <c r="I510" s="3" t="s">
        <v>2784</v>
      </c>
      <c r="J510" s="3" t="s">
        <v>223</v>
      </c>
      <c r="K510" s="3" t="s">
        <v>41</v>
      </c>
      <c r="L510" s="3" t="s">
        <v>2785</v>
      </c>
      <c r="M510" s="3" t="s">
        <v>43</v>
      </c>
      <c r="N510" s="3" t="s">
        <v>44</v>
      </c>
      <c r="O510" s="3" t="s">
        <v>45</v>
      </c>
      <c r="P510" s="3" t="s">
        <v>3869</v>
      </c>
      <c r="Q510" s="3" t="s">
        <v>3870</v>
      </c>
      <c r="R510" s="3" t="s">
        <v>36</v>
      </c>
      <c r="S510" s="3" t="s">
        <v>221</v>
      </c>
      <c r="T510" s="3" t="s">
        <v>82</v>
      </c>
      <c r="U510" s="3" t="s">
        <v>49</v>
      </c>
      <c r="V510" s="3" t="s">
        <v>3871</v>
      </c>
      <c r="W510" s="3" t="s">
        <v>223</v>
      </c>
      <c r="X510" s="3" t="s">
        <v>41</v>
      </c>
      <c r="Y510" s="3" t="s">
        <v>1563</v>
      </c>
      <c r="Z510" s="3" t="s">
        <v>1836</v>
      </c>
      <c r="AA510" s="3" t="s">
        <v>79</v>
      </c>
      <c r="AB510" s="3" t="s">
        <v>1837</v>
      </c>
      <c r="AC510" s="3" t="s">
        <v>3872</v>
      </c>
      <c r="AD510" s="14">
        <v>45748</v>
      </c>
      <c r="AE510" s="14">
        <v>46112</v>
      </c>
      <c r="AF510" s="3"/>
    </row>
    <row r="511" spans="1:32" ht="39.6" hidden="1">
      <c r="A511" s="3" t="s">
        <v>2399</v>
      </c>
      <c r="B511" s="3" t="s">
        <v>2400</v>
      </c>
      <c r="C511" s="3"/>
      <c r="D511" s="3" t="s">
        <v>35</v>
      </c>
      <c r="E511" s="3" t="s">
        <v>36</v>
      </c>
      <c r="F511" s="3" t="s">
        <v>274</v>
      </c>
      <c r="G511" s="3" t="s">
        <v>37</v>
      </c>
      <c r="H511" s="3" t="s">
        <v>49</v>
      </c>
      <c r="I511" s="3" t="s">
        <v>2402</v>
      </c>
      <c r="J511" s="3" t="s">
        <v>223</v>
      </c>
      <c r="K511" s="3" t="s">
        <v>41</v>
      </c>
      <c r="L511" s="3" t="s">
        <v>2403</v>
      </c>
      <c r="M511" s="3" t="s">
        <v>2404</v>
      </c>
      <c r="N511" s="3" t="s">
        <v>79</v>
      </c>
      <c r="O511" s="3" t="s">
        <v>811</v>
      </c>
      <c r="P511" s="3" t="s">
        <v>3873</v>
      </c>
      <c r="Q511" s="3" t="s">
        <v>3874</v>
      </c>
      <c r="R511" s="3" t="s">
        <v>36</v>
      </c>
      <c r="S511" s="3" t="s">
        <v>247</v>
      </c>
      <c r="T511" s="3" t="s">
        <v>82</v>
      </c>
      <c r="U511" s="3" t="s">
        <v>38</v>
      </c>
      <c r="V511" s="3" t="s">
        <v>1546</v>
      </c>
      <c r="W511" s="3" t="s">
        <v>223</v>
      </c>
      <c r="X511" s="3" t="s">
        <v>41</v>
      </c>
      <c r="Y511" s="3" t="s">
        <v>1547</v>
      </c>
      <c r="Z511" s="3" t="s">
        <v>3875</v>
      </c>
      <c r="AA511" s="3" t="s">
        <v>53</v>
      </c>
      <c r="AB511" s="3" t="s">
        <v>226</v>
      </c>
      <c r="AC511" s="3" t="s">
        <v>3876</v>
      </c>
      <c r="AD511" s="14">
        <v>45809</v>
      </c>
      <c r="AE511" s="14">
        <v>46053</v>
      </c>
      <c r="AF511" s="3"/>
    </row>
    <row r="512" spans="1:32" ht="409.6" hidden="1">
      <c r="A512" s="3" t="s">
        <v>3873</v>
      </c>
      <c r="B512" s="3" t="s">
        <v>3874</v>
      </c>
      <c r="C512" s="3" t="s">
        <v>3877</v>
      </c>
      <c r="D512" s="3" t="s">
        <v>59</v>
      </c>
      <c r="E512" s="3" t="s">
        <v>36</v>
      </c>
      <c r="F512" s="3" t="s">
        <v>247</v>
      </c>
      <c r="G512" s="3" t="s">
        <v>82</v>
      </c>
      <c r="H512" s="3" t="s">
        <v>38</v>
      </c>
      <c r="I512" s="3" t="s">
        <v>1546</v>
      </c>
      <c r="J512" s="3" t="s">
        <v>223</v>
      </c>
      <c r="K512" s="3" t="s">
        <v>41</v>
      </c>
      <c r="L512" s="3" t="s">
        <v>1547</v>
      </c>
      <c r="M512" s="3" t="s">
        <v>3875</v>
      </c>
      <c r="N512" s="3" t="s">
        <v>53</v>
      </c>
      <c r="O512" s="3" t="s">
        <v>226</v>
      </c>
      <c r="P512" s="3" t="s">
        <v>3878</v>
      </c>
      <c r="Q512" s="3" t="s">
        <v>3879</v>
      </c>
      <c r="R512" s="3" t="s">
        <v>36</v>
      </c>
      <c r="S512" s="3" t="s">
        <v>221</v>
      </c>
      <c r="T512" s="3" t="s">
        <v>37</v>
      </c>
      <c r="U512" s="3" t="s">
        <v>78</v>
      </c>
      <c r="V512" s="3" t="s">
        <v>3880</v>
      </c>
      <c r="W512" s="3" t="s">
        <v>223</v>
      </c>
      <c r="X512" s="3" t="s">
        <v>41</v>
      </c>
      <c r="Y512" s="3" t="s">
        <v>3881</v>
      </c>
      <c r="Z512" s="3" t="s">
        <v>225</v>
      </c>
      <c r="AA512" s="3" t="s">
        <v>63</v>
      </c>
      <c r="AB512" s="3" t="s">
        <v>226</v>
      </c>
      <c r="AC512" s="3" t="s">
        <v>3882</v>
      </c>
      <c r="AD512" s="14">
        <v>45810</v>
      </c>
      <c r="AE512" s="14">
        <v>45899</v>
      </c>
      <c r="AF512" s="3"/>
    </row>
    <row r="513" spans="1:32" ht="52.9" hidden="1">
      <c r="A513" s="3" t="s">
        <v>3883</v>
      </c>
      <c r="B513" s="3" t="s">
        <v>3884</v>
      </c>
      <c r="C513" s="3" t="s">
        <v>3885</v>
      </c>
      <c r="D513" s="3" t="s">
        <v>59</v>
      </c>
      <c r="E513" s="3" t="s">
        <v>36</v>
      </c>
      <c r="F513" s="3" t="s">
        <v>247</v>
      </c>
      <c r="G513" s="3" t="s">
        <v>37</v>
      </c>
      <c r="H513" s="3" t="s">
        <v>49</v>
      </c>
      <c r="I513" s="3" t="s">
        <v>3886</v>
      </c>
      <c r="J513" s="3" t="s">
        <v>223</v>
      </c>
      <c r="K513" s="3" t="s">
        <v>41</v>
      </c>
      <c r="L513" s="3" t="s">
        <v>3887</v>
      </c>
      <c r="M513" s="3" t="s">
        <v>951</v>
      </c>
      <c r="N513" s="3" t="s">
        <v>79</v>
      </c>
      <c r="O513" s="3" t="s">
        <v>295</v>
      </c>
      <c r="P513" s="3" t="s">
        <v>3888</v>
      </c>
      <c r="Q513" s="3" t="s">
        <v>3889</v>
      </c>
      <c r="R513" s="3" t="s">
        <v>36</v>
      </c>
      <c r="S513" s="3" t="s">
        <v>247</v>
      </c>
      <c r="T513" s="3" t="s">
        <v>37</v>
      </c>
      <c r="U513" s="3" t="s">
        <v>49</v>
      </c>
      <c r="V513" s="3" t="s">
        <v>3890</v>
      </c>
      <c r="W513" s="3" t="s">
        <v>223</v>
      </c>
      <c r="X513" s="3" t="s">
        <v>41</v>
      </c>
      <c r="Y513" s="3" t="s">
        <v>3891</v>
      </c>
      <c r="Z513" s="3" t="s">
        <v>951</v>
      </c>
      <c r="AA513" s="3" t="s">
        <v>79</v>
      </c>
      <c r="AB513" s="3" t="s">
        <v>295</v>
      </c>
      <c r="AC513" s="3" t="s">
        <v>3892</v>
      </c>
      <c r="AD513" s="14">
        <v>45797</v>
      </c>
      <c r="AE513" s="14">
        <v>46203</v>
      </c>
      <c r="AF513" s="3"/>
    </row>
    <row r="514" spans="1:32" ht="66" hidden="1">
      <c r="A514" s="3" t="s">
        <v>3893</v>
      </c>
      <c r="B514" s="3" t="s">
        <v>3894</v>
      </c>
      <c r="C514" s="3" t="s">
        <v>3895</v>
      </c>
      <c r="D514" s="3" t="s">
        <v>35</v>
      </c>
      <c r="E514" s="3" t="s">
        <v>36</v>
      </c>
      <c r="F514" s="3" t="s">
        <v>221</v>
      </c>
      <c r="G514" s="3" t="s">
        <v>37</v>
      </c>
      <c r="H514" s="3" t="s">
        <v>78</v>
      </c>
      <c r="I514" s="3" t="s">
        <v>3896</v>
      </c>
      <c r="J514" s="3" t="s">
        <v>223</v>
      </c>
      <c r="K514" s="3" t="s">
        <v>41</v>
      </c>
      <c r="L514" s="3" t="s">
        <v>3897</v>
      </c>
      <c r="M514" s="3" t="s">
        <v>1571</v>
      </c>
      <c r="N514" s="3" t="s">
        <v>123</v>
      </c>
      <c r="O514" s="3" t="s">
        <v>54</v>
      </c>
      <c r="P514" s="3" t="s">
        <v>1041</v>
      </c>
      <c r="Q514" s="3" t="s">
        <v>1042</v>
      </c>
      <c r="R514" s="3" t="s">
        <v>36</v>
      </c>
      <c r="S514" s="3" t="s">
        <v>221</v>
      </c>
      <c r="T514" s="3" t="s">
        <v>82</v>
      </c>
      <c r="U514" s="3" t="s">
        <v>38</v>
      </c>
      <c r="V514" s="3" t="s">
        <v>1043</v>
      </c>
      <c r="W514" s="3" t="s">
        <v>223</v>
      </c>
      <c r="X514" s="3" t="s">
        <v>41</v>
      </c>
      <c r="Y514" s="3" t="s">
        <v>1044</v>
      </c>
      <c r="Z514" s="3" t="s">
        <v>1029</v>
      </c>
      <c r="AA514" s="3" t="s">
        <v>63</v>
      </c>
      <c r="AB514" s="3" t="s">
        <v>54</v>
      </c>
      <c r="AC514" s="3" t="s">
        <v>3898</v>
      </c>
      <c r="AD514" s="14">
        <v>45471</v>
      </c>
      <c r="AE514" s="14"/>
      <c r="AF514" s="3"/>
    </row>
    <row r="515" spans="1:32" ht="369.6" hidden="1">
      <c r="A515" s="3" t="s">
        <v>3779</v>
      </c>
      <c r="B515" s="3" t="s">
        <v>3780</v>
      </c>
      <c r="C515" s="3" t="s">
        <v>3899</v>
      </c>
      <c r="D515" s="3" t="s">
        <v>59</v>
      </c>
      <c r="E515" s="3" t="s">
        <v>36</v>
      </c>
      <c r="F515" s="3" t="s">
        <v>274</v>
      </c>
      <c r="G515" s="3" t="s">
        <v>37</v>
      </c>
      <c r="H515" s="3" t="s">
        <v>38</v>
      </c>
      <c r="I515" s="3" t="s">
        <v>3782</v>
      </c>
      <c r="J515" s="3" t="s">
        <v>223</v>
      </c>
      <c r="K515" s="3" t="s">
        <v>41</v>
      </c>
      <c r="L515" s="3" t="s">
        <v>2522</v>
      </c>
      <c r="M515" s="3" t="s">
        <v>3783</v>
      </c>
      <c r="N515" s="3" t="s">
        <v>53</v>
      </c>
      <c r="O515" s="3" t="s">
        <v>278</v>
      </c>
      <c r="P515" s="3" t="s">
        <v>3900</v>
      </c>
      <c r="Q515" s="3" t="s">
        <v>3901</v>
      </c>
      <c r="R515" s="3" t="s">
        <v>36</v>
      </c>
      <c r="S515" s="3" t="s">
        <v>274</v>
      </c>
      <c r="T515" s="3" t="s">
        <v>37</v>
      </c>
      <c r="U515" s="3" t="s">
        <v>49</v>
      </c>
      <c r="V515" s="3" t="s">
        <v>3902</v>
      </c>
      <c r="W515" s="3" t="s">
        <v>223</v>
      </c>
      <c r="X515" s="3" t="s">
        <v>41</v>
      </c>
      <c r="Y515" s="3" t="s">
        <v>3903</v>
      </c>
      <c r="Z515" s="3" t="s">
        <v>3904</v>
      </c>
      <c r="AA515" s="3" t="s">
        <v>63</v>
      </c>
      <c r="AB515" s="3" t="s">
        <v>54</v>
      </c>
      <c r="AC515" s="3" t="s">
        <v>3905</v>
      </c>
      <c r="AD515" s="14">
        <v>45810</v>
      </c>
      <c r="AE515" s="14">
        <v>45870</v>
      </c>
      <c r="AF515" s="3"/>
    </row>
    <row r="516" spans="1:32" ht="79.150000000000006" hidden="1">
      <c r="A516" s="3" t="s">
        <v>2507</v>
      </c>
      <c r="B516" s="3" t="s">
        <v>2508</v>
      </c>
      <c r="C516" s="3" t="s">
        <v>3906</v>
      </c>
      <c r="D516" s="3" t="s">
        <v>35</v>
      </c>
      <c r="E516" s="3" t="s">
        <v>36</v>
      </c>
      <c r="F516" s="3" t="s">
        <v>247</v>
      </c>
      <c r="G516" s="3" t="s">
        <v>37</v>
      </c>
      <c r="H516" s="3" t="s">
        <v>78</v>
      </c>
      <c r="I516" s="3" t="s">
        <v>2510</v>
      </c>
      <c r="J516" s="3" t="s">
        <v>223</v>
      </c>
      <c r="K516" s="3" t="s">
        <v>41</v>
      </c>
      <c r="L516" s="3" t="s">
        <v>2511</v>
      </c>
      <c r="M516" s="3" t="s">
        <v>2323</v>
      </c>
      <c r="N516" s="3" t="s">
        <v>123</v>
      </c>
      <c r="O516" s="3" t="s">
        <v>699</v>
      </c>
      <c r="P516" s="3" t="s">
        <v>3907</v>
      </c>
      <c r="Q516" s="3" t="s">
        <v>3908</v>
      </c>
      <c r="R516" s="3" t="s">
        <v>36</v>
      </c>
      <c r="S516" s="3" t="s">
        <v>221</v>
      </c>
      <c r="T516" s="3" t="s">
        <v>37</v>
      </c>
      <c r="U516" s="3" t="s">
        <v>38</v>
      </c>
      <c r="V516" s="3" t="s">
        <v>3909</v>
      </c>
      <c r="W516" s="3" t="s">
        <v>223</v>
      </c>
      <c r="X516" s="3" t="s">
        <v>41</v>
      </c>
      <c r="Y516" s="3" t="s">
        <v>3910</v>
      </c>
      <c r="Z516" s="3" t="s">
        <v>2328</v>
      </c>
      <c r="AA516" s="3" t="s">
        <v>79</v>
      </c>
      <c r="AB516" s="3" t="s">
        <v>226</v>
      </c>
      <c r="AC516" s="3" t="s">
        <v>3911</v>
      </c>
      <c r="AD516" s="14">
        <v>45790</v>
      </c>
      <c r="AE516" s="14">
        <v>46003</v>
      </c>
      <c r="AF516" s="3"/>
    </row>
    <row r="517" spans="1:32" ht="52.9" hidden="1">
      <c r="A517" s="3" t="s">
        <v>3477</v>
      </c>
      <c r="B517" s="3" t="s">
        <v>3478</v>
      </c>
      <c r="C517" s="3"/>
      <c r="D517" s="3" t="s">
        <v>348</v>
      </c>
      <c r="E517" s="3" t="s">
        <v>36</v>
      </c>
      <c r="F517" s="3" t="s">
        <v>221</v>
      </c>
      <c r="G517" s="3" t="s">
        <v>82</v>
      </c>
      <c r="H517" s="3" t="s">
        <v>49</v>
      </c>
      <c r="I517" s="3" t="s">
        <v>3480</v>
      </c>
      <c r="J517" s="3" t="s">
        <v>223</v>
      </c>
      <c r="K517" s="3" t="s">
        <v>41</v>
      </c>
      <c r="L517" s="3" t="s">
        <v>3481</v>
      </c>
      <c r="M517" s="3" t="s">
        <v>692</v>
      </c>
      <c r="N517" s="3" t="s">
        <v>281</v>
      </c>
      <c r="O517" s="3" t="s">
        <v>658</v>
      </c>
      <c r="P517" s="3" t="s">
        <v>3912</v>
      </c>
      <c r="Q517" s="3" t="s">
        <v>3913</v>
      </c>
      <c r="R517" s="3" t="s">
        <v>36</v>
      </c>
      <c r="S517" s="3" t="s">
        <v>221</v>
      </c>
      <c r="T517" s="3" t="s">
        <v>37</v>
      </c>
      <c r="U517" s="3" t="s">
        <v>49</v>
      </c>
      <c r="V517" s="3" t="s">
        <v>3914</v>
      </c>
      <c r="W517" s="3" t="s">
        <v>223</v>
      </c>
      <c r="X517" s="3" t="s">
        <v>41</v>
      </c>
      <c r="Y517" s="3" t="s">
        <v>3915</v>
      </c>
      <c r="Z517" s="3" t="s">
        <v>3916</v>
      </c>
      <c r="AA517" s="3" t="s">
        <v>63</v>
      </c>
      <c r="AB517" s="3" t="s">
        <v>1591</v>
      </c>
      <c r="AC517" s="3" t="s">
        <v>3917</v>
      </c>
      <c r="AD517" s="14">
        <v>45810</v>
      </c>
      <c r="AE517" s="14"/>
      <c r="AF517" s="3"/>
    </row>
    <row r="518" spans="1:32" ht="39.6" hidden="1">
      <c r="A518" s="3" t="s">
        <v>3686</v>
      </c>
      <c r="B518" s="3" t="s">
        <v>3687</v>
      </c>
      <c r="C518" s="3" t="s">
        <v>3918</v>
      </c>
      <c r="D518" s="3" t="s">
        <v>348</v>
      </c>
      <c r="E518" s="3"/>
      <c r="F518" s="3" t="s">
        <v>221</v>
      </c>
      <c r="G518" s="3" t="s">
        <v>82</v>
      </c>
      <c r="H518" s="3" t="s">
        <v>49</v>
      </c>
      <c r="I518" s="3"/>
      <c r="J518" s="3" t="s">
        <v>223</v>
      </c>
      <c r="K518" s="3"/>
      <c r="L518" s="3"/>
      <c r="M518" s="3"/>
      <c r="N518" s="3" t="s">
        <v>63</v>
      </c>
      <c r="O518" s="3"/>
      <c r="P518" s="3" t="s">
        <v>3919</v>
      </c>
      <c r="Q518" s="3" t="s">
        <v>3920</v>
      </c>
      <c r="R518" s="3" t="s">
        <v>36</v>
      </c>
      <c r="S518" s="3" t="s">
        <v>221</v>
      </c>
      <c r="T518" s="3" t="s">
        <v>37</v>
      </c>
      <c r="U518" s="3" t="s">
        <v>38</v>
      </c>
      <c r="V518" s="3" t="s">
        <v>3691</v>
      </c>
      <c r="W518" s="3" t="s">
        <v>223</v>
      </c>
      <c r="X518" s="3" t="s">
        <v>41</v>
      </c>
      <c r="Y518" s="3" t="s">
        <v>3692</v>
      </c>
      <c r="Z518" s="3" t="s">
        <v>511</v>
      </c>
      <c r="AA518" s="3" t="s">
        <v>79</v>
      </c>
      <c r="AB518" s="3" t="s">
        <v>506</v>
      </c>
      <c r="AC518" s="3" t="s">
        <v>3921</v>
      </c>
      <c r="AD518" s="14">
        <v>45814</v>
      </c>
      <c r="AE518" s="14">
        <v>46179</v>
      </c>
      <c r="AF518" s="3"/>
    </row>
    <row r="519" spans="1:32" ht="39.6" hidden="1">
      <c r="A519" s="3" t="s">
        <v>3922</v>
      </c>
      <c r="B519" s="3" t="s">
        <v>3923</v>
      </c>
      <c r="C519" s="3" t="s">
        <v>3924</v>
      </c>
      <c r="D519" s="3" t="s">
        <v>59</v>
      </c>
      <c r="E519" s="3" t="s">
        <v>36</v>
      </c>
      <c r="F519" s="3" t="s">
        <v>247</v>
      </c>
      <c r="G519" s="3" t="s">
        <v>82</v>
      </c>
      <c r="H519" s="3" t="s">
        <v>73</v>
      </c>
      <c r="I519" s="3" t="s">
        <v>3925</v>
      </c>
      <c r="J519" s="3" t="s">
        <v>223</v>
      </c>
      <c r="K519" s="3" t="s">
        <v>41</v>
      </c>
      <c r="L519" s="3" t="s">
        <v>312</v>
      </c>
      <c r="M519" s="3" t="s">
        <v>1000</v>
      </c>
      <c r="N519" s="3" t="s">
        <v>63</v>
      </c>
      <c r="O519" s="3" t="s">
        <v>308</v>
      </c>
      <c r="P519" s="3" t="s">
        <v>3926</v>
      </c>
      <c r="Q519" s="3" t="s">
        <v>3927</v>
      </c>
      <c r="R519" s="3" t="s">
        <v>36</v>
      </c>
      <c r="S519" s="3" t="s">
        <v>221</v>
      </c>
      <c r="T519" s="3" t="s">
        <v>82</v>
      </c>
      <c r="U519" s="3" t="s">
        <v>73</v>
      </c>
      <c r="V519" s="3" t="s">
        <v>3925</v>
      </c>
      <c r="W519" s="3" t="s">
        <v>223</v>
      </c>
      <c r="X519" s="3" t="s">
        <v>41</v>
      </c>
      <c r="Y519" s="3" t="s">
        <v>312</v>
      </c>
      <c r="Z519" s="3" t="s">
        <v>313</v>
      </c>
      <c r="AA519" s="3" t="s">
        <v>63</v>
      </c>
      <c r="AB519" s="3" t="s">
        <v>308</v>
      </c>
      <c r="AC519" s="3" t="s">
        <v>3928</v>
      </c>
      <c r="AD519" s="14">
        <v>45820</v>
      </c>
      <c r="AE519" s="14">
        <v>47848</v>
      </c>
      <c r="AF519" s="3"/>
    </row>
    <row r="520" spans="1:32" ht="224.45" hidden="1">
      <c r="A520" s="3" t="s">
        <v>3369</v>
      </c>
      <c r="B520" s="3" t="s">
        <v>3370</v>
      </c>
      <c r="C520" s="3" t="s">
        <v>3929</v>
      </c>
      <c r="D520" s="3" t="s">
        <v>59</v>
      </c>
      <c r="E520" s="3" t="s">
        <v>36</v>
      </c>
      <c r="F520" s="3" t="s">
        <v>274</v>
      </c>
      <c r="G520" s="3" t="s">
        <v>37</v>
      </c>
      <c r="H520" s="3" t="s">
        <v>38</v>
      </c>
      <c r="I520" s="3" t="s">
        <v>3372</v>
      </c>
      <c r="J520" s="3" t="s">
        <v>223</v>
      </c>
      <c r="K520" s="3" t="s">
        <v>41</v>
      </c>
      <c r="L520" s="3" t="s">
        <v>3373</v>
      </c>
      <c r="M520" s="3" t="s">
        <v>1289</v>
      </c>
      <c r="N520" s="3" t="s">
        <v>53</v>
      </c>
      <c r="O520" s="3" t="s">
        <v>240</v>
      </c>
      <c r="P520" s="3" t="s">
        <v>3930</v>
      </c>
      <c r="Q520" s="3" t="s">
        <v>3931</v>
      </c>
      <c r="R520" s="3" t="s">
        <v>36</v>
      </c>
      <c r="S520" s="3" t="s">
        <v>221</v>
      </c>
      <c r="T520" s="3" t="s">
        <v>82</v>
      </c>
      <c r="U520" s="3" t="s">
        <v>49</v>
      </c>
      <c r="V520" s="3" t="s">
        <v>3932</v>
      </c>
      <c r="W520" s="3" t="s">
        <v>223</v>
      </c>
      <c r="X520" s="3" t="s">
        <v>41</v>
      </c>
      <c r="Y520" s="3" t="s">
        <v>3933</v>
      </c>
      <c r="Z520" s="3" t="s">
        <v>2095</v>
      </c>
      <c r="AA520" s="3" t="s">
        <v>79</v>
      </c>
      <c r="AB520" s="3" t="s">
        <v>201</v>
      </c>
      <c r="AC520" s="3" t="s">
        <v>3934</v>
      </c>
      <c r="AD520" s="14">
        <v>45820</v>
      </c>
      <c r="AE520" s="14"/>
      <c r="AF520" s="3"/>
    </row>
    <row r="521" spans="1:32" ht="39.6" hidden="1">
      <c r="A521" s="3" t="s">
        <v>3935</v>
      </c>
      <c r="B521" s="3" t="s">
        <v>3936</v>
      </c>
      <c r="C521" s="3" t="s">
        <v>3937</v>
      </c>
      <c r="D521" s="3" t="s">
        <v>35</v>
      </c>
      <c r="E521" s="3" t="s">
        <v>36</v>
      </c>
      <c r="F521" s="3" t="s">
        <v>274</v>
      </c>
      <c r="G521" s="3" t="s">
        <v>37</v>
      </c>
      <c r="H521" s="3" t="s">
        <v>38</v>
      </c>
      <c r="I521" s="3" t="s">
        <v>3938</v>
      </c>
      <c r="J521" s="3" t="s">
        <v>223</v>
      </c>
      <c r="K521" s="3" t="s">
        <v>780</v>
      </c>
      <c r="L521" s="3" t="s">
        <v>3939</v>
      </c>
      <c r="M521" s="3" t="s">
        <v>3940</v>
      </c>
      <c r="N521" s="3" t="s">
        <v>63</v>
      </c>
      <c r="O521" s="3" t="s">
        <v>1310</v>
      </c>
      <c r="P521" s="3" t="s">
        <v>3941</v>
      </c>
      <c r="Q521" s="3" t="s">
        <v>3942</v>
      </c>
      <c r="R521" s="3" t="s">
        <v>36</v>
      </c>
      <c r="S521" s="3" t="s">
        <v>221</v>
      </c>
      <c r="T521" s="3" t="s">
        <v>37</v>
      </c>
      <c r="U521" s="3" t="s">
        <v>49</v>
      </c>
      <c r="V521" s="3" t="s">
        <v>3943</v>
      </c>
      <c r="W521" s="3" t="s">
        <v>223</v>
      </c>
      <c r="X521" s="3" t="s">
        <v>780</v>
      </c>
      <c r="Y521" s="3" t="s">
        <v>3939</v>
      </c>
      <c r="Z521" s="3" t="s">
        <v>1615</v>
      </c>
      <c r="AA521" s="3" t="s">
        <v>79</v>
      </c>
      <c r="AB521" s="3" t="s">
        <v>1310</v>
      </c>
      <c r="AC521" s="3" t="s">
        <v>3944</v>
      </c>
      <c r="AD521" s="14">
        <v>45827</v>
      </c>
      <c r="AE521" s="14"/>
      <c r="AF521" s="3"/>
    </row>
    <row r="522" spans="1:32" ht="330" hidden="1">
      <c r="A522" s="3" t="s">
        <v>417</v>
      </c>
      <c r="B522" s="3" t="s">
        <v>418</v>
      </c>
      <c r="C522" s="3" t="s">
        <v>3945</v>
      </c>
      <c r="D522" s="3" t="s">
        <v>348</v>
      </c>
      <c r="E522" s="3" t="s">
        <v>36</v>
      </c>
      <c r="F522" s="3" t="s">
        <v>247</v>
      </c>
      <c r="G522" s="3" t="s">
        <v>82</v>
      </c>
      <c r="H522" s="3" t="s">
        <v>38</v>
      </c>
      <c r="I522" s="3" t="s">
        <v>419</v>
      </c>
      <c r="J522" s="3" t="s">
        <v>223</v>
      </c>
      <c r="K522" s="3" t="s">
        <v>41</v>
      </c>
      <c r="L522" s="3" t="s">
        <v>420</v>
      </c>
      <c r="M522" s="3" t="s">
        <v>421</v>
      </c>
      <c r="N522" s="3" t="s">
        <v>44</v>
      </c>
      <c r="O522" s="3" t="s">
        <v>270</v>
      </c>
      <c r="P522" s="3" t="s">
        <v>3946</v>
      </c>
      <c r="Q522" s="3" t="s">
        <v>3947</v>
      </c>
      <c r="R522" s="3" t="s">
        <v>467</v>
      </c>
      <c r="S522" s="3" t="s">
        <v>221</v>
      </c>
      <c r="T522" s="3" t="s">
        <v>82</v>
      </c>
      <c r="U522" s="3" t="s">
        <v>73</v>
      </c>
      <c r="V522" s="3" t="s">
        <v>3948</v>
      </c>
      <c r="W522" s="3" t="s">
        <v>223</v>
      </c>
      <c r="X522" s="3" t="s">
        <v>41</v>
      </c>
      <c r="Y522" s="3" t="s">
        <v>3949</v>
      </c>
      <c r="Z522" s="3" t="s">
        <v>3950</v>
      </c>
      <c r="AA522" s="3" t="s">
        <v>69</v>
      </c>
      <c r="AB522" s="3" t="s">
        <v>100</v>
      </c>
      <c r="AC522" s="3" t="s">
        <v>3951</v>
      </c>
      <c r="AD522" s="14">
        <v>45839</v>
      </c>
      <c r="AE522" s="14"/>
      <c r="AF522" s="3"/>
    </row>
    <row r="523" spans="1:32" ht="184.9" hidden="1">
      <c r="A523" s="3" t="s">
        <v>1593</v>
      </c>
      <c r="B523" s="3" t="s">
        <v>1594</v>
      </c>
      <c r="C523" s="3" t="s">
        <v>3952</v>
      </c>
      <c r="D523" s="3" t="s">
        <v>59</v>
      </c>
      <c r="E523" s="3" t="s">
        <v>36</v>
      </c>
      <c r="F523" s="3" t="s">
        <v>247</v>
      </c>
      <c r="G523" s="3" t="s">
        <v>37</v>
      </c>
      <c r="H523" s="3" t="s">
        <v>38</v>
      </c>
      <c r="I523" s="3" t="s">
        <v>1596</v>
      </c>
      <c r="J523" s="3" t="s">
        <v>223</v>
      </c>
      <c r="K523" s="3" t="s">
        <v>41</v>
      </c>
      <c r="L523" s="3" t="s">
        <v>1597</v>
      </c>
      <c r="M523" s="3" t="s">
        <v>987</v>
      </c>
      <c r="N523" s="3" t="s">
        <v>44</v>
      </c>
      <c r="O523" s="3" t="s">
        <v>270</v>
      </c>
      <c r="P523" s="3" t="s">
        <v>826</v>
      </c>
      <c r="Q523" s="3" t="s">
        <v>827</v>
      </c>
      <c r="R523" s="3" t="s">
        <v>36</v>
      </c>
      <c r="S523" s="3" t="s">
        <v>221</v>
      </c>
      <c r="T523" s="3" t="s">
        <v>37</v>
      </c>
      <c r="U523" s="3" t="s">
        <v>38</v>
      </c>
      <c r="V523" s="3" t="s">
        <v>829</v>
      </c>
      <c r="W523" s="3" t="s">
        <v>223</v>
      </c>
      <c r="X523" s="3" t="s">
        <v>41</v>
      </c>
      <c r="Y523" s="3" t="s">
        <v>830</v>
      </c>
      <c r="Z523" s="3" t="s">
        <v>200</v>
      </c>
      <c r="AA523" s="3" t="s">
        <v>44</v>
      </c>
      <c r="AB523" s="3" t="s">
        <v>201</v>
      </c>
      <c r="AC523" s="3" t="s">
        <v>3953</v>
      </c>
      <c r="AD523" s="14">
        <v>45839</v>
      </c>
      <c r="AE523" s="14">
        <v>46204</v>
      </c>
      <c r="AF523" s="3"/>
    </row>
    <row r="524" spans="1:32" ht="198" hidden="1">
      <c r="A524" s="3" t="s">
        <v>3954</v>
      </c>
      <c r="B524" s="3" t="s">
        <v>3955</v>
      </c>
      <c r="C524" s="3" t="s">
        <v>3956</v>
      </c>
      <c r="D524" s="3" t="s">
        <v>59</v>
      </c>
      <c r="E524" s="3" t="s">
        <v>36</v>
      </c>
      <c r="F524" s="3" t="s">
        <v>221</v>
      </c>
      <c r="G524" s="3" t="s">
        <v>37</v>
      </c>
      <c r="H524" s="3" t="s">
        <v>49</v>
      </c>
      <c r="I524" s="3" t="s">
        <v>3957</v>
      </c>
      <c r="J524" s="3" t="s">
        <v>223</v>
      </c>
      <c r="K524" s="3" t="s">
        <v>41</v>
      </c>
      <c r="L524" s="3" t="s">
        <v>3958</v>
      </c>
      <c r="M524" s="3" t="s">
        <v>911</v>
      </c>
      <c r="N524" s="3" t="s">
        <v>79</v>
      </c>
      <c r="O524" s="3" t="s">
        <v>721</v>
      </c>
      <c r="P524" s="3" t="s">
        <v>3267</v>
      </c>
      <c r="Q524" s="3" t="s">
        <v>3268</v>
      </c>
      <c r="R524" s="3" t="s">
        <v>36</v>
      </c>
      <c r="S524" s="3" t="s">
        <v>221</v>
      </c>
      <c r="T524" s="3" t="s">
        <v>82</v>
      </c>
      <c r="U524" s="3" t="s">
        <v>73</v>
      </c>
      <c r="V524" s="3" t="s">
        <v>3269</v>
      </c>
      <c r="W524" s="3" t="s">
        <v>223</v>
      </c>
      <c r="X524" s="3" t="s">
        <v>41</v>
      </c>
      <c r="Y524" s="3" t="s">
        <v>3270</v>
      </c>
      <c r="Z524" s="3" t="s">
        <v>1389</v>
      </c>
      <c r="AA524" s="3" t="s">
        <v>281</v>
      </c>
      <c r="AB524" s="3" t="s">
        <v>54</v>
      </c>
      <c r="AC524" s="3" t="s">
        <v>3959</v>
      </c>
      <c r="AD524" s="14">
        <v>45839</v>
      </c>
      <c r="AE524" s="14"/>
      <c r="AF524" s="3"/>
    </row>
    <row r="525" spans="1:32" ht="158.44999999999999" hidden="1">
      <c r="A525" s="3" t="s">
        <v>374</v>
      </c>
      <c r="B525" s="3" t="s">
        <v>375</v>
      </c>
      <c r="C525" s="3" t="s">
        <v>3960</v>
      </c>
      <c r="D525" s="3" t="s">
        <v>59</v>
      </c>
      <c r="E525" s="3" t="s">
        <v>36</v>
      </c>
      <c r="F525" s="3" t="s">
        <v>221</v>
      </c>
      <c r="G525" s="3" t="s">
        <v>37</v>
      </c>
      <c r="H525" s="3" t="s">
        <v>49</v>
      </c>
      <c r="I525" s="3" t="s">
        <v>377</v>
      </c>
      <c r="J525" s="3" t="s">
        <v>223</v>
      </c>
      <c r="K525" s="3" t="s">
        <v>41</v>
      </c>
      <c r="L525" s="3" t="s">
        <v>378</v>
      </c>
      <c r="M525" s="3" t="s">
        <v>379</v>
      </c>
      <c r="N525" s="3" t="s">
        <v>79</v>
      </c>
      <c r="O525" s="3" t="s">
        <v>45</v>
      </c>
      <c r="P525" s="3" t="s">
        <v>3961</v>
      </c>
      <c r="Q525" s="3" t="s">
        <v>3962</v>
      </c>
      <c r="R525" s="3" t="s">
        <v>36</v>
      </c>
      <c r="S525" s="3" t="s">
        <v>221</v>
      </c>
      <c r="T525" s="3" t="s">
        <v>37</v>
      </c>
      <c r="U525" s="3" t="s">
        <v>49</v>
      </c>
      <c r="V525" s="3" t="s">
        <v>3963</v>
      </c>
      <c r="W525" s="3" t="s">
        <v>223</v>
      </c>
      <c r="X525" s="3" t="s">
        <v>41</v>
      </c>
      <c r="Y525" s="3" t="s">
        <v>3964</v>
      </c>
      <c r="Z525" s="3" t="s">
        <v>1836</v>
      </c>
      <c r="AA525" s="3" t="s">
        <v>79</v>
      </c>
      <c r="AB525" s="3" t="s">
        <v>1837</v>
      </c>
      <c r="AC525" s="3" t="s">
        <v>3965</v>
      </c>
      <c r="AD525" s="14">
        <v>45810</v>
      </c>
      <c r="AE525" s="14"/>
      <c r="AF525" s="3"/>
    </row>
    <row r="526" spans="1:32" ht="409.6" hidden="1">
      <c r="A526" s="3" t="s">
        <v>3228</v>
      </c>
      <c r="B526" s="3" t="s">
        <v>3229</v>
      </c>
      <c r="C526" s="3" t="s">
        <v>3966</v>
      </c>
      <c r="D526" s="3" t="s">
        <v>59</v>
      </c>
      <c r="E526" s="3" t="s">
        <v>36</v>
      </c>
      <c r="F526" s="3" t="s">
        <v>247</v>
      </c>
      <c r="G526" s="3" t="s">
        <v>37</v>
      </c>
      <c r="H526" s="3" t="s">
        <v>78</v>
      </c>
      <c r="I526" s="3" t="s">
        <v>3231</v>
      </c>
      <c r="J526" s="3" t="s">
        <v>223</v>
      </c>
      <c r="K526" s="3" t="s">
        <v>356</v>
      </c>
      <c r="L526" s="3" t="s">
        <v>3232</v>
      </c>
      <c r="M526" s="3" t="s">
        <v>1938</v>
      </c>
      <c r="N526" s="3" t="s">
        <v>79</v>
      </c>
      <c r="O526" s="3" t="s">
        <v>543</v>
      </c>
      <c r="P526" s="3" t="s">
        <v>3654</v>
      </c>
      <c r="Q526" s="3" t="s">
        <v>3655</v>
      </c>
      <c r="R526" s="3" t="s">
        <v>36</v>
      </c>
      <c r="S526" s="3" t="s">
        <v>254</v>
      </c>
      <c r="T526" s="3" t="s">
        <v>37</v>
      </c>
      <c r="U526" s="3" t="s">
        <v>49</v>
      </c>
      <c r="V526" s="3" t="s">
        <v>3656</v>
      </c>
      <c r="W526" s="3" t="s">
        <v>223</v>
      </c>
      <c r="X526" s="3" t="s">
        <v>41</v>
      </c>
      <c r="Y526" s="3" t="s">
        <v>3657</v>
      </c>
      <c r="Z526" s="3" t="s">
        <v>1409</v>
      </c>
      <c r="AA526" s="3" t="s">
        <v>79</v>
      </c>
      <c r="AB526" s="3" t="s">
        <v>571</v>
      </c>
      <c r="AC526" s="3" t="s">
        <v>3967</v>
      </c>
      <c r="AD526" s="14">
        <v>45845</v>
      </c>
      <c r="AE526" s="14"/>
      <c r="AF526" s="3"/>
    </row>
    <row r="527" spans="1:32" ht="118.9" hidden="1">
      <c r="A527" s="3" t="s">
        <v>3968</v>
      </c>
      <c r="B527" s="3" t="s">
        <v>3969</v>
      </c>
      <c r="C527" s="3" t="s">
        <v>3970</v>
      </c>
      <c r="D527" s="3" t="s">
        <v>59</v>
      </c>
      <c r="E527" s="3"/>
      <c r="F527" s="3" t="s">
        <v>221</v>
      </c>
      <c r="G527" s="3" t="s">
        <v>82</v>
      </c>
      <c r="H527" s="3" t="s">
        <v>49</v>
      </c>
      <c r="I527" s="3"/>
      <c r="J527" s="3" t="s">
        <v>223</v>
      </c>
      <c r="K527" s="3"/>
      <c r="L527" s="3"/>
      <c r="M527" s="3"/>
      <c r="N527" s="3" t="s">
        <v>63</v>
      </c>
      <c r="O527" s="3"/>
      <c r="P527" s="3" t="s">
        <v>3971</v>
      </c>
      <c r="Q527" s="3" t="s">
        <v>3972</v>
      </c>
      <c r="R527" s="3" t="s">
        <v>36</v>
      </c>
      <c r="S527" s="3" t="s">
        <v>221</v>
      </c>
      <c r="T527" s="3" t="s">
        <v>37</v>
      </c>
      <c r="U527" s="3" t="s">
        <v>73</v>
      </c>
      <c r="V527" s="3" t="s">
        <v>3973</v>
      </c>
      <c r="W527" s="3" t="s">
        <v>223</v>
      </c>
      <c r="X527" s="3" t="s">
        <v>41</v>
      </c>
      <c r="Y527" s="3" t="s">
        <v>3280</v>
      </c>
      <c r="Z527" s="3" t="s">
        <v>115</v>
      </c>
      <c r="AA527" s="3" t="s">
        <v>285</v>
      </c>
      <c r="AB527" s="3" t="s">
        <v>116</v>
      </c>
      <c r="AC527" s="3" t="s">
        <v>3974</v>
      </c>
      <c r="AD527" s="14">
        <v>45855</v>
      </c>
      <c r="AE527" s="14">
        <v>45999</v>
      </c>
      <c r="AF527" s="3"/>
    </row>
    <row r="528" spans="1:32" ht="409.6" hidden="1">
      <c r="A528" s="3" t="s">
        <v>303</v>
      </c>
      <c r="B528" s="3" t="s">
        <v>304</v>
      </c>
      <c r="C528" s="3" t="s">
        <v>3975</v>
      </c>
      <c r="D528" s="3" t="s">
        <v>59</v>
      </c>
      <c r="E528" s="3" t="s">
        <v>36</v>
      </c>
      <c r="F528" s="3" t="s">
        <v>254</v>
      </c>
      <c r="G528" s="3" t="s">
        <v>82</v>
      </c>
      <c r="H528" s="3" t="s">
        <v>38</v>
      </c>
      <c r="I528" s="3" t="s">
        <v>305</v>
      </c>
      <c r="J528" s="3" t="s">
        <v>223</v>
      </c>
      <c r="K528" s="3" t="s">
        <v>41</v>
      </c>
      <c r="L528" s="3" t="s">
        <v>306</v>
      </c>
      <c r="M528" s="3" t="s">
        <v>307</v>
      </c>
      <c r="N528" s="3" t="s">
        <v>63</v>
      </c>
      <c r="O528" s="3" t="s">
        <v>308</v>
      </c>
      <c r="P528" s="3" t="s">
        <v>3976</v>
      </c>
      <c r="Q528" s="3" t="s">
        <v>3977</v>
      </c>
      <c r="R528" s="3" t="s">
        <v>36</v>
      </c>
      <c r="S528" s="3" t="s">
        <v>221</v>
      </c>
      <c r="T528" s="3" t="s">
        <v>37</v>
      </c>
      <c r="U528" s="3" t="s">
        <v>49</v>
      </c>
      <c r="V528" s="3" t="s">
        <v>3978</v>
      </c>
      <c r="W528" s="3" t="s">
        <v>223</v>
      </c>
      <c r="X528" s="3" t="s">
        <v>41</v>
      </c>
      <c r="Y528" s="3" t="s">
        <v>3757</v>
      </c>
      <c r="Z528" s="3" t="s">
        <v>1836</v>
      </c>
      <c r="AA528" s="3" t="s">
        <v>281</v>
      </c>
      <c r="AB528" s="3" t="s">
        <v>1837</v>
      </c>
      <c r="AC528" s="3" t="s">
        <v>3979</v>
      </c>
      <c r="AD528" s="14">
        <v>45852</v>
      </c>
      <c r="AE528" s="14"/>
      <c r="AF528" s="3"/>
    </row>
    <row r="529" spans="1:32" ht="39.6" hidden="1">
      <c r="A529" s="3" t="s">
        <v>3980</v>
      </c>
      <c r="B529" s="3" t="s">
        <v>3981</v>
      </c>
      <c r="C529" s="3"/>
      <c r="D529" s="3" t="s">
        <v>59</v>
      </c>
      <c r="E529" s="3" t="s">
        <v>36</v>
      </c>
      <c r="F529" s="3" t="s">
        <v>221</v>
      </c>
      <c r="G529" s="3" t="s">
        <v>82</v>
      </c>
      <c r="H529" s="3" t="s">
        <v>38</v>
      </c>
      <c r="I529" s="3" t="s">
        <v>3982</v>
      </c>
      <c r="J529" s="3" t="s">
        <v>223</v>
      </c>
      <c r="K529" s="3" t="s">
        <v>41</v>
      </c>
      <c r="L529" s="3" t="s">
        <v>3983</v>
      </c>
      <c r="M529" s="3" t="s">
        <v>3984</v>
      </c>
      <c r="N529" s="3" t="s">
        <v>44</v>
      </c>
      <c r="O529" s="3" t="s">
        <v>270</v>
      </c>
      <c r="P529" s="3" t="s">
        <v>3985</v>
      </c>
      <c r="Q529" s="3" t="s">
        <v>3986</v>
      </c>
      <c r="R529" s="3" t="s">
        <v>36</v>
      </c>
      <c r="S529" s="3" t="s">
        <v>221</v>
      </c>
      <c r="T529" s="3" t="s">
        <v>37</v>
      </c>
      <c r="U529" s="3" t="s">
        <v>73</v>
      </c>
      <c r="V529" s="3" t="s">
        <v>3987</v>
      </c>
      <c r="W529" s="3" t="s">
        <v>223</v>
      </c>
      <c r="X529" s="3" t="s">
        <v>41</v>
      </c>
      <c r="Y529" s="3" t="s">
        <v>2443</v>
      </c>
      <c r="Z529" s="3" t="s">
        <v>2444</v>
      </c>
      <c r="AA529" s="3" t="s">
        <v>281</v>
      </c>
      <c r="AB529" s="3" t="s">
        <v>571</v>
      </c>
      <c r="AC529" s="3" t="s">
        <v>3988</v>
      </c>
      <c r="AD529" s="14">
        <v>44832</v>
      </c>
      <c r="AE529" s="14"/>
      <c r="AF529" s="3"/>
    </row>
    <row r="530" spans="1:32" ht="39.6" hidden="1">
      <c r="A530" s="3" t="s">
        <v>3989</v>
      </c>
      <c r="B530" s="3" t="s">
        <v>3990</v>
      </c>
      <c r="C530" s="3"/>
      <c r="D530" s="3" t="s">
        <v>59</v>
      </c>
      <c r="E530" s="3" t="s">
        <v>36</v>
      </c>
      <c r="F530" s="3" t="s">
        <v>247</v>
      </c>
      <c r="G530" s="3" t="s">
        <v>82</v>
      </c>
      <c r="H530" s="3" t="s">
        <v>49</v>
      </c>
      <c r="I530" s="3" t="s">
        <v>3991</v>
      </c>
      <c r="J530" s="3" t="s">
        <v>223</v>
      </c>
      <c r="K530" s="3" t="s">
        <v>41</v>
      </c>
      <c r="L530" s="3" t="s">
        <v>249</v>
      </c>
      <c r="M530" s="3" t="s">
        <v>2939</v>
      </c>
      <c r="N530" s="3" t="s">
        <v>79</v>
      </c>
      <c r="O530" s="3" t="s">
        <v>251</v>
      </c>
      <c r="P530" s="3" t="s">
        <v>3992</v>
      </c>
      <c r="Q530" s="3" t="s">
        <v>3993</v>
      </c>
      <c r="R530" s="3" t="s">
        <v>36</v>
      </c>
      <c r="S530" s="3" t="s">
        <v>254</v>
      </c>
      <c r="T530" s="3" t="s">
        <v>37</v>
      </c>
      <c r="U530" s="3" t="s">
        <v>73</v>
      </c>
      <c r="V530" s="3" t="s">
        <v>3994</v>
      </c>
      <c r="W530" s="3" t="s">
        <v>223</v>
      </c>
      <c r="X530" s="3" t="s">
        <v>41</v>
      </c>
      <c r="Y530" s="3" t="s">
        <v>3995</v>
      </c>
      <c r="Z530" s="3" t="s">
        <v>2124</v>
      </c>
      <c r="AA530" s="3" t="s">
        <v>79</v>
      </c>
      <c r="AB530" s="3" t="s">
        <v>270</v>
      </c>
      <c r="AC530" s="3" t="s">
        <v>3996</v>
      </c>
      <c r="AD530" s="14">
        <v>45855</v>
      </c>
      <c r="AE530" s="14"/>
      <c r="AF530" s="3"/>
    </row>
    <row r="531" spans="1:32" ht="158.44999999999999" hidden="1">
      <c r="A531" s="3" t="s">
        <v>2962</v>
      </c>
      <c r="B531" s="3" t="s">
        <v>2963</v>
      </c>
      <c r="C531" s="3" t="s">
        <v>3997</v>
      </c>
      <c r="D531" s="3" t="s">
        <v>59</v>
      </c>
      <c r="E531" s="3" t="s">
        <v>36</v>
      </c>
      <c r="F531" s="3" t="s">
        <v>274</v>
      </c>
      <c r="G531" s="3" t="s">
        <v>37</v>
      </c>
      <c r="H531" s="3" t="s">
        <v>38</v>
      </c>
      <c r="I531" s="3" t="s">
        <v>2965</v>
      </c>
      <c r="J531" s="3" t="s">
        <v>223</v>
      </c>
      <c r="K531" s="3" t="s">
        <v>780</v>
      </c>
      <c r="L531" s="3" t="s">
        <v>2966</v>
      </c>
      <c r="M531" s="3" t="s">
        <v>2967</v>
      </c>
      <c r="N531" s="3" t="s">
        <v>79</v>
      </c>
      <c r="O531" s="3" t="s">
        <v>308</v>
      </c>
      <c r="P531" s="3" t="s">
        <v>3998</v>
      </c>
      <c r="Q531" s="3" t="s">
        <v>3999</v>
      </c>
      <c r="R531" s="3" t="s">
        <v>36</v>
      </c>
      <c r="S531" s="3" t="s">
        <v>3336</v>
      </c>
      <c r="T531" s="3" t="s">
        <v>37</v>
      </c>
      <c r="U531" s="3" t="s">
        <v>73</v>
      </c>
      <c r="V531" s="3" t="s">
        <v>4000</v>
      </c>
      <c r="W531" s="3" t="s">
        <v>3337</v>
      </c>
      <c r="X531" s="3" t="s">
        <v>41</v>
      </c>
      <c r="Y531" s="3" t="s">
        <v>4001</v>
      </c>
      <c r="Z531" s="3" t="s">
        <v>4002</v>
      </c>
      <c r="AA531" s="3" t="s">
        <v>69</v>
      </c>
      <c r="AB531" s="3" t="s">
        <v>270</v>
      </c>
      <c r="AC531" s="3" t="s">
        <v>4003</v>
      </c>
      <c r="AD531" s="14">
        <v>45856</v>
      </c>
      <c r="AE531" s="14">
        <v>45884</v>
      </c>
      <c r="AF531" s="3"/>
    </row>
    <row r="532" spans="1:32" ht="39.6" hidden="1">
      <c r="A532" s="3" t="s">
        <v>3935</v>
      </c>
      <c r="B532" s="3" t="s">
        <v>3936</v>
      </c>
      <c r="C532" s="3" t="s">
        <v>4004</v>
      </c>
      <c r="D532" s="3" t="s">
        <v>59</v>
      </c>
      <c r="E532" s="3" t="s">
        <v>36</v>
      </c>
      <c r="F532" s="3" t="s">
        <v>274</v>
      </c>
      <c r="G532" s="3" t="s">
        <v>37</v>
      </c>
      <c r="H532" s="3" t="s">
        <v>38</v>
      </c>
      <c r="I532" s="3" t="s">
        <v>3938</v>
      </c>
      <c r="J532" s="3" t="s">
        <v>223</v>
      </c>
      <c r="K532" s="3" t="s">
        <v>780</v>
      </c>
      <c r="L532" s="3" t="s">
        <v>3939</v>
      </c>
      <c r="M532" s="3" t="s">
        <v>3940</v>
      </c>
      <c r="N532" s="3" t="s">
        <v>63</v>
      </c>
      <c r="O532" s="3" t="s">
        <v>1310</v>
      </c>
      <c r="P532" s="3" t="s">
        <v>4005</v>
      </c>
      <c r="Q532" s="3" t="s">
        <v>4006</v>
      </c>
      <c r="R532" s="3" t="s">
        <v>36</v>
      </c>
      <c r="S532" s="3" t="s">
        <v>274</v>
      </c>
      <c r="T532" s="3" t="s">
        <v>37</v>
      </c>
      <c r="U532" s="3" t="s">
        <v>38</v>
      </c>
      <c r="V532" s="3" t="s">
        <v>1981</v>
      </c>
      <c r="W532" s="3" t="s">
        <v>223</v>
      </c>
      <c r="X532" s="3" t="s">
        <v>41</v>
      </c>
      <c r="Y532" s="3" t="s">
        <v>1665</v>
      </c>
      <c r="Z532" s="3" t="s">
        <v>1615</v>
      </c>
      <c r="AA532" s="3" t="s">
        <v>53</v>
      </c>
      <c r="AB532" s="3" t="s">
        <v>226</v>
      </c>
      <c r="AC532" s="3" t="s">
        <v>4007</v>
      </c>
      <c r="AD532" s="14">
        <v>45870</v>
      </c>
      <c r="AE532" s="14"/>
      <c r="AF532" s="3"/>
    </row>
    <row r="533" spans="1:32" ht="145.15" hidden="1">
      <c r="A533" s="3" t="s">
        <v>4008</v>
      </c>
      <c r="B533" s="3" t="s">
        <v>4009</v>
      </c>
      <c r="C533" s="3" t="s">
        <v>4010</v>
      </c>
      <c r="D533" s="3" t="s">
        <v>348</v>
      </c>
      <c r="E533" s="3" t="s">
        <v>36</v>
      </c>
      <c r="F533" s="3" t="s">
        <v>274</v>
      </c>
      <c r="G533" s="3" t="s">
        <v>82</v>
      </c>
      <c r="H533" s="3" t="s">
        <v>49</v>
      </c>
      <c r="I533" s="3" t="s">
        <v>4011</v>
      </c>
      <c r="J533" s="3" t="s">
        <v>223</v>
      </c>
      <c r="K533" s="3" t="s">
        <v>41</v>
      </c>
      <c r="L533" s="3" t="s">
        <v>4012</v>
      </c>
      <c r="M533" s="3" t="s">
        <v>2294</v>
      </c>
      <c r="N533" s="3" t="s">
        <v>79</v>
      </c>
      <c r="O533" s="3" t="s">
        <v>308</v>
      </c>
      <c r="P533" s="3" t="s">
        <v>4013</v>
      </c>
      <c r="Q533" s="3" t="s">
        <v>4014</v>
      </c>
      <c r="R533" s="3" t="s">
        <v>213</v>
      </c>
      <c r="S533" s="3" t="s">
        <v>221</v>
      </c>
      <c r="T533" s="3" t="s">
        <v>82</v>
      </c>
      <c r="U533" s="3" t="s">
        <v>73</v>
      </c>
      <c r="V533" s="3" t="s">
        <v>4015</v>
      </c>
      <c r="W533" s="3" t="s">
        <v>223</v>
      </c>
      <c r="X533" s="3" t="s">
        <v>356</v>
      </c>
      <c r="Y533" s="3" t="s">
        <v>4016</v>
      </c>
      <c r="Z533" s="3" t="s">
        <v>4017</v>
      </c>
      <c r="AA533" s="3" t="s">
        <v>281</v>
      </c>
      <c r="AB533" s="3" t="s">
        <v>3628</v>
      </c>
      <c r="AC533" s="3" t="s">
        <v>4018</v>
      </c>
      <c r="AD533" s="14">
        <v>45845</v>
      </c>
      <c r="AE533" s="14">
        <v>45940</v>
      </c>
      <c r="AF533" s="3" t="s">
        <v>233</v>
      </c>
    </row>
    <row r="534" spans="1:32" ht="92.45" hidden="1">
      <c r="A534" s="3" t="s">
        <v>4008</v>
      </c>
      <c r="B534" s="3" t="s">
        <v>4009</v>
      </c>
      <c r="C534" s="3"/>
      <c r="D534" s="3" t="s">
        <v>348</v>
      </c>
      <c r="E534" s="3" t="s">
        <v>36</v>
      </c>
      <c r="F534" s="3" t="s">
        <v>274</v>
      </c>
      <c r="G534" s="3" t="s">
        <v>82</v>
      </c>
      <c r="H534" s="3" t="s">
        <v>49</v>
      </c>
      <c r="I534" s="3" t="s">
        <v>4011</v>
      </c>
      <c r="J534" s="3" t="s">
        <v>223</v>
      </c>
      <c r="K534" s="3" t="s">
        <v>41</v>
      </c>
      <c r="L534" s="3" t="s">
        <v>4012</v>
      </c>
      <c r="M534" s="3" t="s">
        <v>2294</v>
      </c>
      <c r="N534" s="3" t="s">
        <v>79</v>
      </c>
      <c r="O534" s="3" t="s">
        <v>308</v>
      </c>
      <c r="P534" s="3" t="s">
        <v>4019</v>
      </c>
      <c r="Q534" s="3" t="s">
        <v>4020</v>
      </c>
      <c r="R534" s="3" t="s">
        <v>36</v>
      </c>
      <c r="S534" s="3" t="s">
        <v>274</v>
      </c>
      <c r="T534" s="3" t="s">
        <v>82</v>
      </c>
      <c r="U534" s="3" t="s">
        <v>73</v>
      </c>
      <c r="V534" s="3" t="s">
        <v>4015</v>
      </c>
      <c r="W534" s="3" t="s">
        <v>223</v>
      </c>
      <c r="X534" s="3" t="s">
        <v>41</v>
      </c>
      <c r="Y534" s="3" t="s">
        <v>4012</v>
      </c>
      <c r="Z534" s="3" t="s">
        <v>313</v>
      </c>
      <c r="AA534" s="3" t="s">
        <v>63</v>
      </c>
      <c r="AB534" s="3" t="s">
        <v>308</v>
      </c>
      <c r="AC534" s="3" t="s">
        <v>4021</v>
      </c>
      <c r="AD534" s="14">
        <v>45839</v>
      </c>
      <c r="AE534" s="14">
        <v>45839</v>
      </c>
      <c r="AF534" s="3" t="s">
        <v>56</v>
      </c>
    </row>
    <row r="535" spans="1:32" ht="409.15" hidden="1">
      <c r="A535" s="3" t="s">
        <v>3989</v>
      </c>
      <c r="B535" s="3" t="s">
        <v>3990</v>
      </c>
      <c r="C535" s="3" t="s">
        <v>4022</v>
      </c>
      <c r="D535" s="3" t="s">
        <v>348</v>
      </c>
      <c r="E535" s="3" t="s">
        <v>36</v>
      </c>
      <c r="F535" s="3" t="s">
        <v>247</v>
      </c>
      <c r="G535" s="3" t="s">
        <v>82</v>
      </c>
      <c r="H535" s="3" t="s">
        <v>49</v>
      </c>
      <c r="I535" s="3" t="s">
        <v>3991</v>
      </c>
      <c r="J535" s="3" t="s">
        <v>223</v>
      </c>
      <c r="K535" s="3" t="s">
        <v>41</v>
      </c>
      <c r="L535" s="3" t="s">
        <v>249</v>
      </c>
      <c r="M535" s="3" t="s">
        <v>2939</v>
      </c>
      <c r="N535" s="3" t="s">
        <v>79</v>
      </c>
      <c r="O535" s="3" t="s">
        <v>251</v>
      </c>
      <c r="P535" s="3" t="s">
        <v>4023</v>
      </c>
      <c r="Q535" s="3" t="s">
        <v>4024</v>
      </c>
      <c r="R535" s="3" t="s">
        <v>467</v>
      </c>
      <c r="S535" s="3" t="s">
        <v>247</v>
      </c>
      <c r="T535" s="3" t="s">
        <v>37</v>
      </c>
      <c r="U535" s="3" t="s">
        <v>38</v>
      </c>
      <c r="V535" s="3" t="s">
        <v>4025</v>
      </c>
      <c r="W535" s="3" t="s">
        <v>223</v>
      </c>
      <c r="X535" s="3" t="s">
        <v>41</v>
      </c>
      <c r="Y535" s="3" t="s">
        <v>4026</v>
      </c>
      <c r="Z535" s="3" t="s">
        <v>4027</v>
      </c>
      <c r="AA535" s="3" t="s">
        <v>79</v>
      </c>
      <c r="AB535" s="3" t="s">
        <v>100</v>
      </c>
      <c r="AC535" s="3" t="s">
        <v>4028</v>
      </c>
      <c r="AD535" s="14">
        <v>45870</v>
      </c>
      <c r="AE535" s="14"/>
      <c r="AF535" s="3"/>
    </row>
    <row r="536" spans="1:32" ht="145.15" hidden="1">
      <c r="A536" s="3" t="s">
        <v>4029</v>
      </c>
      <c r="B536" s="3" t="s">
        <v>4030</v>
      </c>
      <c r="C536" s="3" t="s">
        <v>4031</v>
      </c>
      <c r="D536" s="3" t="s">
        <v>59</v>
      </c>
      <c r="E536" s="3" t="s">
        <v>36</v>
      </c>
      <c r="F536" s="3" t="s">
        <v>221</v>
      </c>
      <c r="G536" s="3" t="s">
        <v>82</v>
      </c>
      <c r="H536" s="3" t="s">
        <v>49</v>
      </c>
      <c r="I536" s="3" t="s">
        <v>4032</v>
      </c>
      <c r="J536" s="3" t="s">
        <v>223</v>
      </c>
      <c r="K536" s="3" t="s">
        <v>41</v>
      </c>
      <c r="L536" s="3" t="s">
        <v>3881</v>
      </c>
      <c r="M536" s="3" t="s">
        <v>225</v>
      </c>
      <c r="N536" s="3" t="s">
        <v>63</v>
      </c>
      <c r="O536" s="3" t="s">
        <v>226</v>
      </c>
      <c r="P536" s="3" t="s">
        <v>4033</v>
      </c>
      <c r="Q536" s="3" t="s">
        <v>4034</v>
      </c>
      <c r="R536" s="3" t="s">
        <v>36</v>
      </c>
      <c r="S536" s="3" t="s">
        <v>221</v>
      </c>
      <c r="T536" s="3" t="s">
        <v>37</v>
      </c>
      <c r="U536" s="3" t="s">
        <v>49</v>
      </c>
      <c r="V536" s="3" t="s">
        <v>4035</v>
      </c>
      <c r="W536" s="3" t="s">
        <v>223</v>
      </c>
      <c r="X536" s="3" t="s">
        <v>41</v>
      </c>
      <c r="Y536" s="3" t="s">
        <v>383</v>
      </c>
      <c r="Z536" s="3" t="s">
        <v>384</v>
      </c>
      <c r="AA536" s="3" t="s">
        <v>79</v>
      </c>
      <c r="AB536" s="3" t="s">
        <v>385</v>
      </c>
      <c r="AC536" s="3" t="s">
        <v>4036</v>
      </c>
      <c r="AD536" s="14">
        <v>45810</v>
      </c>
      <c r="AE536" s="14">
        <v>45940</v>
      </c>
      <c r="AF536" s="3"/>
    </row>
    <row r="537" spans="1:32" ht="409.6" hidden="1">
      <c r="A537" s="3" t="s">
        <v>3649</v>
      </c>
      <c r="B537" s="3" t="s">
        <v>3650</v>
      </c>
      <c r="C537" s="3" t="s">
        <v>4037</v>
      </c>
      <c r="D537" s="3" t="s">
        <v>59</v>
      </c>
      <c r="E537" s="3" t="s">
        <v>36</v>
      </c>
      <c r="F537" s="3" t="s">
        <v>274</v>
      </c>
      <c r="G537" s="3" t="s">
        <v>82</v>
      </c>
      <c r="H537" s="3" t="s">
        <v>78</v>
      </c>
      <c r="I537" s="3" t="s">
        <v>3652</v>
      </c>
      <c r="J537" s="3" t="s">
        <v>223</v>
      </c>
      <c r="K537" s="3" t="s">
        <v>41</v>
      </c>
      <c r="L537" s="3" t="s">
        <v>3653</v>
      </c>
      <c r="M537" s="3" t="s">
        <v>1933</v>
      </c>
      <c r="N537" s="3" t="s">
        <v>123</v>
      </c>
      <c r="O537" s="3" t="s">
        <v>543</v>
      </c>
      <c r="P537" s="3" t="s">
        <v>4038</v>
      </c>
      <c r="Q537" s="3" t="s">
        <v>4039</v>
      </c>
      <c r="R537" s="3" t="s">
        <v>36</v>
      </c>
      <c r="S537" s="3" t="s">
        <v>221</v>
      </c>
      <c r="T537" s="3" t="s">
        <v>37</v>
      </c>
      <c r="U537" s="3" t="s">
        <v>49</v>
      </c>
      <c r="V537" s="3" t="s">
        <v>3978</v>
      </c>
      <c r="W537" s="3" t="s">
        <v>223</v>
      </c>
      <c r="X537" s="3" t="s">
        <v>41</v>
      </c>
      <c r="Y537" s="3" t="s">
        <v>3757</v>
      </c>
      <c r="Z537" s="3" t="s">
        <v>1836</v>
      </c>
      <c r="AA537" s="3" t="s">
        <v>63</v>
      </c>
      <c r="AB537" s="3" t="s">
        <v>1837</v>
      </c>
      <c r="AC537" s="3" t="s">
        <v>4040</v>
      </c>
      <c r="AD537" s="14">
        <v>45852</v>
      </c>
      <c r="AE537" s="14"/>
      <c r="AF537" s="3"/>
    </row>
    <row r="538" spans="1:32" ht="39.6" hidden="1">
      <c r="A538" s="3" t="s">
        <v>1320</v>
      </c>
      <c r="B538" s="3" t="s">
        <v>1321</v>
      </c>
      <c r="C538" s="3" t="s">
        <v>4041</v>
      </c>
      <c r="D538" s="3" t="s">
        <v>59</v>
      </c>
      <c r="E538" s="3" t="s">
        <v>36</v>
      </c>
      <c r="F538" s="3" t="s">
        <v>274</v>
      </c>
      <c r="G538" s="3" t="s">
        <v>82</v>
      </c>
      <c r="H538" s="3" t="s">
        <v>38</v>
      </c>
      <c r="I538" s="3" t="s">
        <v>1323</v>
      </c>
      <c r="J538" s="3" t="s">
        <v>223</v>
      </c>
      <c r="K538" s="3" t="s">
        <v>41</v>
      </c>
      <c r="L538" s="3" t="s">
        <v>1324</v>
      </c>
      <c r="M538" s="3" t="s">
        <v>1325</v>
      </c>
      <c r="N538" s="3" t="s">
        <v>44</v>
      </c>
      <c r="O538" s="3" t="s">
        <v>1239</v>
      </c>
      <c r="P538" s="3" t="s">
        <v>4042</v>
      </c>
      <c r="Q538" s="3" t="s">
        <v>4043</v>
      </c>
      <c r="R538" s="3" t="s">
        <v>36</v>
      </c>
      <c r="S538" s="3" t="s">
        <v>254</v>
      </c>
      <c r="T538" s="3" t="s">
        <v>82</v>
      </c>
      <c r="U538" s="3" t="s">
        <v>49</v>
      </c>
      <c r="V538" s="3" t="s">
        <v>4044</v>
      </c>
      <c r="W538" s="3" t="s">
        <v>223</v>
      </c>
      <c r="X538" s="3" t="s">
        <v>41</v>
      </c>
      <c r="Y538" s="3" t="s">
        <v>4045</v>
      </c>
      <c r="Z538" s="3" t="s">
        <v>3409</v>
      </c>
      <c r="AA538" s="3" t="s">
        <v>53</v>
      </c>
      <c r="AB538" s="3" t="s">
        <v>1591</v>
      </c>
      <c r="AC538" s="3" t="s">
        <v>4046</v>
      </c>
      <c r="AD538" s="14">
        <v>45870</v>
      </c>
      <c r="AE538" s="14"/>
      <c r="AF538" s="3"/>
    </row>
    <row r="539" spans="1:32" ht="409.15" hidden="1">
      <c r="A539" s="3" t="s">
        <v>3228</v>
      </c>
      <c r="B539" s="3" t="s">
        <v>3229</v>
      </c>
      <c r="C539" s="3" t="s">
        <v>4047</v>
      </c>
      <c r="D539" s="3" t="s">
        <v>59</v>
      </c>
      <c r="E539" s="3" t="s">
        <v>36</v>
      </c>
      <c r="F539" s="3" t="s">
        <v>247</v>
      </c>
      <c r="G539" s="3" t="s">
        <v>37</v>
      </c>
      <c r="H539" s="3" t="s">
        <v>78</v>
      </c>
      <c r="I539" s="3" t="s">
        <v>3231</v>
      </c>
      <c r="J539" s="3" t="s">
        <v>223</v>
      </c>
      <c r="K539" s="3" t="s">
        <v>356</v>
      </c>
      <c r="L539" s="3" t="s">
        <v>3232</v>
      </c>
      <c r="M539" s="3" t="s">
        <v>1938</v>
      </c>
      <c r="N539" s="3" t="s">
        <v>79</v>
      </c>
      <c r="O539" s="3" t="s">
        <v>543</v>
      </c>
      <c r="P539" s="3" t="s">
        <v>4048</v>
      </c>
      <c r="Q539" s="3" t="s">
        <v>4049</v>
      </c>
      <c r="R539" s="3" t="s">
        <v>467</v>
      </c>
      <c r="S539" s="3" t="s">
        <v>247</v>
      </c>
      <c r="T539" s="3" t="s">
        <v>37</v>
      </c>
      <c r="U539" s="3" t="s">
        <v>38</v>
      </c>
      <c r="V539" s="3" t="s">
        <v>4050</v>
      </c>
      <c r="W539" s="3" t="s">
        <v>223</v>
      </c>
      <c r="X539" s="3" t="s">
        <v>41</v>
      </c>
      <c r="Y539" s="3" t="s">
        <v>4051</v>
      </c>
      <c r="Z539" s="3" t="s">
        <v>2212</v>
      </c>
      <c r="AA539" s="3" t="s">
        <v>63</v>
      </c>
      <c r="AB539" s="3" t="s">
        <v>100</v>
      </c>
      <c r="AC539" s="3" t="s">
        <v>4052</v>
      </c>
      <c r="AD539" s="14">
        <v>45870</v>
      </c>
      <c r="AE539" s="14">
        <v>46081</v>
      </c>
      <c r="AF539" s="3"/>
    </row>
    <row r="540" spans="1:32" ht="52.9" hidden="1">
      <c r="A540" s="3" t="s">
        <v>3228</v>
      </c>
      <c r="B540" s="3" t="s">
        <v>3229</v>
      </c>
      <c r="C540" s="3" t="s">
        <v>4053</v>
      </c>
      <c r="D540" s="3" t="s">
        <v>59</v>
      </c>
      <c r="E540" s="3" t="s">
        <v>36</v>
      </c>
      <c r="F540" s="3" t="s">
        <v>247</v>
      </c>
      <c r="G540" s="3" t="s">
        <v>37</v>
      </c>
      <c r="H540" s="3" t="s">
        <v>78</v>
      </c>
      <c r="I540" s="3" t="s">
        <v>3231</v>
      </c>
      <c r="J540" s="3" t="s">
        <v>223</v>
      </c>
      <c r="K540" s="3" t="s">
        <v>356</v>
      </c>
      <c r="L540" s="3" t="s">
        <v>3232</v>
      </c>
      <c r="M540" s="3" t="s">
        <v>1938</v>
      </c>
      <c r="N540" s="3" t="s">
        <v>79</v>
      </c>
      <c r="O540" s="3" t="s">
        <v>543</v>
      </c>
      <c r="P540" s="3" t="s">
        <v>4054</v>
      </c>
      <c r="Q540" s="3" t="s">
        <v>4055</v>
      </c>
      <c r="R540" s="3" t="s">
        <v>36</v>
      </c>
      <c r="S540" s="3" t="s">
        <v>254</v>
      </c>
      <c r="T540" s="3" t="s">
        <v>37</v>
      </c>
      <c r="U540" s="3" t="s">
        <v>49</v>
      </c>
      <c r="V540" s="3" t="s">
        <v>4056</v>
      </c>
      <c r="W540" s="3" t="s">
        <v>223</v>
      </c>
      <c r="X540" s="3" t="s">
        <v>41</v>
      </c>
      <c r="Y540" s="3" t="s">
        <v>4057</v>
      </c>
      <c r="Z540" s="3" t="s">
        <v>4058</v>
      </c>
      <c r="AA540" s="3" t="s">
        <v>53</v>
      </c>
      <c r="AB540" s="3" t="s">
        <v>54</v>
      </c>
      <c r="AC540" s="3" t="s">
        <v>4059</v>
      </c>
      <c r="AD540" s="14">
        <v>45854</v>
      </c>
      <c r="AE540" s="14">
        <v>46234</v>
      </c>
      <c r="AF540" s="3"/>
    </row>
    <row r="541" spans="1:32" ht="158.44999999999999" hidden="1">
      <c r="A541" s="3" t="s">
        <v>4060</v>
      </c>
      <c r="B541" s="3" t="s">
        <v>4061</v>
      </c>
      <c r="C541" s="3" t="s">
        <v>4062</v>
      </c>
      <c r="D541" s="3" t="s">
        <v>59</v>
      </c>
      <c r="E541" s="3" t="s">
        <v>36</v>
      </c>
      <c r="F541" s="3" t="s">
        <v>274</v>
      </c>
      <c r="G541" s="3" t="s">
        <v>37</v>
      </c>
      <c r="H541" s="3" t="s">
        <v>78</v>
      </c>
      <c r="I541" s="3" t="s">
        <v>4063</v>
      </c>
      <c r="J541" s="3" t="s">
        <v>223</v>
      </c>
      <c r="K541" s="3" t="s">
        <v>41</v>
      </c>
      <c r="L541" s="3" t="s">
        <v>4064</v>
      </c>
      <c r="M541" s="3" t="s">
        <v>1548</v>
      </c>
      <c r="N541" s="3" t="s">
        <v>281</v>
      </c>
      <c r="O541" s="3" t="s">
        <v>270</v>
      </c>
      <c r="P541" s="3" t="s">
        <v>4065</v>
      </c>
      <c r="Q541" s="3" t="s">
        <v>4066</v>
      </c>
      <c r="R541" s="3" t="s">
        <v>36</v>
      </c>
      <c r="S541" s="3" t="s">
        <v>221</v>
      </c>
      <c r="T541" s="3" t="s">
        <v>37</v>
      </c>
      <c r="U541" s="3" t="s">
        <v>73</v>
      </c>
      <c r="V541" s="3" t="s">
        <v>4067</v>
      </c>
      <c r="W541" s="3" t="s">
        <v>223</v>
      </c>
      <c r="X541" s="3" t="s">
        <v>41</v>
      </c>
      <c r="Y541" s="3" t="s">
        <v>4068</v>
      </c>
      <c r="Z541" s="3" t="s">
        <v>3305</v>
      </c>
      <c r="AA541" s="3" t="s">
        <v>63</v>
      </c>
      <c r="AB541" s="3" t="s">
        <v>54</v>
      </c>
      <c r="AC541" s="3" t="s">
        <v>4069</v>
      </c>
      <c r="AD541" s="14">
        <v>45684</v>
      </c>
      <c r="AE541" s="14"/>
      <c r="AF541" s="3"/>
    </row>
    <row r="542" spans="1:32" ht="66" hidden="1">
      <c r="A542" s="3" t="s">
        <v>1299</v>
      </c>
      <c r="B542" s="3" t="s">
        <v>1300</v>
      </c>
      <c r="C542" s="3" t="s">
        <v>4070</v>
      </c>
      <c r="D542" s="3" t="s">
        <v>59</v>
      </c>
      <c r="E542" s="3" t="s">
        <v>36</v>
      </c>
      <c r="F542" s="3" t="s">
        <v>247</v>
      </c>
      <c r="G542" s="3" t="s">
        <v>37</v>
      </c>
      <c r="H542" s="3" t="s">
        <v>38</v>
      </c>
      <c r="I542" s="3" t="s">
        <v>1301</v>
      </c>
      <c r="J542" s="3" t="s">
        <v>223</v>
      </c>
      <c r="K542" s="3" t="s">
        <v>41</v>
      </c>
      <c r="L542" s="3" t="s">
        <v>1302</v>
      </c>
      <c r="M542" s="3" t="s">
        <v>1303</v>
      </c>
      <c r="N542" s="3" t="s">
        <v>79</v>
      </c>
      <c r="O542" s="3" t="s">
        <v>752</v>
      </c>
      <c r="P542" s="3" t="s">
        <v>4071</v>
      </c>
      <c r="Q542" s="3" t="s">
        <v>4072</v>
      </c>
      <c r="R542" s="3" t="s">
        <v>467</v>
      </c>
      <c r="S542" s="3" t="s">
        <v>221</v>
      </c>
      <c r="T542" s="3" t="s">
        <v>82</v>
      </c>
      <c r="U542" s="3" t="s">
        <v>49</v>
      </c>
      <c r="V542" s="3" t="s">
        <v>4073</v>
      </c>
      <c r="W542" s="3" t="s">
        <v>223</v>
      </c>
      <c r="X542" s="3" t="s">
        <v>41</v>
      </c>
      <c r="Y542" s="3" t="s">
        <v>2654</v>
      </c>
      <c r="Z542" s="3" t="s">
        <v>2655</v>
      </c>
      <c r="AA542" s="3" t="s">
        <v>63</v>
      </c>
      <c r="AB542" s="3" t="s">
        <v>752</v>
      </c>
      <c r="AC542" s="3" t="s">
        <v>4074</v>
      </c>
      <c r="AD542" s="14">
        <v>45855</v>
      </c>
      <c r="AE542" s="14">
        <v>45967</v>
      </c>
      <c r="AF542" s="3"/>
    </row>
    <row r="543" spans="1:32" ht="39.6" hidden="1">
      <c r="A543" s="3" t="s">
        <v>2585</v>
      </c>
      <c r="B543" s="3" t="s">
        <v>2586</v>
      </c>
      <c r="C543" s="3"/>
      <c r="D543" s="3" t="s">
        <v>59</v>
      </c>
      <c r="E543" s="3" t="s">
        <v>36</v>
      </c>
      <c r="F543" s="3" t="s">
        <v>221</v>
      </c>
      <c r="G543" s="3" t="s">
        <v>37</v>
      </c>
      <c r="H543" s="3" t="s">
        <v>49</v>
      </c>
      <c r="I543" s="3" t="s">
        <v>2588</v>
      </c>
      <c r="J543" s="3" t="s">
        <v>223</v>
      </c>
      <c r="K543" s="3" t="s">
        <v>780</v>
      </c>
      <c r="L543" s="3" t="s">
        <v>2589</v>
      </c>
      <c r="M543" s="3" t="s">
        <v>2590</v>
      </c>
      <c r="N543" s="3" t="s">
        <v>79</v>
      </c>
      <c r="O543" s="3" t="s">
        <v>295</v>
      </c>
      <c r="P543" s="3" t="s">
        <v>4075</v>
      </c>
      <c r="Q543" s="3" t="s">
        <v>4076</v>
      </c>
      <c r="R543" s="3" t="s">
        <v>36</v>
      </c>
      <c r="S543" s="3" t="s">
        <v>221</v>
      </c>
      <c r="T543" s="3" t="s">
        <v>37</v>
      </c>
      <c r="U543" s="3" t="s">
        <v>49</v>
      </c>
      <c r="V543" s="3" t="s">
        <v>4077</v>
      </c>
      <c r="W543" s="3" t="s">
        <v>223</v>
      </c>
      <c r="X543" s="3" t="s">
        <v>780</v>
      </c>
      <c r="Y543" s="3" t="s">
        <v>4078</v>
      </c>
      <c r="Z543" s="3" t="s">
        <v>4079</v>
      </c>
      <c r="AA543" s="3" t="s">
        <v>53</v>
      </c>
      <c r="AB543" s="3" t="s">
        <v>270</v>
      </c>
      <c r="AC543" s="3" t="s">
        <v>4080</v>
      </c>
      <c r="AD543" s="14">
        <v>45863</v>
      </c>
      <c r="AE543" s="14">
        <v>46022</v>
      </c>
      <c r="AF543" s="3"/>
    </row>
    <row r="544" spans="1:32" ht="39.6" hidden="1">
      <c r="A544" s="3" t="s">
        <v>4081</v>
      </c>
      <c r="B544" s="3" t="s">
        <v>4082</v>
      </c>
      <c r="C544" s="3" t="s">
        <v>4083</v>
      </c>
      <c r="D544" s="3" t="s">
        <v>35</v>
      </c>
      <c r="E544" s="3" t="s">
        <v>36</v>
      </c>
      <c r="F544" s="3" t="s">
        <v>274</v>
      </c>
      <c r="G544" s="3" t="s">
        <v>37</v>
      </c>
      <c r="H544" s="3" t="s">
        <v>38</v>
      </c>
      <c r="I544" s="3" t="s">
        <v>4084</v>
      </c>
      <c r="J544" s="3" t="s">
        <v>223</v>
      </c>
      <c r="K544" s="3" t="s">
        <v>356</v>
      </c>
      <c r="L544" s="3" t="s">
        <v>4085</v>
      </c>
      <c r="M544" s="3" t="s">
        <v>4086</v>
      </c>
      <c r="N544" s="3" t="s">
        <v>79</v>
      </c>
      <c r="O544" s="3" t="s">
        <v>308</v>
      </c>
      <c r="P544" s="3" t="s">
        <v>4087</v>
      </c>
      <c r="Q544" s="3" t="s">
        <v>4088</v>
      </c>
      <c r="R544" s="3" t="s">
        <v>36</v>
      </c>
      <c r="S544" s="3" t="s">
        <v>221</v>
      </c>
      <c r="T544" s="3" t="s">
        <v>82</v>
      </c>
      <c r="U544" s="3" t="s">
        <v>49</v>
      </c>
      <c r="V544" s="3" t="s">
        <v>4089</v>
      </c>
      <c r="W544" s="3" t="s">
        <v>223</v>
      </c>
      <c r="X544" s="3" t="s">
        <v>41</v>
      </c>
      <c r="Y544" s="3" t="s">
        <v>4090</v>
      </c>
      <c r="Z544" s="3" t="s">
        <v>1000</v>
      </c>
      <c r="AA544" s="3" t="s">
        <v>63</v>
      </c>
      <c r="AB544" s="3" t="s">
        <v>308</v>
      </c>
      <c r="AC544" s="3" t="s">
        <v>4091</v>
      </c>
      <c r="AD544" s="14">
        <v>45866</v>
      </c>
      <c r="AE544" s="14">
        <v>46387</v>
      </c>
      <c r="AF544" s="3"/>
    </row>
    <row r="545" spans="1:32" ht="66" hidden="1">
      <c r="A545" s="3" t="s">
        <v>3477</v>
      </c>
      <c r="B545" s="3" t="s">
        <v>3478</v>
      </c>
      <c r="C545" s="3" t="s">
        <v>4092</v>
      </c>
      <c r="D545" s="3" t="s">
        <v>348</v>
      </c>
      <c r="E545" s="3" t="s">
        <v>36</v>
      </c>
      <c r="F545" s="3" t="s">
        <v>221</v>
      </c>
      <c r="G545" s="3" t="s">
        <v>82</v>
      </c>
      <c r="H545" s="3" t="s">
        <v>49</v>
      </c>
      <c r="I545" s="3" t="s">
        <v>3480</v>
      </c>
      <c r="J545" s="3" t="s">
        <v>223</v>
      </c>
      <c r="K545" s="3" t="s">
        <v>41</v>
      </c>
      <c r="L545" s="3" t="s">
        <v>3481</v>
      </c>
      <c r="M545" s="3" t="s">
        <v>692</v>
      </c>
      <c r="N545" s="3" t="s">
        <v>281</v>
      </c>
      <c r="O545" s="3" t="s">
        <v>658</v>
      </c>
      <c r="P545" s="3" t="s">
        <v>4093</v>
      </c>
      <c r="Q545" s="3" t="s">
        <v>4094</v>
      </c>
      <c r="R545" s="3"/>
      <c r="S545" s="3" t="s">
        <v>221</v>
      </c>
      <c r="T545" s="3" t="s">
        <v>37</v>
      </c>
      <c r="U545" s="3" t="s">
        <v>73</v>
      </c>
      <c r="V545" s="3"/>
      <c r="W545" s="3" t="s">
        <v>223</v>
      </c>
      <c r="X545" s="3"/>
      <c r="Y545" s="3"/>
      <c r="Z545" s="3"/>
      <c r="AA545" s="3" t="s">
        <v>285</v>
      </c>
      <c r="AB545" s="3"/>
      <c r="AC545" s="3" t="s">
        <v>4095</v>
      </c>
      <c r="AD545" s="14">
        <v>45866</v>
      </c>
      <c r="AE545" s="14">
        <v>46006</v>
      </c>
      <c r="AF545" s="3"/>
    </row>
    <row r="546" spans="1:32" ht="52.9" hidden="1">
      <c r="A546" s="3" t="s">
        <v>3477</v>
      </c>
      <c r="B546" s="3" t="s">
        <v>3478</v>
      </c>
      <c r="C546" s="3" t="s">
        <v>4096</v>
      </c>
      <c r="D546" s="3" t="s">
        <v>59</v>
      </c>
      <c r="E546" s="3" t="s">
        <v>36</v>
      </c>
      <c r="F546" s="3" t="s">
        <v>221</v>
      </c>
      <c r="G546" s="3" t="s">
        <v>82</v>
      </c>
      <c r="H546" s="3" t="s">
        <v>49</v>
      </c>
      <c r="I546" s="3" t="s">
        <v>3480</v>
      </c>
      <c r="J546" s="3" t="s">
        <v>223</v>
      </c>
      <c r="K546" s="3" t="s">
        <v>41</v>
      </c>
      <c r="L546" s="3" t="s">
        <v>3481</v>
      </c>
      <c r="M546" s="3" t="s">
        <v>692</v>
      </c>
      <c r="N546" s="3" t="s">
        <v>281</v>
      </c>
      <c r="O546" s="3" t="s">
        <v>658</v>
      </c>
      <c r="P546" s="3" t="s">
        <v>4097</v>
      </c>
      <c r="Q546" s="3" t="s">
        <v>4098</v>
      </c>
      <c r="R546" s="3" t="s">
        <v>36</v>
      </c>
      <c r="S546" s="3" t="s">
        <v>221</v>
      </c>
      <c r="T546" s="3" t="s">
        <v>82</v>
      </c>
      <c r="U546" s="3" t="s">
        <v>73</v>
      </c>
      <c r="V546" s="3" t="s">
        <v>4099</v>
      </c>
      <c r="W546" s="3" t="s">
        <v>223</v>
      </c>
      <c r="X546" s="3" t="s">
        <v>41</v>
      </c>
      <c r="Y546" s="3" t="s">
        <v>1946</v>
      </c>
      <c r="Z546" s="3" t="s">
        <v>692</v>
      </c>
      <c r="AA546" s="3" t="s">
        <v>63</v>
      </c>
      <c r="AB546" s="3" t="s">
        <v>658</v>
      </c>
      <c r="AC546" s="3" t="s">
        <v>4100</v>
      </c>
      <c r="AD546" s="14">
        <v>45866</v>
      </c>
      <c r="AE546" s="14">
        <v>46660</v>
      </c>
      <c r="AF546" s="3"/>
    </row>
    <row r="547" spans="1:32" ht="52.9" hidden="1">
      <c r="A547" s="3" t="s">
        <v>2507</v>
      </c>
      <c r="B547" s="3" t="s">
        <v>2508</v>
      </c>
      <c r="C547" s="3" t="s">
        <v>4101</v>
      </c>
      <c r="D547" s="3" t="s">
        <v>132</v>
      </c>
      <c r="E547" s="3" t="s">
        <v>36</v>
      </c>
      <c r="F547" s="3" t="s">
        <v>247</v>
      </c>
      <c r="G547" s="3" t="s">
        <v>37</v>
      </c>
      <c r="H547" s="3" t="s">
        <v>78</v>
      </c>
      <c r="I547" s="3" t="s">
        <v>2510</v>
      </c>
      <c r="J547" s="3" t="s">
        <v>223</v>
      </c>
      <c r="K547" s="3" t="s">
        <v>41</v>
      </c>
      <c r="L547" s="3" t="s">
        <v>2511</v>
      </c>
      <c r="M547" s="3" t="s">
        <v>2323</v>
      </c>
      <c r="N547" s="3" t="s">
        <v>123</v>
      </c>
      <c r="O547" s="3" t="s">
        <v>699</v>
      </c>
      <c r="P547" s="3" t="s">
        <v>227</v>
      </c>
      <c r="Q547" s="3" t="s">
        <v>228</v>
      </c>
      <c r="R547" s="3" t="s">
        <v>36</v>
      </c>
      <c r="S547" s="3" t="s">
        <v>221</v>
      </c>
      <c r="T547" s="3" t="s">
        <v>82</v>
      </c>
      <c r="U547" s="3" t="s">
        <v>49</v>
      </c>
      <c r="V547" s="3" t="s">
        <v>229</v>
      </c>
      <c r="W547" s="3" t="s">
        <v>223</v>
      </c>
      <c r="X547" s="3" t="s">
        <v>41</v>
      </c>
      <c r="Y547" s="3" t="s">
        <v>230</v>
      </c>
      <c r="Z547" s="3" t="s">
        <v>231</v>
      </c>
      <c r="AA547" s="3" t="s">
        <v>79</v>
      </c>
      <c r="AB547" s="3" t="s">
        <v>100</v>
      </c>
      <c r="AC547" s="3" t="s">
        <v>4102</v>
      </c>
      <c r="AD547" s="14">
        <v>45888</v>
      </c>
      <c r="AE547" s="14">
        <v>46022</v>
      </c>
      <c r="AF547" s="3"/>
    </row>
    <row r="548" spans="1:32" ht="52.9" hidden="1">
      <c r="A548" s="3" t="s">
        <v>259</v>
      </c>
      <c r="B548" s="3" t="s">
        <v>260</v>
      </c>
      <c r="C548" s="3" t="s">
        <v>4103</v>
      </c>
      <c r="D548" s="3" t="s">
        <v>59</v>
      </c>
      <c r="E548" s="3" t="s">
        <v>36</v>
      </c>
      <c r="F548" s="3" t="s">
        <v>254</v>
      </c>
      <c r="G548" s="3" t="s">
        <v>37</v>
      </c>
      <c r="H548" s="3" t="s">
        <v>78</v>
      </c>
      <c r="I548" s="3" t="s">
        <v>262</v>
      </c>
      <c r="J548" s="3" t="s">
        <v>223</v>
      </c>
      <c r="K548" s="3" t="s">
        <v>41</v>
      </c>
      <c r="L548" s="3" t="s">
        <v>263</v>
      </c>
      <c r="M548" s="3" t="s">
        <v>264</v>
      </c>
      <c r="N548" s="3" t="s">
        <v>79</v>
      </c>
      <c r="O548" s="3" t="s">
        <v>94</v>
      </c>
      <c r="P548" s="3" t="s">
        <v>4104</v>
      </c>
      <c r="Q548" s="3" t="s">
        <v>4105</v>
      </c>
      <c r="R548" s="3" t="s">
        <v>36</v>
      </c>
      <c r="S548" s="3" t="s">
        <v>221</v>
      </c>
      <c r="T548" s="3" t="s">
        <v>37</v>
      </c>
      <c r="U548" s="3" t="s">
        <v>49</v>
      </c>
      <c r="V548" s="3" t="s">
        <v>4106</v>
      </c>
      <c r="W548" s="3" t="s">
        <v>223</v>
      </c>
      <c r="X548" s="3" t="s">
        <v>41</v>
      </c>
      <c r="Y548" s="3" t="s">
        <v>2304</v>
      </c>
      <c r="Z548" s="3" t="s">
        <v>4107</v>
      </c>
      <c r="AA548" s="3" t="s">
        <v>53</v>
      </c>
      <c r="AB548" s="3" t="s">
        <v>270</v>
      </c>
      <c r="AC548" s="3" t="s">
        <v>4108</v>
      </c>
      <c r="AD548" s="14">
        <v>45869</v>
      </c>
      <c r="AE548" s="14">
        <v>46234</v>
      </c>
      <c r="AF548" s="3"/>
    </row>
    <row r="549" spans="1:32" ht="52.9" hidden="1">
      <c r="A549" s="3" t="s">
        <v>2585</v>
      </c>
      <c r="B549" s="3" t="s">
        <v>2586</v>
      </c>
      <c r="C549" s="3" t="s">
        <v>4109</v>
      </c>
      <c r="D549" s="3" t="s">
        <v>59</v>
      </c>
      <c r="E549" s="3" t="s">
        <v>36</v>
      </c>
      <c r="F549" s="3" t="s">
        <v>221</v>
      </c>
      <c r="G549" s="3" t="s">
        <v>37</v>
      </c>
      <c r="H549" s="3" t="s">
        <v>49</v>
      </c>
      <c r="I549" s="3" t="s">
        <v>2588</v>
      </c>
      <c r="J549" s="3" t="s">
        <v>223</v>
      </c>
      <c r="K549" s="3" t="s">
        <v>780</v>
      </c>
      <c r="L549" s="3" t="s">
        <v>2589</v>
      </c>
      <c r="M549" s="3" t="s">
        <v>2590</v>
      </c>
      <c r="N549" s="3" t="s">
        <v>79</v>
      </c>
      <c r="O549" s="3" t="s">
        <v>295</v>
      </c>
      <c r="P549" s="3" t="s">
        <v>4110</v>
      </c>
      <c r="Q549" s="3" t="s">
        <v>4111</v>
      </c>
      <c r="R549" s="3" t="s">
        <v>4112</v>
      </c>
      <c r="S549" s="3" t="s">
        <v>221</v>
      </c>
      <c r="T549" s="3" t="s">
        <v>37</v>
      </c>
      <c r="U549" s="3" t="s">
        <v>73</v>
      </c>
      <c r="V549" s="3" t="s">
        <v>4113</v>
      </c>
      <c r="W549" s="3" t="s">
        <v>223</v>
      </c>
      <c r="X549" s="3" t="s">
        <v>780</v>
      </c>
      <c r="Y549" s="3" t="s">
        <v>4114</v>
      </c>
      <c r="Z549" s="3" t="s">
        <v>4115</v>
      </c>
      <c r="AA549" s="3" t="s">
        <v>69</v>
      </c>
      <c r="AB549" s="3" t="s">
        <v>3628</v>
      </c>
      <c r="AC549" s="3" t="s">
        <v>4116</v>
      </c>
      <c r="AD549" s="14">
        <v>45901</v>
      </c>
      <c r="AE549" s="14">
        <v>46142</v>
      </c>
      <c r="AF549" s="3"/>
    </row>
    <row r="550" spans="1:32" ht="409.6" hidden="1">
      <c r="A550" s="3" t="s">
        <v>259</v>
      </c>
      <c r="B550" s="3" t="s">
        <v>260</v>
      </c>
      <c r="C550" s="3" t="s">
        <v>4117</v>
      </c>
      <c r="D550" s="3" t="s">
        <v>59</v>
      </c>
      <c r="E550" s="3" t="s">
        <v>36</v>
      </c>
      <c r="F550" s="3" t="s">
        <v>254</v>
      </c>
      <c r="G550" s="3" t="s">
        <v>37</v>
      </c>
      <c r="H550" s="3" t="s">
        <v>78</v>
      </c>
      <c r="I550" s="3" t="s">
        <v>262</v>
      </c>
      <c r="J550" s="3" t="s">
        <v>223</v>
      </c>
      <c r="K550" s="3" t="s">
        <v>41</v>
      </c>
      <c r="L550" s="3" t="s">
        <v>263</v>
      </c>
      <c r="M550" s="3" t="s">
        <v>264</v>
      </c>
      <c r="N550" s="3" t="s">
        <v>79</v>
      </c>
      <c r="O550" s="3" t="s">
        <v>94</v>
      </c>
      <c r="P550" s="3" t="s">
        <v>4118</v>
      </c>
      <c r="Q550" s="3" t="s">
        <v>4119</v>
      </c>
      <c r="R550" s="3" t="s">
        <v>36</v>
      </c>
      <c r="S550" s="3" t="s">
        <v>221</v>
      </c>
      <c r="T550" s="3" t="s">
        <v>37</v>
      </c>
      <c r="U550" s="3" t="s">
        <v>73</v>
      </c>
      <c r="V550" s="3" t="s">
        <v>4120</v>
      </c>
      <c r="W550" s="3" t="s">
        <v>223</v>
      </c>
      <c r="X550" s="3" t="s">
        <v>41</v>
      </c>
      <c r="Y550" s="3" t="s">
        <v>4121</v>
      </c>
      <c r="Z550" s="3" t="s">
        <v>4122</v>
      </c>
      <c r="AA550" s="3" t="s">
        <v>79</v>
      </c>
      <c r="AB550" s="3" t="s">
        <v>54</v>
      </c>
      <c r="AC550" s="3" t="s">
        <v>4123</v>
      </c>
      <c r="AD550" s="14">
        <v>45474</v>
      </c>
      <c r="AE550" s="14">
        <v>45626</v>
      </c>
      <c r="AF550" s="3"/>
    </row>
    <row r="551" spans="1:32" ht="356.45" hidden="1">
      <c r="A551" s="3" t="s">
        <v>4124</v>
      </c>
      <c r="B551" s="3" t="s">
        <v>4125</v>
      </c>
      <c r="C551" s="3" t="s">
        <v>4126</v>
      </c>
      <c r="D551" s="3" t="s">
        <v>59</v>
      </c>
      <c r="E551" s="3" t="s">
        <v>36</v>
      </c>
      <c r="F551" s="3" t="s">
        <v>247</v>
      </c>
      <c r="G551" s="3" t="s">
        <v>37</v>
      </c>
      <c r="H551" s="3" t="s">
        <v>38</v>
      </c>
      <c r="I551" s="3" t="s">
        <v>4127</v>
      </c>
      <c r="J551" s="3" t="s">
        <v>223</v>
      </c>
      <c r="K551" s="3" t="s">
        <v>780</v>
      </c>
      <c r="L551" s="3" t="s">
        <v>4128</v>
      </c>
      <c r="M551" s="3" t="s">
        <v>4129</v>
      </c>
      <c r="N551" s="3" t="s">
        <v>123</v>
      </c>
      <c r="O551" s="3" t="s">
        <v>308</v>
      </c>
      <c r="P551" s="3" t="s">
        <v>4130</v>
      </c>
      <c r="Q551" s="3" t="s">
        <v>4131</v>
      </c>
      <c r="R551" s="3" t="s">
        <v>36</v>
      </c>
      <c r="S551" s="3" t="s">
        <v>221</v>
      </c>
      <c r="T551" s="3" t="s">
        <v>37</v>
      </c>
      <c r="U551" s="3" t="s">
        <v>73</v>
      </c>
      <c r="V551" s="3" t="s">
        <v>4132</v>
      </c>
      <c r="W551" s="3" t="s">
        <v>223</v>
      </c>
      <c r="X551" s="3" t="s">
        <v>780</v>
      </c>
      <c r="Y551" s="3" t="s">
        <v>4133</v>
      </c>
      <c r="Z551" s="3" t="s">
        <v>796</v>
      </c>
      <c r="AA551" s="3" t="s">
        <v>69</v>
      </c>
      <c r="AB551" s="3" t="s">
        <v>699</v>
      </c>
      <c r="AC551" s="3" t="s">
        <v>4134</v>
      </c>
      <c r="AD551" s="14">
        <v>45880</v>
      </c>
      <c r="AE551" s="14"/>
      <c r="AF551" s="3"/>
    </row>
    <row r="552" spans="1:32" ht="118.9" hidden="1">
      <c r="A552" s="3" t="s">
        <v>1002</v>
      </c>
      <c r="B552" s="3" t="s">
        <v>1003</v>
      </c>
      <c r="C552" s="3" t="s">
        <v>4135</v>
      </c>
      <c r="D552" s="3" t="s">
        <v>59</v>
      </c>
      <c r="E552" s="3" t="s">
        <v>36</v>
      </c>
      <c r="F552" s="3" t="s">
        <v>221</v>
      </c>
      <c r="G552" s="3" t="s">
        <v>37</v>
      </c>
      <c r="H552" s="3" t="s">
        <v>49</v>
      </c>
      <c r="I552" s="3" t="s">
        <v>1005</v>
      </c>
      <c r="J552" s="3" t="s">
        <v>223</v>
      </c>
      <c r="K552" s="3" t="s">
        <v>356</v>
      </c>
      <c r="L552" s="3" t="s">
        <v>1006</v>
      </c>
      <c r="M552" s="3" t="s">
        <v>1007</v>
      </c>
      <c r="N552" s="3" t="s">
        <v>53</v>
      </c>
      <c r="O552" s="3" t="s">
        <v>240</v>
      </c>
      <c r="P552" s="3" t="s">
        <v>4136</v>
      </c>
      <c r="Q552" s="3" t="s">
        <v>4137</v>
      </c>
      <c r="R552" s="3" t="s">
        <v>36</v>
      </c>
      <c r="S552" s="3" t="s">
        <v>221</v>
      </c>
      <c r="T552" s="3" t="s">
        <v>82</v>
      </c>
      <c r="U552" s="3" t="s">
        <v>49</v>
      </c>
      <c r="V552" s="3" t="s">
        <v>4011</v>
      </c>
      <c r="W552" s="3" t="s">
        <v>223</v>
      </c>
      <c r="X552" s="3" t="s">
        <v>41</v>
      </c>
      <c r="Y552" s="3" t="s">
        <v>4012</v>
      </c>
      <c r="Z552" s="3" t="s">
        <v>307</v>
      </c>
      <c r="AA552" s="3" t="s">
        <v>285</v>
      </c>
      <c r="AB552" s="3" t="s">
        <v>308</v>
      </c>
      <c r="AC552" s="3" t="s">
        <v>4138</v>
      </c>
      <c r="AD552" s="14">
        <v>45901</v>
      </c>
      <c r="AE552" s="14">
        <v>46203</v>
      </c>
      <c r="AF552" s="3"/>
    </row>
    <row r="553" spans="1:32" ht="39.6" hidden="1">
      <c r="A553" s="3" t="s">
        <v>3346</v>
      </c>
      <c r="B553" s="3" t="s">
        <v>3347</v>
      </c>
      <c r="C553" s="3"/>
      <c r="D553" s="3" t="s">
        <v>59</v>
      </c>
      <c r="E553" s="3" t="s">
        <v>36</v>
      </c>
      <c r="F553" s="3" t="s">
        <v>254</v>
      </c>
      <c r="G553" s="3" t="s">
        <v>82</v>
      </c>
      <c r="H553" s="3" t="s">
        <v>49</v>
      </c>
      <c r="I553" s="3" t="s">
        <v>3349</v>
      </c>
      <c r="J553" s="3" t="s">
        <v>223</v>
      </c>
      <c r="K553" s="3" t="s">
        <v>41</v>
      </c>
      <c r="L553" s="3" t="s">
        <v>3181</v>
      </c>
      <c r="M553" s="3" t="s">
        <v>3350</v>
      </c>
      <c r="N553" s="3" t="s">
        <v>53</v>
      </c>
      <c r="O553" s="3" t="s">
        <v>270</v>
      </c>
      <c r="P553" s="3" t="s">
        <v>4139</v>
      </c>
      <c r="Q553" s="3" t="s">
        <v>4140</v>
      </c>
      <c r="R553" s="3" t="s">
        <v>36</v>
      </c>
      <c r="S553" s="3" t="s">
        <v>221</v>
      </c>
      <c r="T553" s="3" t="s">
        <v>82</v>
      </c>
      <c r="U553" s="3" t="s">
        <v>49</v>
      </c>
      <c r="V553" s="3" t="s">
        <v>4141</v>
      </c>
      <c r="W553" s="3" t="s">
        <v>223</v>
      </c>
      <c r="X553" s="3" t="s">
        <v>41</v>
      </c>
      <c r="Y553" s="3" t="s">
        <v>3181</v>
      </c>
      <c r="Z553" s="3" t="s">
        <v>692</v>
      </c>
      <c r="AA553" s="3" t="s">
        <v>285</v>
      </c>
      <c r="AB553" s="3" t="s">
        <v>658</v>
      </c>
      <c r="AC553" s="3" t="s">
        <v>4142</v>
      </c>
      <c r="AD553" s="14">
        <v>45597</v>
      </c>
      <c r="AE553" s="14"/>
      <c r="AF553" s="3"/>
    </row>
    <row r="554" spans="1:32" ht="39.6" hidden="1">
      <c r="A554" s="3" t="s">
        <v>4143</v>
      </c>
      <c r="B554" s="3" t="s">
        <v>4144</v>
      </c>
      <c r="C554" s="3" t="s">
        <v>4145</v>
      </c>
      <c r="D554" s="3" t="s">
        <v>348</v>
      </c>
      <c r="E554" s="3" t="s">
        <v>36</v>
      </c>
      <c r="F554" s="3" t="s">
        <v>221</v>
      </c>
      <c r="G554" s="3" t="s">
        <v>82</v>
      </c>
      <c r="H554" s="3" t="s">
        <v>49</v>
      </c>
      <c r="I554" s="3" t="s">
        <v>4146</v>
      </c>
      <c r="J554" s="3" t="s">
        <v>223</v>
      </c>
      <c r="K554" s="3" t="s">
        <v>41</v>
      </c>
      <c r="L554" s="3" t="s">
        <v>3446</v>
      </c>
      <c r="M554" s="3" t="s">
        <v>556</v>
      </c>
      <c r="N554" s="3" t="s">
        <v>79</v>
      </c>
      <c r="O554" s="3" t="s">
        <v>557</v>
      </c>
      <c r="P554" s="3" t="s">
        <v>4147</v>
      </c>
      <c r="Q554" s="3" t="s">
        <v>4148</v>
      </c>
      <c r="R554" s="3" t="s">
        <v>36</v>
      </c>
      <c r="S554" s="3" t="s">
        <v>221</v>
      </c>
      <c r="T554" s="3" t="s">
        <v>82</v>
      </c>
      <c r="U554" s="3" t="s">
        <v>49</v>
      </c>
      <c r="V554" s="3" t="s">
        <v>4149</v>
      </c>
      <c r="W554" s="3" t="s">
        <v>223</v>
      </c>
      <c r="X554" s="3" t="s">
        <v>41</v>
      </c>
      <c r="Y554" s="3" t="s">
        <v>4150</v>
      </c>
      <c r="Z554" s="3" t="s">
        <v>3615</v>
      </c>
      <c r="AA554" s="3" t="s">
        <v>79</v>
      </c>
      <c r="AB554" s="3" t="s">
        <v>1741</v>
      </c>
      <c r="AC554" s="3" t="s">
        <v>4151</v>
      </c>
      <c r="AD554" s="14">
        <v>45870</v>
      </c>
      <c r="AE554" s="14">
        <v>45930</v>
      </c>
      <c r="AF554" s="3"/>
    </row>
    <row r="555" spans="1:32" ht="39.6" hidden="1">
      <c r="A555" s="3" t="s">
        <v>3228</v>
      </c>
      <c r="B555" s="3" t="s">
        <v>3229</v>
      </c>
      <c r="C555" s="3"/>
      <c r="D555" s="3" t="s">
        <v>59</v>
      </c>
      <c r="E555" s="3" t="s">
        <v>36</v>
      </c>
      <c r="F555" s="3" t="s">
        <v>247</v>
      </c>
      <c r="G555" s="3" t="s">
        <v>37</v>
      </c>
      <c r="H555" s="3" t="s">
        <v>78</v>
      </c>
      <c r="I555" s="3" t="s">
        <v>3231</v>
      </c>
      <c r="J555" s="3" t="s">
        <v>223</v>
      </c>
      <c r="K555" s="3" t="s">
        <v>356</v>
      </c>
      <c r="L555" s="3" t="s">
        <v>3232</v>
      </c>
      <c r="M555" s="3" t="s">
        <v>1938</v>
      </c>
      <c r="N555" s="3" t="s">
        <v>79</v>
      </c>
      <c r="O555" s="3" t="s">
        <v>543</v>
      </c>
      <c r="P555" s="3" t="s">
        <v>4152</v>
      </c>
      <c r="Q555" s="3" t="s">
        <v>4153</v>
      </c>
      <c r="R555" s="3" t="s">
        <v>36</v>
      </c>
      <c r="S555" s="3" t="s">
        <v>254</v>
      </c>
      <c r="T555" s="3" t="s">
        <v>37</v>
      </c>
      <c r="U555" s="3" t="s">
        <v>49</v>
      </c>
      <c r="V555" s="3" t="s">
        <v>4154</v>
      </c>
      <c r="W555" s="3" t="s">
        <v>223</v>
      </c>
      <c r="X555" s="3" t="s">
        <v>780</v>
      </c>
      <c r="Y555" s="3" t="s">
        <v>4155</v>
      </c>
      <c r="Z555" s="3" t="s">
        <v>3814</v>
      </c>
      <c r="AA555" s="3" t="s">
        <v>285</v>
      </c>
      <c r="AB555" s="3" t="s">
        <v>201</v>
      </c>
      <c r="AC555" s="3" t="s">
        <v>4156</v>
      </c>
      <c r="AD555" s="14">
        <v>45876</v>
      </c>
      <c r="AE555" s="14"/>
      <c r="AF555" s="3"/>
    </row>
    <row r="556" spans="1:32" ht="158.44999999999999" hidden="1">
      <c r="A556" s="3" t="s">
        <v>2348</v>
      </c>
      <c r="B556" s="3" t="s">
        <v>2349</v>
      </c>
      <c r="C556" s="3" t="s">
        <v>3997</v>
      </c>
      <c r="D556" s="3" t="s">
        <v>59</v>
      </c>
      <c r="E556" s="3" t="s">
        <v>36</v>
      </c>
      <c r="F556" s="3" t="s">
        <v>221</v>
      </c>
      <c r="G556" s="3" t="s">
        <v>37</v>
      </c>
      <c r="H556" s="3" t="s">
        <v>38</v>
      </c>
      <c r="I556" s="3" t="s">
        <v>2351</v>
      </c>
      <c r="J556" s="3" t="s">
        <v>223</v>
      </c>
      <c r="K556" s="3" t="s">
        <v>780</v>
      </c>
      <c r="L556" s="3" t="s">
        <v>2352</v>
      </c>
      <c r="M556" s="3" t="s">
        <v>2353</v>
      </c>
      <c r="N556" s="3" t="s">
        <v>44</v>
      </c>
      <c r="O556" s="3" t="s">
        <v>2354</v>
      </c>
      <c r="P556" s="3" t="s">
        <v>3998</v>
      </c>
      <c r="Q556" s="3" t="s">
        <v>3999</v>
      </c>
      <c r="R556" s="3" t="s">
        <v>36</v>
      </c>
      <c r="S556" s="3" t="s">
        <v>3336</v>
      </c>
      <c r="T556" s="3" t="s">
        <v>37</v>
      </c>
      <c r="U556" s="3" t="s">
        <v>73</v>
      </c>
      <c r="V556" s="3" t="s">
        <v>4000</v>
      </c>
      <c r="W556" s="3" t="s">
        <v>3337</v>
      </c>
      <c r="X556" s="3" t="s">
        <v>41</v>
      </c>
      <c r="Y556" s="3" t="s">
        <v>4001</v>
      </c>
      <c r="Z556" s="3" t="s">
        <v>4002</v>
      </c>
      <c r="AA556" s="3" t="s">
        <v>69</v>
      </c>
      <c r="AB556" s="3" t="s">
        <v>270</v>
      </c>
      <c r="AC556" s="3" t="s">
        <v>4157</v>
      </c>
      <c r="AD556" s="14">
        <v>45841</v>
      </c>
      <c r="AE556" s="14">
        <v>45870</v>
      </c>
      <c r="AF556" s="3"/>
    </row>
    <row r="557" spans="1:32" ht="145.15" hidden="1">
      <c r="A557" s="3" t="s">
        <v>501</v>
      </c>
      <c r="B557" s="3" t="s">
        <v>502</v>
      </c>
      <c r="C557" s="3" t="s">
        <v>4158</v>
      </c>
      <c r="D557" s="3" t="s">
        <v>59</v>
      </c>
      <c r="E557" s="3" t="s">
        <v>36</v>
      </c>
      <c r="F557" s="3" t="s">
        <v>274</v>
      </c>
      <c r="G557" s="3" t="s">
        <v>37</v>
      </c>
      <c r="H557" s="3" t="s">
        <v>78</v>
      </c>
      <c r="I557" s="3" t="s">
        <v>503</v>
      </c>
      <c r="J557" s="3" t="s">
        <v>223</v>
      </c>
      <c r="K557" s="3" t="s">
        <v>41</v>
      </c>
      <c r="L557" s="3" t="s">
        <v>504</v>
      </c>
      <c r="M557" s="3" t="s">
        <v>505</v>
      </c>
      <c r="N557" s="3" t="s">
        <v>53</v>
      </c>
      <c r="O557" s="3" t="s">
        <v>506</v>
      </c>
      <c r="P557" s="3" t="s">
        <v>4159</v>
      </c>
      <c r="Q557" s="3" t="s">
        <v>4160</v>
      </c>
      <c r="R557" s="3" t="s">
        <v>36</v>
      </c>
      <c r="S557" s="3" t="s">
        <v>221</v>
      </c>
      <c r="T557" s="3" t="s">
        <v>37</v>
      </c>
      <c r="U557" s="3" t="s">
        <v>38</v>
      </c>
      <c r="V557" s="3" t="s">
        <v>4161</v>
      </c>
      <c r="W557" s="3" t="s">
        <v>223</v>
      </c>
      <c r="X557" s="3" t="s">
        <v>41</v>
      </c>
      <c r="Y557" s="3" t="s">
        <v>4162</v>
      </c>
      <c r="Z557" s="3" t="s">
        <v>556</v>
      </c>
      <c r="AA557" s="3" t="s">
        <v>79</v>
      </c>
      <c r="AB557" s="3" t="s">
        <v>557</v>
      </c>
      <c r="AC557" s="3" t="s">
        <v>4163</v>
      </c>
      <c r="AD557" s="14">
        <v>45901</v>
      </c>
      <c r="AE557" s="14"/>
      <c r="AF557" s="3"/>
    </row>
    <row r="558" spans="1:32" ht="409.6" hidden="1">
      <c r="A558" s="3" t="s">
        <v>501</v>
      </c>
      <c r="B558" s="3" t="s">
        <v>502</v>
      </c>
      <c r="C558" s="3" t="s">
        <v>4164</v>
      </c>
      <c r="D558" s="3" t="s">
        <v>59</v>
      </c>
      <c r="E558" s="3" t="s">
        <v>36</v>
      </c>
      <c r="F558" s="3" t="s">
        <v>274</v>
      </c>
      <c r="G558" s="3" t="s">
        <v>37</v>
      </c>
      <c r="H558" s="3" t="s">
        <v>78</v>
      </c>
      <c r="I558" s="3" t="s">
        <v>503</v>
      </c>
      <c r="J558" s="3" t="s">
        <v>223</v>
      </c>
      <c r="K558" s="3" t="s">
        <v>41</v>
      </c>
      <c r="L558" s="3" t="s">
        <v>504</v>
      </c>
      <c r="M558" s="3" t="s">
        <v>505</v>
      </c>
      <c r="N558" s="3" t="s">
        <v>53</v>
      </c>
      <c r="O558" s="3" t="s">
        <v>506</v>
      </c>
      <c r="P558" s="3" t="s">
        <v>4165</v>
      </c>
      <c r="Q558" s="3" t="s">
        <v>4166</v>
      </c>
      <c r="R558" s="3" t="s">
        <v>36</v>
      </c>
      <c r="S558" s="3" t="s">
        <v>1827</v>
      </c>
      <c r="T558" s="3" t="s">
        <v>82</v>
      </c>
      <c r="U558" s="3" t="s">
        <v>49</v>
      </c>
      <c r="V558" s="3" t="s">
        <v>1828</v>
      </c>
      <c r="W558" s="3" t="s">
        <v>198</v>
      </c>
      <c r="X558" s="3" t="s">
        <v>41</v>
      </c>
      <c r="Y558" s="3" t="s">
        <v>1829</v>
      </c>
      <c r="Z558" s="3" t="s">
        <v>168</v>
      </c>
      <c r="AA558" s="3" t="s">
        <v>63</v>
      </c>
      <c r="AB558" s="3" t="s">
        <v>54</v>
      </c>
      <c r="AC558" s="3" t="s">
        <v>4167</v>
      </c>
      <c r="AD558" s="14">
        <v>45901</v>
      </c>
      <c r="AE558" s="14">
        <v>45992</v>
      </c>
      <c r="AF558" s="3"/>
    </row>
    <row r="559" spans="1:32" ht="66" hidden="1">
      <c r="A559" s="3" t="s">
        <v>4168</v>
      </c>
      <c r="B559" s="3" t="s">
        <v>4169</v>
      </c>
      <c r="C559" s="3" t="s">
        <v>4170</v>
      </c>
      <c r="D559" s="3" t="s">
        <v>59</v>
      </c>
      <c r="E559" s="3" t="s">
        <v>36</v>
      </c>
      <c r="F559" s="3" t="s">
        <v>274</v>
      </c>
      <c r="G559" s="3" t="s">
        <v>37</v>
      </c>
      <c r="H559" s="3" t="s">
        <v>38</v>
      </c>
      <c r="I559" s="3" t="s">
        <v>4171</v>
      </c>
      <c r="J559" s="3" t="s">
        <v>223</v>
      </c>
      <c r="K559" s="3" t="s">
        <v>780</v>
      </c>
      <c r="L559" s="3" t="s">
        <v>4172</v>
      </c>
      <c r="M559" s="3" t="s">
        <v>4173</v>
      </c>
      <c r="N559" s="3" t="s">
        <v>44</v>
      </c>
      <c r="O559" s="3" t="s">
        <v>699</v>
      </c>
      <c r="P559" s="3" t="s">
        <v>4110</v>
      </c>
      <c r="Q559" s="3" t="s">
        <v>4111</v>
      </c>
      <c r="R559" s="3" t="s">
        <v>4112</v>
      </c>
      <c r="S559" s="3" t="s">
        <v>221</v>
      </c>
      <c r="T559" s="3" t="s">
        <v>37</v>
      </c>
      <c r="U559" s="3" t="s">
        <v>73</v>
      </c>
      <c r="V559" s="3" t="s">
        <v>4113</v>
      </c>
      <c r="W559" s="3" t="s">
        <v>223</v>
      </c>
      <c r="X559" s="3" t="s">
        <v>780</v>
      </c>
      <c r="Y559" s="3" t="s">
        <v>4114</v>
      </c>
      <c r="Z559" s="3" t="s">
        <v>4115</v>
      </c>
      <c r="AA559" s="3" t="s">
        <v>69</v>
      </c>
      <c r="AB559" s="3" t="s">
        <v>3628</v>
      </c>
      <c r="AC559" s="3" t="s">
        <v>4174</v>
      </c>
      <c r="AD559" s="14">
        <v>45901</v>
      </c>
      <c r="AE559" s="14">
        <v>46142</v>
      </c>
      <c r="AF559" s="3"/>
    </row>
    <row r="560" spans="1:32" ht="211.15" hidden="1">
      <c r="A560" s="3" t="s">
        <v>4175</v>
      </c>
      <c r="B560" s="3" t="s">
        <v>4176</v>
      </c>
      <c r="C560" s="3" t="s">
        <v>4177</v>
      </c>
      <c r="D560" s="3" t="s">
        <v>59</v>
      </c>
      <c r="E560" s="3" t="s">
        <v>36</v>
      </c>
      <c r="F560" s="3" t="s">
        <v>247</v>
      </c>
      <c r="G560" s="3" t="s">
        <v>82</v>
      </c>
      <c r="H560" s="3" t="s">
        <v>49</v>
      </c>
      <c r="I560" s="3" t="s">
        <v>4178</v>
      </c>
      <c r="J560" s="3" t="s">
        <v>223</v>
      </c>
      <c r="K560" s="3" t="s">
        <v>41</v>
      </c>
      <c r="L560" s="3" t="s">
        <v>2608</v>
      </c>
      <c r="M560" s="3" t="s">
        <v>3141</v>
      </c>
      <c r="N560" s="3" t="s">
        <v>53</v>
      </c>
      <c r="O560" s="3" t="s">
        <v>54</v>
      </c>
      <c r="P560" s="3" t="s">
        <v>4179</v>
      </c>
      <c r="Q560" s="3" t="s">
        <v>4180</v>
      </c>
      <c r="R560" s="3" t="s">
        <v>36</v>
      </c>
      <c r="S560" s="3" t="s">
        <v>221</v>
      </c>
      <c r="T560" s="3" t="s">
        <v>37</v>
      </c>
      <c r="U560" s="3" t="s">
        <v>38</v>
      </c>
      <c r="V560" s="3" t="s">
        <v>3978</v>
      </c>
      <c r="W560" s="3" t="s">
        <v>223</v>
      </c>
      <c r="X560" s="3" t="s">
        <v>41</v>
      </c>
      <c r="Y560" s="3" t="s">
        <v>3757</v>
      </c>
      <c r="Z560" s="3" t="s">
        <v>3814</v>
      </c>
      <c r="AA560" s="3" t="s">
        <v>63</v>
      </c>
      <c r="AB560" s="3" t="s">
        <v>1530</v>
      </c>
      <c r="AC560" s="3" t="s">
        <v>4181</v>
      </c>
      <c r="AD560" s="14">
        <v>45797</v>
      </c>
      <c r="AE560" s="14">
        <v>45828</v>
      </c>
      <c r="AF560" s="3"/>
    </row>
    <row r="561" spans="1:32" ht="409.6" hidden="1">
      <c r="A561" s="3" t="s">
        <v>4182</v>
      </c>
      <c r="B561" s="3" t="s">
        <v>4183</v>
      </c>
      <c r="C561" s="3" t="s">
        <v>4164</v>
      </c>
      <c r="D561" s="3" t="s">
        <v>59</v>
      </c>
      <c r="E561" s="3" t="s">
        <v>36</v>
      </c>
      <c r="F561" s="3" t="s">
        <v>1827</v>
      </c>
      <c r="G561" s="3" t="s">
        <v>37</v>
      </c>
      <c r="H561" s="3" t="s">
        <v>73</v>
      </c>
      <c r="I561" s="3" t="s">
        <v>4184</v>
      </c>
      <c r="J561" s="3" t="s">
        <v>198</v>
      </c>
      <c r="K561" s="3" t="s">
        <v>41</v>
      </c>
      <c r="L561" s="3" t="s">
        <v>1099</v>
      </c>
      <c r="M561" s="3" t="s">
        <v>511</v>
      </c>
      <c r="N561" s="3" t="s">
        <v>69</v>
      </c>
      <c r="O561" s="3" t="s">
        <v>506</v>
      </c>
      <c r="P561" s="3" t="s">
        <v>4165</v>
      </c>
      <c r="Q561" s="3" t="s">
        <v>4166</v>
      </c>
      <c r="R561" s="3" t="s">
        <v>36</v>
      </c>
      <c r="S561" s="3" t="s">
        <v>1827</v>
      </c>
      <c r="T561" s="3" t="s">
        <v>82</v>
      </c>
      <c r="U561" s="3" t="s">
        <v>49</v>
      </c>
      <c r="V561" s="3" t="s">
        <v>1828</v>
      </c>
      <c r="W561" s="3" t="s">
        <v>198</v>
      </c>
      <c r="X561" s="3" t="s">
        <v>41</v>
      </c>
      <c r="Y561" s="3" t="s">
        <v>1829</v>
      </c>
      <c r="Z561" s="3" t="s">
        <v>168</v>
      </c>
      <c r="AA561" s="3" t="s">
        <v>63</v>
      </c>
      <c r="AB561" s="3" t="s">
        <v>54</v>
      </c>
      <c r="AC561" s="3" t="s">
        <v>4185</v>
      </c>
      <c r="AD561" s="14">
        <v>45901</v>
      </c>
      <c r="AE561" s="14">
        <v>45992</v>
      </c>
      <c r="AF561" s="3"/>
    </row>
    <row r="562" spans="1:32" ht="158.44999999999999" hidden="1">
      <c r="A562" s="3" t="s">
        <v>4186</v>
      </c>
      <c r="B562" s="3" t="s">
        <v>4187</v>
      </c>
      <c r="C562" s="3" t="s">
        <v>4188</v>
      </c>
      <c r="D562" s="3" t="s">
        <v>132</v>
      </c>
      <c r="E562" s="3"/>
      <c r="F562" s="3" t="s">
        <v>254</v>
      </c>
      <c r="G562" s="3" t="s">
        <v>37</v>
      </c>
      <c r="H562" s="3" t="s">
        <v>38</v>
      </c>
      <c r="I562" s="3"/>
      <c r="J562" s="3" t="s">
        <v>223</v>
      </c>
      <c r="K562" s="3"/>
      <c r="L562" s="3"/>
      <c r="M562" s="3"/>
      <c r="N562" s="3" t="s">
        <v>44</v>
      </c>
      <c r="O562" s="3"/>
      <c r="P562" s="3" t="s">
        <v>4189</v>
      </c>
      <c r="Q562" s="3" t="s">
        <v>4190</v>
      </c>
      <c r="R562" s="3" t="s">
        <v>36</v>
      </c>
      <c r="S562" s="3" t="s">
        <v>221</v>
      </c>
      <c r="T562" s="3" t="s">
        <v>82</v>
      </c>
      <c r="U562" s="3" t="s">
        <v>38</v>
      </c>
      <c r="V562" s="3" t="s">
        <v>4191</v>
      </c>
      <c r="W562" s="3" t="s">
        <v>223</v>
      </c>
      <c r="X562" s="3" t="s">
        <v>41</v>
      </c>
      <c r="Y562" s="3" t="s">
        <v>1739</v>
      </c>
      <c r="Z562" s="3" t="s">
        <v>1740</v>
      </c>
      <c r="AA562" s="3" t="s">
        <v>44</v>
      </c>
      <c r="AB562" s="3" t="s">
        <v>1741</v>
      </c>
      <c r="AC562" s="3" t="s">
        <v>4192</v>
      </c>
      <c r="AD562" s="14">
        <v>45930</v>
      </c>
      <c r="AE562" s="14"/>
      <c r="AF562" s="3"/>
    </row>
    <row r="563" spans="1:32" ht="409.6" hidden="1">
      <c r="A563" s="3" t="s">
        <v>3490</v>
      </c>
      <c r="B563" s="3" t="s">
        <v>3491</v>
      </c>
      <c r="C563" s="3" t="s">
        <v>4193</v>
      </c>
      <c r="D563" s="3" t="s">
        <v>59</v>
      </c>
      <c r="E563" s="3" t="s">
        <v>36</v>
      </c>
      <c r="F563" s="3" t="s">
        <v>221</v>
      </c>
      <c r="G563" s="3" t="s">
        <v>37</v>
      </c>
      <c r="H563" s="3" t="s">
        <v>38</v>
      </c>
      <c r="I563" s="3" t="s">
        <v>3493</v>
      </c>
      <c r="J563" s="3" t="s">
        <v>223</v>
      </c>
      <c r="K563" s="3" t="s">
        <v>41</v>
      </c>
      <c r="L563" s="3" t="s">
        <v>3494</v>
      </c>
      <c r="M563" s="3" t="s">
        <v>3495</v>
      </c>
      <c r="N563" s="3" t="s">
        <v>79</v>
      </c>
      <c r="O563" s="3" t="s">
        <v>226</v>
      </c>
      <c r="P563" s="3" t="s">
        <v>4194</v>
      </c>
      <c r="Q563" s="3" t="s">
        <v>4195</v>
      </c>
      <c r="R563" s="3" t="s">
        <v>36</v>
      </c>
      <c r="S563" s="3" t="s">
        <v>221</v>
      </c>
      <c r="T563" s="3" t="s">
        <v>37</v>
      </c>
      <c r="U563" s="3" t="s">
        <v>73</v>
      </c>
      <c r="V563" s="3" t="s">
        <v>4196</v>
      </c>
      <c r="W563" s="3" t="s">
        <v>223</v>
      </c>
      <c r="X563" s="3" t="s">
        <v>41</v>
      </c>
      <c r="Y563" s="3" t="s">
        <v>1552</v>
      </c>
      <c r="Z563" s="3" t="s">
        <v>3866</v>
      </c>
      <c r="AA563" s="3" t="s">
        <v>281</v>
      </c>
      <c r="AB563" s="3" t="s">
        <v>54</v>
      </c>
      <c r="AC563" s="3" t="s">
        <v>4197</v>
      </c>
      <c r="AD563" s="14">
        <v>45909</v>
      </c>
      <c r="AE563" s="14"/>
      <c r="AF563" s="3"/>
    </row>
    <row r="564" spans="1:32" ht="66" hidden="1">
      <c r="A564" s="3" t="s">
        <v>4198</v>
      </c>
      <c r="B564" s="3" t="s">
        <v>4199</v>
      </c>
      <c r="C564" s="3" t="s">
        <v>4200</v>
      </c>
      <c r="D564" s="3" t="s">
        <v>59</v>
      </c>
      <c r="E564" s="3" t="s">
        <v>36</v>
      </c>
      <c r="F564" s="3" t="s">
        <v>247</v>
      </c>
      <c r="G564" s="3" t="s">
        <v>37</v>
      </c>
      <c r="H564" s="3" t="s">
        <v>38</v>
      </c>
      <c r="I564" s="3" t="s">
        <v>4201</v>
      </c>
      <c r="J564" s="3" t="s">
        <v>223</v>
      </c>
      <c r="K564" s="3" t="s">
        <v>780</v>
      </c>
      <c r="L564" s="3" t="s">
        <v>4202</v>
      </c>
      <c r="M564" s="3" t="s">
        <v>4203</v>
      </c>
      <c r="N564" s="3" t="s">
        <v>79</v>
      </c>
      <c r="O564" s="3" t="s">
        <v>240</v>
      </c>
      <c r="P564" s="3" t="s">
        <v>4204</v>
      </c>
      <c r="Q564" s="3" t="s">
        <v>4205</v>
      </c>
      <c r="R564" s="3" t="s">
        <v>36</v>
      </c>
      <c r="S564" s="3" t="s">
        <v>221</v>
      </c>
      <c r="T564" s="3" t="s">
        <v>37</v>
      </c>
      <c r="U564" s="3" t="s">
        <v>49</v>
      </c>
      <c r="V564" s="3" t="s">
        <v>4206</v>
      </c>
      <c r="W564" s="3" t="s">
        <v>223</v>
      </c>
      <c r="X564" s="3" t="s">
        <v>780</v>
      </c>
      <c r="Y564" s="3" t="s">
        <v>4207</v>
      </c>
      <c r="Z564" s="3" t="s">
        <v>4208</v>
      </c>
      <c r="AA564" s="3" t="s">
        <v>53</v>
      </c>
      <c r="AB564" s="3" t="s">
        <v>226</v>
      </c>
      <c r="AC564" s="3" t="s">
        <v>4209</v>
      </c>
      <c r="AD564" s="14">
        <v>45901</v>
      </c>
      <c r="AE564" s="14">
        <v>46263</v>
      </c>
      <c r="AF564" s="3"/>
    </row>
    <row r="565" spans="1:32" ht="39.6" hidden="1">
      <c r="A565" s="3" t="s">
        <v>4210</v>
      </c>
      <c r="B565" s="3" t="s">
        <v>4211</v>
      </c>
      <c r="C565" s="3"/>
      <c r="D565" s="3" t="s">
        <v>59</v>
      </c>
      <c r="E565" s="3" t="s">
        <v>36</v>
      </c>
      <c r="F565" s="3" t="s">
        <v>247</v>
      </c>
      <c r="G565" s="3" t="s">
        <v>82</v>
      </c>
      <c r="H565" s="3" t="s">
        <v>38</v>
      </c>
      <c r="I565" s="3" t="s">
        <v>2768</v>
      </c>
      <c r="J565" s="3" t="s">
        <v>223</v>
      </c>
      <c r="K565" s="3" t="s">
        <v>780</v>
      </c>
      <c r="L565" s="3" t="s">
        <v>2769</v>
      </c>
      <c r="M565" s="3" t="s">
        <v>2875</v>
      </c>
      <c r="N565" s="3" t="s">
        <v>285</v>
      </c>
      <c r="O565" s="3" t="s">
        <v>643</v>
      </c>
      <c r="P565" s="3" t="s">
        <v>4212</v>
      </c>
      <c r="Q565" s="3" t="s">
        <v>4213</v>
      </c>
      <c r="R565" s="3" t="s">
        <v>36</v>
      </c>
      <c r="S565" s="3" t="s">
        <v>247</v>
      </c>
      <c r="T565" s="3" t="s">
        <v>82</v>
      </c>
      <c r="U565" s="3" t="s">
        <v>73</v>
      </c>
      <c r="V565" s="3" t="s">
        <v>4214</v>
      </c>
      <c r="W565" s="3" t="s">
        <v>223</v>
      </c>
      <c r="X565" s="3" t="s">
        <v>780</v>
      </c>
      <c r="Y565" s="3" t="s">
        <v>4215</v>
      </c>
      <c r="Z565" s="3" t="s">
        <v>4216</v>
      </c>
      <c r="AA565" s="3" t="s">
        <v>281</v>
      </c>
      <c r="AB565" s="3" t="s">
        <v>1147</v>
      </c>
      <c r="AC565" s="3" t="s">
        <v>4217</v>
      </c>
      <c r="AD565" s="14">
        <v>45870</v>
      </c>
      <c r="AE565" s="14">
        <v>46081</v>
      </c>
      <c r="AF565" s="3"/>
    </row>
    <row r="566" spans="1:32" ht="66" hidden="1">
      <c r="A566" s="3" t="s">
        <v>4218</v>
      </c>
      <c r="B566" s="3" t="s">
        <v>4219</v>
      </c>
      <c r="C566" s="3" t="s">
        <v>4220</v>
      </c>
      <c r="D566" s="3" t="s">
        <v>59</v>
      </c>
      <c r="E566" s="3" t="s">
        <v>36</v>
      </c>
      <c r="F566" s="3" t="s">
        <v>221</v>
      </c>
      <c r="G566" s="3" t="s">
        <v>37</v>
      </c>
      <c r="H566" s="3" t="s">
        <v>49</v>
      </c>
      <c r="I566" s="3" t="s">
        <v>1504</v>
      </c>
      <c r="J566" s="3" t="s">
        <v>223</v>
      </c>
      <c r="K566" s="3" t="s">
        <v>780</v>
      </c>
      <c r="L566" s="3" t="s">
        <v>4221</v>
      </c>
      <c r="M566" s="3" t="s">
        <v>1506</v>
      </c>
      <c r="N566" s="3" t="s">
        <v>281</v>
      </c>
      <c r="O566" s="3" t="s">
        <v>1239</v>
      </c>
      <c r="P566" s="3" t="s">
        <v>4222</v>
      </c>
      <c r="Q566" s="3" t="s">
        <v>4223</v>
      </c>
      <c r="R566" s="3" t="s">
        <v>36</v>
      </c>
      <c r="S566" s="3" t="s">
        <v>221</v>
      </c>
      <c r="T566" s="3" t="s">
        <v>37</v>
      </c>
      <c r="U566" s="3" t="s">
        <v>49</v>
      </c>
      <c r="V566" s="3" t="s">
        <v>4224</v>
      </c>
      <c r="W566" s="3" t="s">
        <v>223</v>
      </c>
      <c r="X566" s="3" t="s">
        <v>780</v>
      </c>
      <c r="Y566" s="3" t="s">
        <v>4225</v>
      </c>
      <c r="Z566" s="3" t="s">
        <v>4226</v>
      </c>
      <c r="AA566" s="3" t="s">
        <v>79</v>
      </c>
      <c r="AB566" s="3" t="s">
        <v>409</v>
      </c>
      <c r="AC566" s="3" t="s">
        <v>4227</v>
      </c>
      <c r="AD566" s="14">
        <v>45908</v>
      </c>
      <c r="AE566" s="14">
        <v>46022</v>
      </c>
      <c r="AF566" s="3"/>
    </row>
    <row r="567" spans="1:32" ht="356.45" hidden="1">
      <c r="A567" s="3" t="s">
        <v>4218</v>
      </c>
      <c r="B567" s="3" t="s">
        <v>4219</v>
      </c>
      <c r="C567" s="3" t="s">
        <v>4228</v>
      </c>
      <c r="D567" s="3" t="s">
        <v>59</v>
      </c>
      <c r="E567" s="3" t="s">
        <v>36</v>
      </c>
      <c r="F567" s="3" t="s">
        <v>221</v>
      </c>
      <c r="G567" s="3" t="s">
        <v>37</v>
      </c>
      <c r="H567" s="3" t="s">
        <v>49</v>
      </c>
      <c r="I567" s="3" t="s">
        <v>1504</v>
      </c>
      <c r="J567" s="3" t="s">
        <v>223</v>
      </c>
      <c r="K567" s="3" t="s">
        <v>780</v>
      </c>
      <c r="L567" s="3" t="s">
        <v>4221</v>
      </c>
      <c r="M567" s="3" t="s">
        <v>1506</v>
      </c>
      <c r="N567" s="3" t="s">
        <v>281</v>
      </c>
      <c r="O567" s="3" t="s">
        <v>1239</v>
      </c>
      <c r="P567" s="3" t="s">
        <v>4229</v>
      </c>
      <c r="Q567" s="3" t="s">
        <v>4230</v>
      </c>
      <c r="R567" s="3" t="s">
        <v>36</v>
      </c>
      <c r="S567" s="3" t="s">
        <v>221</v>
      </c>
      <c r="T567" s="3" t="s">
        <v>37</v>
      </c>
      <c r="U567" s="3" t="s">
        <v>49</v>
      </c>
      <c r="V567" s="3" t="s">
        <v>4231</v>
      </c>
      <c r="W567" s="3" t="s">
        <v>223</v>
      </c>
      <c r="X567" s="3" t="s">
        <v>1373</v>
      </c>
      <c r="Y567" s="3" t="s">
        <v>4232</v>
      </c>
      <c r="Z567" s="3" t="s">
        <v>2095</v>
      </c>
      <c r="AA567" s="3" t="s">
        <v>79</v>
      </c>
      <c r="AB567" s="3" t="s">
        <v>201</v>
      </c>
      <c r="AC567" s="3" t="s">
        <v>4233</v>
      </c>
      <c r="AD567" s="14">
        <v>45901</v>
      </c>
      <c r="AE567" s="14">
        <v>45991</v>
      </c>
      <c r="AF567" s="3"/>
    </row>
    <row r="568" spans="1:32" ht="171.6" hidden="1">
      <c r="A568" s="3" t="s">
        <v>4234</v>
      </c>
      <c r="B568" s="3" t="s">
        <v>4235</v>
      </c>
      <c r="C568" s="3" t="s">
        <v>4236</v>
      </c>
      <c r="D568" s="3" t="s">
        <v>59</v>
      </c>
      <c r="E568" s="3" t="s">
        <v>36</v>
      </c>
      <c r="F568" s="3" t="s">
        <v>221</v>
      </c>
      <c r="G568" s="3" t="s">
        <v>82</v>
      </c>
      <c r="H568" s="3" t="s">
        <v>49</v>
      </c>
      <c r="I568" s="3" t="s">
        <v>4237</v>
      </c>
      <c r="J568" s="3" t="s">
        <v>223</v>
      </c>
      <c r="K568" s="3" t="s">
        <v>41</v>
      </c>
      <c r="L568" s="3" t="s">
        <v>4238</v>
      </c>
      <c r="M568" s="3" t="s">
        <v>93</v>
      </c>
      <c r="N568" s="3" t="s">
        <v>79</v>
      </c>
      <c r="O568" s="3" t="s">
        <v>94</v>
      </c>
      <c r="P568" s="3" t="s">
        <v>4239</v>
      </c>
      <c r="Q568" s="3" t="s">
        <v>4240</v>
      </c>
      <c r="R568" s="3" t="s">
        <v>36</v>
      </c>
      <c r="S568" s="3" t="s">
        <v>221</v>
      </c>
      <c r="T568" s="3" t="s">
        <v>37</v>
      </c>
      <c r="U568" s="3" t="s">
        <v>49</v>
      </c>
      <c r="V568" s="3" t="s">
        <v>4241</v>
      </c>
      <c r="W568" s="3" t="s">
        <v>223</v>
      </c>
      <c r="X568" s="3" t="s">
        <v>41</v>
      </c>
      <c r="Y568" s="3" t="s">
        <v>4242</v>
      </c>
      <c r="Z568" s="3" t="s">
        <v>4243</v>
      </c>
      <c r="AA568" s="3" t="s">
        <v>79</v>
      </c>
      <c r="AB568" s="3" t="s">
        <v>278</v>
      </c>
      <c r="AC568" s="3" t="s">
        <v>4244</v>
      </c>
      <c r="AD568" s="14">
        <v>45904</v>
      </c>
      <c r="AE568" s="14">
        <v>46269</v>
      </c>
      <c r="AF568" s="3"/>
    </row>
    <row r="569" spans="1:32" ht="66" hidden="1">
      <c r="A569" s="3" t="s">
        <v>2642</v>
      </c>
      <c r="B569" s="3" t="s">
        <v>2643</v>
      </c>
      <c r="C569" s="3" t="s">
        <v>4245</v>
      </c>
      <c r="D569" s="3" t="s">
        <v>132</v>
      </c>
      <c r="E569" s="3" t="s">
        <v>36</v>
      </c>
      <c r="F569" s="3" t="s">
        <v>221</v>
      </c>
      <c r="G569" s="3" t="s">
        <v>37</v>
      </c>
      <c r="H569" s="3" t="s">
        <v>78</v>
      </c>
      <c r="I569" s="3" t="s">
        <v>2237</v>
      </c>
      <c r="J569" s="3" t="s">
        <v>223</v>
      </c>
      <c r="K569" s="3" t="s">
        <v>780</v>
      </c>
      <c r="L569" s="3" t="s">
        <v>2594</v>
      </c>
      <c r="M569" s="3" t="s">
        <v>2644</v>
      </c>
      <c r="N569" s="3" t="s">
        <v>79</v>
      </c>
      <c r="O569" s="3" t="s">
        <v>54</v>
      </c>
      <c r="P569" s="3" t="s">
        <v>4246</v>
      </c>
      <c r="Q569" s="3" t="s">
        <v>4247</v>
      </c>
      <c r="R569" s="3" t="s">
        <v>36</v>
      </c>
      <c r="S569" s="3" t="s">
        <v>221</v>
      </c>
      <c r="T569" s="3" t="s">
        <v>82</v>
      </c>
      <c r="U569" s="3" t="s">
        <v>38</v>
      </c>
      <c r="V569" s="3" t="s">
        <v>4248</v>
      </c>
      <c r="W569" s="3" t="s">
        <v>223</v>
      </c>
      <c r="X569" s="3" t="s">
        <v>41</v>
      </c>
      <c r="Y569" s="3" t="s">
        <v>3280</v>
      </c>
      <c r="Z569" s="3" t="s">
        <v>363</v>
      </c>
      <c r="AA569" s="3" t="s">
        <v>123</v>
      </c>
      <c r="AB569" s="3" t="s">
        <v>270</v>
      </c>
      <c r="AC569" s="3" t="s">
        <v>4249</v>
      </c>
      <c r="AD569" s="14">
        <v>45861</v>
      </c>
      <c r="AE569" s="14">
        <v>45961</v>
      </c>
      <c r="AF569" s="3"/>
    </row>
    <row r="570" spans="1:32" ht="237.6" hidden="1">
      <c r="A570" s="3" t="s">
        <v>4250</v>
      </c>
      <c r="B570" s="3" t="s">
        <v>4251</v>
      </c>
      <c r="C570" s="3" t="s">
        <v>4252</v>
      </c>
      <c r="D570" s="3" t="s">
        <v>59</v>
      </c>
      <c r="E570" s="3" t="s">
        <v>36</v>
      </c>
      <c r="F570" s="3" t="s">
        <v>221</v>
      </c>
      <c r="G570" s="3" t="s">
        <v>37</v>
      </c>
      <c r="H570" s="3" t="s">
        <v>38</v>
      </c>
      <c r="I570" s="3" t="s">
        <v>4253</v>
      </c>
      <c r="J570" s="3" t="s">
        <v>223</v>
      </c>
      <c r="K570" s="3" t="s">
        <v>41</v>
      </c>
      <c r="L570" s="3" t="s">
        <v>4254</v>
      </c>
      <c r="M570" s="3" t="s">
        <v>4255</v>
      </c>
      <c r="N570" s="3" t="s">
        <v>44</v>
      </c>
      <c r="O570" s="3" t="s">
        <v>449</v>
      </c>
      <c r="P570" s="3" t="s">
        <v>4256</v>
      </c>
      <c r="Q570" s="3" t="s">
        <v>4257</v>
      </c>
      <c r="R570" s="3" t="s">
        <v>36</v>
      </c>
      <c r="S570" s="3" t="s">
        <v>221</v>
      </c>
      <c r="T570" s="3" t="s">
        <v>37</v>
      </c>
      <c r="U570" s="3" t="s">
        <v>38</v>
      </c>
      <c r="V570" s="3" t="s">
        <v>4258</v>
      </c>
      <c r="W570" s="3" t="s">
        <v>223</v>
      </c>
      <c r="X570" s="3" t="s">
        <v>41</v>
      </c>
      <c r="Y570" s="3" t="s">
        <v>3958</v>
      </c>
      <c r="Z570" s="3" t="s">
        <v>3814</v>
      </c>
      <c r="AA570" s="3" t="s">
        <v>44</v>
      </c>
      <c r="AB570" s="3" t="s">
        <v>1530</v>
      </c>
      <c r="AC570" s="3" t="s">
        <v>4259</v>
      </c>
      <c r="AD570" s="14">
        <v>45910</v>
      </c>
      <c r="AE570" s="14">
        <v>46275</v>
      </c>
      <c r="AF570" s="3"/>
    </row>
    <row r="571" spans="1:32" ht="39.6" hidden="1">
      <c r="A571" s="3" t="s">
        <v>4260</v>
      </c>
      <c r="B571" s="3" t="s">
        <v>4261</v>
      </c>
      <c r="C571" s="3"/>
      <c r="D571" s="3" t="s">
        <v>59</v>
      </c>
      <c r="E571" s="3" t="s">
        <v>36</v>
      </c>
      <c r="F571" s="3" t="s">
        <v>221</v>
      </c>
      <c r="G571" s="3" t="s">
        <v>37</v>
      </c>
      <c r="H571" s="3" t="s">
        <v>49</v>
      </c>
      <c r="I571" s="3" t="s">
        <v>4127</v>
      </c>
      <c r="J571" s="3" t="s">
        <v>223</v>
      </c>
      <c r="K571" s="3" t="s">
        <v>780</v>
      </c>
      <c r="L571" s="3" t="s">
        <v>4207</v>
      </c>
      <c r="M571" s="3" t="s">
        <v>4129</v>
      </c>
      <c r="N571" s="3" t="s">
        <v>79</v>
      </c>
      <c r="O571" s="3" t="s">
        <v>308</v>
      </c>
      <c r="P571" s="3" t="s">
        <v>4262</v>
      </c>
      <c r="Q571" s="3" t="s">
        <v>4263</v>
      </c>
      <c r="R571" s="3" t="s">
        <v>36</v>
      </c>
      <c r="S571" s="3" t="s">
        <v>221</v>
      </c>
      <c r="T571" s="3" t="s">
        <v>37</v>
      </c>
      <c r="U571" s="3" t="s">
        <v>73</v>
      </c>
      <c r="V571" s="3" t="s">
        <v>4264</v>
      </c>
      <c r="W571" s="3" t="s">
        <v>223</v>
      </c>
      <c r="X571" s="3" t="s">
        <v>780</v>
      </c>
      <c r="Y571" s="3" t="s">
        <v>4265</v>
      </c>
      <c r="Z571" s="3" t="s">
        <v>4266</v>
      </c>
      <c r="AA571" s="3" t="s">
        <v>281</v>
      </c>
      <c r="AB571" s="3" t="s">
        <v>557</v>
      </c>
      <c r="AC571" s="3" t="s">
        <v>4267</v>
      </c>
      <c r="AD571" s="14">
        <v>45901</v>
      </c>
      <c r="AE571" s="14">
        <v>46266</v>
      </c>
      <c r="AF571" s="3"/>
    </row>
    <row r="572" spans="1:32" ht="184.9" hidden="1">
      <c r="A572" s="3" t="s">
        <v>4168</v>
      </c>
      <c r="B572" s="3" t="s">
        <v>4169</v>
      </c>
      <c r="C572" s="3" t="s">
        <v>4268</v>
      </c>
      <c r="D572" s="3" t="s">
        <v>59</v>
      </c>
      <c r="E572" s="3" t="s">
        <v>36</v>
      </c>
      <c r="F572" s="3" t="s">
        <v>274</v>
      </c>
      <c r="G572" s="3" t="s">
        <v>37</v>
      </c>
      <c r="H572" s="3" t="s">
        <v>38</v>
      </c>
      <c r="I572" s="3" t="s">
        <v>4171</v>
      </c>
      <c r="J572" s="3" t="s">
        <v>223</v>
      </c>
      <c r="K572" s="3" t="s">
        <v>780</v>
      </c>
      <c r="L572" s="3" t="s">
        <v>4172</v>
      </c>
      <c r="M572" s="3" t="s">
        <v>4173</v>
      </c>
      <c r="N572" s="3" t="s">
        <v>44</v>
      </c>
      <c r="O572" s="3" t="s">
        <v>699</v>
      </c>
      <c r="P572" s="3" t="s">
        <v>4269</v>
      </c>
      <c r="Q572" s="3" t="s">
        <v>4270</v>
      </c>
      <c r="R572" s="3" t="s">
        <v>36</v>
      </c>
      <c r="S572" s="3" t="s">
        <v>221</v>
      </c>
      <c r="T572" s="3" t="s">
        <v>37</v>
      </c>
      <c r="U572" s="3" t="s">
        <v>38</v>
      </c>
      <c r="V572" s="3" t="s">
        <v>4271</v>
      </c>
      <c r="W572" s="3" t="s">
        <v>223</v>
      </c>
      <c r="X572" s="3" t="s">
        <v>780</v>
      </c>
      <c r="Y572" s="3" t="s">
        <v>4265</v>
      </c>
      <c r="Z572" s="3" t="s">
        <v>796</v>
      </c>
      <c r="AA572" s="3" t="s">
        <v>69</v>
      </c>
      <c r="AB572" s="3" t="s">
        <v>699</v>
      </c>
      <c r="AC572" s="3" t="s">
        <v>4272</v>
      </c>
      <c r="AD572" s="14">
        <v>45931</v>
      </c>
      <c r="AE572" s="14">
        <v>46081</v>
      </c>
      <c r="AF572" s="3"/>
    </row>
    <row r="573" spans="1:32" ht="409.6" hidden="1">
      <c r="A573" s="3" t="s">
        <v>501</v>
      </c>
      <c r="B573" s="3" t="s">
        <v>502</v>
      </c>
      <c r="C573" s="3" t="s">
        <v>4273</v>
      </c>
      <c r="D573" s="3" t="s">
        <v>59</v>
      </c>
      <c r="E573" s="3" t="s">
        <v>36</v>
      </c>
      <c r="F573" s="3" t="s">
        <v>274</v>
      </c>
      <c r="G573" s="3" t="s">
        <v>37</v>
      </c>
      <c r="H573" s="3" t="s">
        <v>78</v>
      </c>
      <c r="I573" s="3" t="s">
        <v>503</v>
      </c>
      <c r="J573" s="3" t="s">
        <v>223</v>
      </c>
      <c r="K573" s="3" t="s">
        <v>41</v>
      </c>
      <c r="L573" s="3" t="s">
        <v>504</v>
      </c>
      <c r="M573" s="3" t="s">
        <v>505</v>
      </c>
      <c r="N573" s="3" t="s">
        <v>53</v>
      </c>
      <c r="O573" s="3" t="s">
        <v>506</v>
      </c>
      <c r="P573" s="3" t="s">
        <v>4274</v>
      </c>
      <c r="Q573" s="3" t="s">
        <v>4275</v>
      </c>
      <c r="R573" s="3" t="s">
        <v>36</v>
      </c>
      <c r="S573" s="3" t="s">
        <v>221</v>
      </c>
      <c r="T573" s="3" t="s">
        <v>37</v>
      </c>
      <c r="U573" s="3" t="s">
        <v>49</v>
      </c>
      <c r="V573" s="3" t="s">
        <v>4276</v>
      </c>
      <c r="W573" s="3" t="s">
        <v>223</v>
      </c>
      <c r="X573" s="3" t="s">
        <v>41</v>
      </c>
      <c r="Y573" s="3" t="s">
        <v>504</v>
      </c>
      <c r="Z573" s="3" t="s">
        <v>511</v>
      </c>
      <c r="AA573" s="3" t="s">
        <v>285</v>
      </c>
      <c r="AB573" s="3" t="s">
        <v>506</v>
      </c>
      <c r="AC573" s="3" t="s">
        <v>4277</v>
      </c>
      <c r="AD573" s="14">
        <v>45931</v>
      </c>
      <c r="AE573" s="14">
        <v>46264</v>
      </c>
      <c r="AF573" s="3"/>
    </row>
    <row r="574" spans="1:32" ht="39.6" hidden="1">
      <c r="A574" s="3" t="s">
        <v>4278</v>
      </c>
      <c r="B574" s="3" t="s">
        <v>4279</v>
      </c>
      <c r="C574" s="3" t="s">
        <v>4280</v>
      </c>
      <c r="D574" s="3" t="s">
        <v>59</v>
      </c>
      <c r="E574" s="3" t="s">
        <v>36</v>
      </c>
      <c r="F574" s="3" t="s">
        <v>221</v>
      </c>
      <c r="G574" s="3" t="s">
        <v>37</v>
      </c>
      <c r="H574" s="3" t="s">
        <v>49</v>
      </c>
      <c r="I574" s="3" t="s">
        <v>390</v>
      </c>
      <c r="J574" s="3" t="s">
        <v>223</v>
      </c>
      <c r="K574" s="3" t="s">
        <v>41</v>
      </c>
      <c r="L574" s="3" t="s">
        <v>391</v>
      </c>
      <c r="M574" s="3" t="s">
        <v>392</v>
      </c>
      <c r="N574" s="3" t="s">
        <v>53</v>
      </c>
      <c r="O574" s="3" t="s">
        <v>100</v>
      </c>
      <c r="P574" s="3" t="s">
        <v>4104</v>
      </c>
      <c r="Q574" s="3" t="s">
        <v>4105</v>
      </c>
      <c r="R574" s="3" t="s">
        <v>36</v>
      </c>
      <c r="S574" s="3" t="s">
        <v>221</v>
      </c>
      <c r="T574" s="3" t="s">
        <v>37</v>
      </c>
      <c r="U574" s="3" t="s">
        <v>49</v>
      </c>
      <c r="V574" s="3" t="s">
        <v>4106</v>
      </c>
      <c r="W574" s="3" t="s">
        <v>223</v>
      </c>
      <c r="X574" s="3" t="s">
        <v>41</v>
      </c>
      <c r="Y574" s="3" t="s">
        <v>2304</v>
      </c>
      <c r="Z574" s="3" t="s">
        <v>4107</v>
      </c>
      <c r="AA574" s="3" t="s">
        <v>53</v>
      </c>
      <c r="AB574" s="3" t="s">
        <v>270</v>
      </c>
      <c r="AC574" s="3" t="s">
        <v>4281</v>
      </c>
      <c r="AD574" s="14">
        <v>45869</v>
      </c>
      <c r="AE574" s="14">
        <v>46142</v>
      </c>
      <c r="AF574" s="3"/>
    </row>
    <row r="575" spans="1:32" ht="52.9" hidden="1">
      <c r="A575" s="3" t="s">
        <v>1294</v>
      </c>
      <c r="B575" s="3" t="s">
        <v>1295</v>
      </c>
      <c r="C575" s="3" t="s">
        <v>4282</v>
      </c>
      <c r="D575" s="3" t="s">
        <v>132</v>
      </c>
      <c r="E575" s="3" t="s">
        <v>36</v>
      </c>
      <c r="F575" s="3" t="s">
        <v>247</v>
      </c>
      <c r="G575" s="3" t="s">
        <v>37</v>
      </c>
      <c r="H575" s="3" t="s">
        <v>38</v>
      </c>
      <c r="I575" s="3" t="s">
        <v>1296</v>
      </c>
      <c r="J575" s="3" t="s">
        <v>223</v>
      </c>
      <c r="K575" s="3" t="s">
        <v>41</v>
      </c>
      <c r="L575" s="3" t="s">
        <v>1297</v>
      </c>
      <c r="M575" s="3" t="s">
        <v>1298</v>
      </c>
      <c r="N575" s="3" t="s">
        <v>123</v>
      </c>
      <c r="O575" s="3" t="s">
        <v>752</v>
      </c>
      <c r="P575" s="3" t="s">
        <v>4283</v>
      </c>
      <c r="Q575" s="3" t="s">
        <v>4284</v>
      </c>
      <c r="R575" s="3" t="s">
        <v>36</v>
      </c>
      <c r="S575" s="3" t="s">
        <v>221</v>
      </c>
      <c r="T575" s="3" t="s">
        <v>37</v>
      </c>
      <c r="U575" s="3" t="s">
        <v>49</v>
      </c>
      <c r="V575" s="3" t="s">
        <v>4285</v>
      </c>
      <c r="W575" s="3" t="s">
        <v>223</v>
      </c>
      <c r="X575" s="3" t="s">
        <v>41</v>
      </c>
      <c r="Y575" s="3" t="s">
        <v>1885</v>
      </c>
      <c r="Z575" s="3" t="s">
        <v>1886</v>
      </c>
      <c r="AA575" s="3" t="s">
        <v>69</v>
      </c>
      <c r="AB575" s="3" t="s">
        <v>409</v>
      </c>
      <c r="AC575" s="3" t="s">
        <v>4286</v>
      </c>
      <c r="AD575" s="14">
        <v>45965</v>
      </c>
      <c r="AE575" s="14"/>
      <c r="AF575" s="3"/>
    </row>
    <row r="576" spans="1:32" ht="277.14999999999998" hidden="1">
      <c r="A576" s="3" t="s">
        <v>2054</v>
      </c>
      <c r="B576" s="3" t="s">
        <v>2055</v>
      </c>
      <c r="C576" s="3" t="s">
        <v>4287</v>
      </c>
      <c r="D576" s="3" t="s">
        <v>59</v>
      </c>
      <c r="E576" s="3" t="s">
        <v>36</v>
      </c>
      <c r="F576" s="3" t="s">
        <v>247</v>
      </c>
      <c r="G576" s="3" t="s">
        <v>82</v>
      </c>
      <c r="H576" s="3" t="s">
        <v>38</v>
      </c>
      <c r="I576" s="3" t="s">
        <v>2057</v>
      </c>
      <c r="J576" s="3" t="s">
        <v>223</v>
      </c>
      <c r="K576" s="3" t="s">
        <v>41</v>
      </c>
      <c r="L576" s="3" t="s">
        <v>2058</v>
      </c>
      <c r="M576" s="3" t="s">
        <v>2059</v>
      </c>
      <c r="N576" s="3" t="s">
        <v>53</v>
      </c>
      <c r="O576" s="3" t="s">
        <v>240</v>
      </c>
      <c r="P576" s="3" t="s">
        <v>4288</v>
      </c>
      <c r="Q576" s="3" t="s">
        <v>4289</v>
      </c>
      <c r="R576" s="3" t="s">
        <v>36</v>
      </c>
      <c r="S576" s="3" t="s">
        <v>221</v>
      </c>
      <c r="T576" s="3" t="s">
        <v>37</v>
      </c>
      <c r="U576" s="3" t="s">
        <v>38</v>
      </c>
      <c r="V576" s="3" t="s">
        <v>4290</v>
      </c>
      <c r="W576" s="3" t="s">
        <v>223</v>
      </c>
      <c r="X576" s="3" t="s">
        <v>41</v>
      </c>
      <c r="Y576" s="3" t="s">
        <v>2684</v>
      </c>
      <c r="Z576" s="3" t="s">
        <v>2294</v>
      </c>
      <c r="AA576" s="3" t="s">
        <v>79</v>
      </c>
      <c r="AB576" s="3" t="s">
        <v>308</v>
      </c>
      <c r="AC576" s="3" t="s">
        <v>4291</v>
      </c>
      <c r="AD576" s="14">
        <v>45926</v>
      </c>
      <c r="AE576" s="14">
        <v>46112</v>
      </c>
      <c r="AF576" s="3"/>
    </row>
    <row r="577" spans="1:32" ht="409.6" hidden="1">
      <c r="A577" s="3" t="s">
        <v>4292</v>
      </c>
      <c r="B577" s="3" t="s">
        <v>4293</v>
      </c>
      <c r="C577" s="3" t="s">
        <v>4294</v>
      </c>
      <c r="D577" s="3" t="s">
        <v>35</v>
      </c>
      <c r="E577" s="3" t="s">
        <v>36</v>
      </c>
      <c r="F577" s="3" t="s">
        <v>1827</v>
      </c>
      <c r="G577" s="3" t="s">
        <v>82</v>
      </c>
      <c r="H577" s="3" t="s">
        <v>38</v>
      </c>
      <c r="I577" s="3" t="s">
        <v>3397</v>
      </c>
      <c r="J577" s="3" t="s">
        <v>198</v>
      </c>
      <c r="K577" s="3" t="s">
        <v>41</v>
      </c>
      <c r="L577" s="3" t="s">
        <v>4295</v>
      </c>
      <c r="M577" s="3" t="s">
        <v>1007</v>
      </c>
      <c r="N577" s="3" t="s">
        <v>63</v>
      </c>
      <c r="O577" s="3" t="s">
        <v>240</v>
      </c>
      <c r="P577" s="3" t="s">
        <v>4296</v>
      </c>
      <c r="Q577" s="3" t="s">
        <v>4297</v>
      </c>
      <c r="R577" s="3" t="s">
        <v>36</v>
      </c>
      <c r="S577" s="3"/>
      <c r="T577" s="3" t="s">
        <v>82</v>
      </c>
      <c r="U577" s="3" t="s">
        <v>49</v>
      </c>
      <c r="V577" s="3" t="s">
        <v>4298</v>
      </c>
      <c r="W577" s="3" t="s">
        <v>198</v>
      </c>
      <c r="X577" s="3" t="s">
        <v>41</v>
      </c>
      <c r="Y577" s="3" t="s">
        <v>4299</v>
      </c>
      <c r="Z577" s="3" t="s">
        <v>2078</v>
      </c>
      <c r="AA577" s="3" t="s">
        <v>79</v>
      </c>
      <c r="AB577" s="3" t="s">
        <v>64</v>
      </c>
      <c r="AC577" s="3" t="s">
        <v>4300</v>
      </c>
      <c r="AD577" s="14">
        <v>45923</v>
      </c>
      <c r="AE577" s="14">
        <v>46387</v>
      </c>
      <c r="AF577" s="3"/>
    </row>
    <row r="578" spans="1:32" ht="66" hidden="1">
      <c r="A578" s="3" t="s">
        <v>4301</v>
      </c>
      <c r="B578" s="3" t="s">
        <v>4302</v>
      </c>
      <c r="C578" s="3" t="s">
        <v>4303</v>
      </c>
      <c r="D578" s="3" t="s">
        <v>59</v>
      </c>
      <c r="E578" s="3" t="s">
        <v>36</v>
      </c>
      <c r="F578" s="3" t="s">
        <v>221</v>
      </c>
      <c r="G578" s="3" t="s">
        <v>82</v>
      </c>
      <c r="H578" s="3" t="s">
        <v>78</v>
      </c>
      <c r="I578" s="3" t="s">
        <v>4304</v>
      </c>
      <c r="J578" s="3" t="s">
        <v>223</v>
      </c>
      <c r="K578" s="3" t="s">
        <v>356</v>
      </c>
      <c r="L578" s="3" t="s">
        <v>4305</v>
      </c>
      <c r="M578" s="3" t="s">
        <v>4306</v>
      </c>
      <c r="N578" s="3" t="s">
        <v>63</v>
      </c>
      <c r="O578" s="3" t="s">
        <v>94</v>
      </c>
      <c r="P578" s="3" t="s">
        <v>4307</v>
      </c>
      <c r="Q578" s="3" t="s">
        <v>4308</v>
      </c>
      <c r="R578" s="3" t="s">
        <v>36</v>
      </c>
      <c r="S578" s="3" t="s">
        <v>247</v>
      </c>
      <c r="T578" s="3" t="s">
        <v>37</v>
      </c>
      <c r="U578" s="3" t="s">
        <v>78</v>
      </c>
      <c r="V578" s="3" t="s">
        <v>4309</v>
      </c>
      <c r="W578" s="3" t="s">
        <v>223</v>
      </c>
      <c r="X578" s="3" t="s">
        <v>780</v>
      </c>
      <c r="Y578" s="3" t="s">
        <v>4310</v>
      </c>
      <c r="Z578" s="3" t="s">
        <v>3831</v>
      </c>
      <c r="AA578" s="3" t="s">
        <v>123</v>
      </c>
      <c r="AB578" s="3" t="s">
        <v>226</v>
      </c>
      <c r="AC578" s="3" t="s">
        <v>4311</v>
      </c>
      <c r="AD578" s="14">
        <v>45922</v>
      </c>
      <c r="AE578" s="14">
        <v>46202</v>
      </c>
      <c r="AF578" s="3"/>
    </row>
    <row r="579" spans="1:32" ht="39.6" hidden="1">
      <c r="A579" s="3" t="s">
        <v>2585</v>
      </c>
      <c r="B579" s="3" t="s">
        <v>2586</v>
      </c>
      <c r="C579" s="3"/>
      <c r="D579" s="3" t="s">
        <v>59</v>
      </c>
      <c r="E579" s="3" t="s">
        <v>36</v>
      </c>
      <c r="F579" s="3" t="s">
        <v>221</v>
      </c>
      <c r="G579" s="3" t="s">
        <v>37</v>
      </c>
      <c r="H579" s="3" t="s">
        <v>49</v>
      </c>
      <c r="I579" s="3" t="s">
        <v>2588</v>
      </c>
      <c r="J579" s="3" t="s">
        <v>223</v>
      </c>
      <c r="K579" s="3" t="s">
        <v>780</v>
      </c>
      <c r="L579" s="3" t="s">
        <v>2589</v>
      </c>
      <c r="M579" s="3" t="s">
        <v>2590</v>
      </c>
      <c r="N579" s="3" t="s">
        <v>79</v>
      </c>
      <c r="O579" s="3" t="s">
        <v>295</v>
      </c>
      <c r="P579" s="3" t="s">
        <v>4312</v>
      </c>
      <c r="Q579" s="3" t="s">
        <v>4313</v>
      </c>
      <c r="R579" s="3" t="s">
        <v>36</v>
      </c>
      <c r="S579" s="3" t="s">
        <v>254</v>
      </c>
      <c r="T579" s="3" t="s">
        <v>37</v>
      </c>
      <c r="U579" s="3" t="s">
        <v>73</v>
      </c>
      <c r="V579" s="3" t="s">
        <v>4314</v>
      </c>
      <c r="W579" s="3" t="s">
        <v>223</v>
      </c>
      <c r="X579" s="3" t="s">
        <v>41</v>
      </c>
      <c r="Y579" s="3" t="s">
        <v>4315</v>
      </c>
      <c r="Z579" s="3" t="s">
        <v>4316</v>
      </c>
      <c r="AA579" s="3" t="s">
        <v>63</v>
      </c>
      <c r="AB579" s="3" t="s">
        <v>1837</v>
      </c>
      <c r="AC579" s="3" t="s">
        <v>4317</v>
      </c>
      <c r="AD579" s="14">
        <v>45931</v>
      </c>
      <c r="AE579" s="14"/>
      <c r="AF579" s="3"/>
    </row>
    <row r="580" spans="1:32" ht="39.6" hidden="1">
      <c r="A580" s="3" t="s">
        <v>1865</v>
      </c>
      <c r="B580" s="3" t="s">
        <v>1866</v>
      </c>
      <c r="C580" s="3"/>
      <c r="D580" s="3" t="s">
        <v>59</v>
      </c>
      <c r="E580" s="3" t="s">
        <v>36</v>
      </c>
      <c r="F580" s="3" t="s">
        <v>221</v>
      </c>
      <c r="G580" s="3" t="s">
        <v>82</v>
      </c>
      <c r="H580" s="3" t="s">
        <v>49</v>
      </c>
      <c r="I580" s="3" t="s">
        <v>1868</v>
      </c>
      <c r="J580" s="3" t="s">
        <v>223</v>
      </c>
      <c r="K580" s="3" t="s">
        <v>41</v>
      </c>
      <c r="L580" s="3" t="s">
        <v>1869</v>
      </c>
      <c r="M580" s="3" t="s">
        <v>1870</v>
      </c>
      <c r="N580" s="3" t="s">
        <v>79</v>
      </c>
      <c r="O580" s="3" t="s">
        <v>295</v>
      </c>
      <c r="P580" s="3" t="s">
        <v>4318</v>
      </c>
      <c r="Q580" s="3" t="s">
        <v>4319</v>
      </c>
      <c r="R580" s="3" t="s">
        <v>467</v>
      </c>
      <c r="S580" s="3" t="s">
        <v>221</v>
      </c>
      <c r="T580" s="3" t="s">
        <v>37</v>
      </c>
      <c r="U580" s="3" t="s">
        <v>38</v>
      </c>
      <c r="V580" s="3" t="s">
        <v>4320</v>
      </c>
      <c r="W580" s="3" t="s">
        <v>223</v>
      </c>
      <c r="X580" s="3" t="s">
        <v>41</v>
      </c>
      <c r="Y580" s="3" t="s">
        <v>4321</v>
      </c>
      <c r="Z580" s="3" t="s">
        <v>470</v>
      </c>
      <c r="AA580" s="3" t="s">
        <v>79</v>
      </c>
      <c r="AB580" s="3" t="s">
        <v>116</v>
      </c>
      <c r="AC580" s="3" t="s">
        <v>4322</v>
      </c>
      <c r="AD580" s="14">
        <v>45951</v>
      </c>
      <c r="AE580" s="14">
        <v>46203</v>
      </c>
      <c r="AF580" s="3"/>
    </row>
    <row r="581" spans="1:32" ht="409.6" hidden="1">
      <c r="A581" s="3" t="s">
        <v>2361</v>
      </c>
      <c r="B581" s="3" t="s">
        <v>2362</v>
      </c>
      <c r="C581" s="3" t="s">
        <v>4323</v>
      </c>
      <c r="D581" s="3" t="s">
        <v>59</v>
      </c>
      <c r="E581" s="3" t="s">
        <v>36</v>
      </c>
      <c r="F581" s="3" t="s">
        <v>221</v>
      </c>
      <c r="G581" s="3" t="s">
        <v>82</v>
      </c>
      <c r="H581" s="3" t="s">
        <v>49</v>
      </c>
      <c r="I581" s="3" t="s">
        <v>2364</v>
      </c>
      <c r="J581" s="3" t="s">
        <v>223</v>
      </c>
      <c r="K581" s="3" t="s">
        <v>41</v>
      </c>
      <c r="L581" s="3" t="s">
        <v>2365</v>
      </c>
      <c r="M581" s="3" t="s">
        <v>1085</v>
      </c>
      <c r="N581" s="3" t="s">
        <v>53</v>
      </c>
      <c r="O581" s="3" t="s">
        <v>658</v>
      </c>
      <c r="P581" s="3" t="s">
        <v>4324</v>
      </c>
      <c r="Q581" s="3" t="s">
        <v>4325</v>
      </c>
      <c r="R581" s="3" t="s">
        <v>36</v>
      </c>
      <c r="S581" s="3" t="s">
        <v>221</v>
      </c>
      <c r="T581" s="3" t="s">
        <v>37</v>
      </c>
      <c r="U581" s="3" t="s">
        <v>73</v>
      </c>
      <c r="V581" s="3" t="s">
        <v>4326</v>
      </c>
      <c r="W581" s="3" t="s">
        <v>223</v>
      </c>
      <c r="X581" s="3" t="s">
        <v>41</v>
      </c>
      <c r="Y581" s="3" t="s">
        <v>4327</v>
      </c>
      <c r="Z581" s="3" t="s">
        <v>692</v>
      </c>
      <c r="AA581" s="3" t="s">
        <v>281</v>
      </c>
      <c r="AB581" s="3" t="s">
        <v>658</v>
      </c>
      <c r="AC581" s="3" t="s">
        <v>4328</v>
      </c>
      <c r="AD581" s="14">
        <v>45936</v>
      </c>
      <c r="AE581" s="14">
        <v>46387</v>
      </c>
      <c r="AF581" s="3"/>
    </row>
    <row r="582" spans="1:32" ht="145.15" hidden="1">
      <c r="A582" s="3" t="s">
        <v>3538</v>
      </c>
      <c r="B582" s="3" t="s">
        <v>3539</v>
      </c>
      <c r="C582" s="3" t="s">
        <v>4329</v>
      </c>
      <c r="D582" s="3" t="s">
        <v>59</v>
      </c>
      <c r="E582" s="3" t="s">
        <v>36</v>
      </c>
      <c r="F582" s="3" t="s">
        <v>274</v>
      </c>
      <c r="G582" s="3" t="s">
        <v>37</v>
      </c>
      <c r="H582" s="3" t="s">
        <v>78</v>
      </c>
      <c r="I582" s="3" t="s">
        <v>3541</v>
      </c>
      <c r="J582" s="3" t="s">
        <v>223</v>
      </c>
      <c r="K582" s="3" t="s">
        <v>780</v>
      </c>
      <c r="L582" s="3" t="s">
        <v>3542</v>
      </c>
      <c r="M582" s="3" t="s">
        <v>3543</v>
      </c>
      <c r="N582" s="3" t="s">
        <v>53</v>
      </c>
      <c r="O582" s="3" t="s">
        <v>301</v>
      </c>
      <c r="P582" s="3" t="s">
        <v>4330</v>
      </c>
      <c r="Q582" s="3" t="s">
        <v>4331</v>
      </c>
      <c r="R582" s="3" t="s">
        <v>36</v>
      </c>
      <c r="S582" s="3" t="s">
        <v>221</v>
      </c>
      <c r="T582" s="3" t="s">
        <v>37</v>
      </c>
      <c r="U582" s="3" t="s">
        <v>49</v>
      </c>
      <c r="V582" s="3" t="s">
        <v>3541</v>
      </c>
      <c r="W582" s="3" t="s">
        <v>223</v>
      </c>
      <c r="X582" s="3" t="s">
        <v>780</v>
      </c>
      <c r="Y582" s="3" t="s">
        <v>3542</v>
      </c>
      <c r="Z582" s="3" t="s">
        <v>4332</v>
      </c>
      <c r="AA582" s="3" t="s">
        <v>63</v>
      </c>
      <c r="AB582" s="3" t="s">
        <v>506</v>
      </c>
      <c r="AC582" s="3" t="s">
        <v>4333</v>
      </c>
      <c r="AD582" s="14">
        <v>45901</v>
      </c>
      <c r="AE582" s="14">
        <v>46295</v>
      </c>
      <c r="AF582" s="3"/>
    </row>
    <row r="583" spans="1:32" ht="316.89999999999998" hidden="1">
      <c r="A583" s="3" t="s">
        <v>4334</v>
      </c>
      <c r="B583" s="3" t="s">
        <v>4335</v>
      </c>
      <c r="C583" s="3" t="s">
        <v>4336</v>
      </c>
      <c r="D583" s="3" t="s">
        <v>59</v>
      </c>
      <c r="E583" s="3" t="s">
        <v>412</v>
      </c>
      <c r="F583" s="3" t="s">
        <v>274</v>
      </c>
      <c r="G583" s="3" t="s">
        <v>82</v>
      </c>
      <c r="H583" s="3" t="s">
        <v>38</v>
      </c>
      <c r="I583" s="3" t="s">
        <v>4337</v>
      </c>
      <c r="J583" s="3" t="s">
        <v>223</v>
      </c>
      <c r="K583" s="3" t="s">
        <v>41</v>
      </c>
      <c r="L583" s="3" t="s">
        <v>4338</v>
      </c>
      <c r="M583" s="3" t="s">
        <v>4339</v>
      </c>
      <c r="N583" s="3" t="s">
        <v>53</v>
      </c>
      <c r="O583" s="3" t="s">
        <v>409</v>
      </c>
      <c r="P583" s="3" t="s">
        <v>4340</v>
      </c>
      <c r="Q583" s="3" t="s">
        <v>4341</v>
      </c>
      <c r="R583" s="3" t="s">
        <v>467</v>
      </c>
      <c r="S583" s="3" t="s">
        <v>274</v>
      </c>
      <c r="T583" s="3" t="s">
        <v>37</v>
      </c>
      <c r="U583" s="3" t="s">
        <v>73</v>
      </c>
      <c r="V583" s="3" t="s">
        <v>4342</v>
      </c>
      <c r="W583" s="3" t="s">
        <v>223</v>
      </c>
      <c r="X583" s="3" t="s">
        <v>41</v>
      </c>
      <c r="Y583" s="3" t="s">
        <v>950</v>
      </c>
      <c r="Z583" s="3" t="s">
        <v>4343</v>
      </c>
      <c r="AA583" s="3" t="s">
        <v>69</v>
      </c>
      <c r="AB583" s="3" t="s">
        <v>100</v>
      </c>
      <c r="AC583" s="3" t="s">
        <v>4344</v>
      </c>
      <c r="AD583" s="14">
        <v>45931</v>
      </c>
      <c r="AE583" s="14"/>
      <c r="AF583" s="3"/>
    </row>
    <row r="584" spans="1:32" ht="39.6" hidden="1">
      <c r="A584" s="3" t="s">
        <v>4345</v>
      </c>
      <c r="B584" s="3" t="s">
        <v>4346</v>
      </c>
      <c r="C584" s="3" t="s">
        <v>4347</v>
      </c>
      <c r="D584" s="3" t="s">
        <v>348</v>
      </c>
      <c r="E584" s="3" t="s">
        <v>36</v>
      </c>
      <c r="F584" s="3" t="s">
        <v>247</v>
      </c>
      <c r="G584" s="3" t="s">
        <v>37</v>
      </c>
      <c r="H584" s="3" t="s">
        <v>38</v>
      </c>
      <c r="I584" s="3" t="s">
        <v>4348</v>
      </c>
      <c r="J584" s="3" t="s">
        <v>223</v>
      </c>
      <c r="K584" s="3" t="s">
        <v>41</v>
      </c>
      <c r="L584" s="3" t="s">
        <v>2836</v>
      </c>
      <c r="M584" s="3" t="s">
        <v>2294</v>
      </c>
      <c r="N584" s="3" t="s">
        <v>79</v>
      </c>
      <c r="O584" s="3" t="s">
        <v>308</v>
      </c>
      <c r="P584" s="3" t="s">
        <v>4349</v>
      </c>
      <c r="Q584" s="3" t="s">
        <v>4350</v>
      </c>
      <c r="R584" s="3" t="s">
        <v>36</v>
      </c>
      <c r="S584" s="3" t="s">
        <v>247</v>
      </c>
      <c r="T584" s="3" t="s">
        <v>82</v>
      </c>
      <c r="U584" s="3" t="s">
        <v>73</v>
      </c>
      <c r="V584" s="3" t="s">
        <v>4351</v>
      </c>
      <c r="W584" s="3" t="s">
        <v>223</v>
      </c>
      <c r="X584" s="3" t="s">
        <v>41</v>
      </c>
      <c r="Y584" s="3" t="s">
        <v>2836</v>
      </c>
      <c r="Z584" s="3" t="s">
        <v>313</v>
      </c>
      <c r="AA584" s="3" t="s">
        <v>79</v>
      </c>
      <c r="AB584" s="3" t="s">
        <v>308</v>
      </c>
      <c r="AC584" s="3" t="s">
        <v>4352</v>
      </c>
      <c r="AD584" s="14">
        <v>45932</v>
      </c>
      <c r="AE584" s="14">
        <v>46142</v>
      </c>
      <c r="AF584" s="3"/>
    </row>
    <row r="585" spans="1:32" ht="145.15" hidden="1">
      <c r="A585" s="3" t="s">
        <v>3538</v>
      </c>
      <c r="B585" s="3" t="s">
        <v>3539</v>
      </c>
      <c r="C585" s="3" t="s">
        <v>4353</v>
      </c>
      <c r="D585" s="3" t="s">
        <v>348</v>
      </c>
      <c r="E585" s="3" t="s">
        <v>36</v>
      </c>
      <c r="F585" s="3" t="s">
        <v>274</v>
      </c>
      <c r="G585" s="3" t="s">
        <v>37</v>
      </c>
      <c r="H585" s="3" t="s">
        <v>78</v>
      </c>
      <c r="I585" s="3" t="s">
        <v>3541</v>
      </c>
      <c r="J585" s="3" t="s">
        <v>223</v>
      </c>
      <c r="K585" s="3" t="s">
        <v>780</v>
      </c>
      <c r="L585" s="3" t="s">
        <v>3542</v>
      </c>
      <c r="M585" s="3" t="s">
        <v>3543</v>
      </c>
      <c r="N585" s="3" t="s">
        <v>53</v>
      </c>
      <c r="O585" s="3" t="s">
        <v>301</v>
      </c>
      <c r="P585" s="3" t="s">
        <v>4354</v>
      </c>
      <c r="Q585" s="3" t="s">
        <v>4355</v>
      </c>
      <c r="R585" s="3" t="s">
        <v>36</v>
      </c>
      <c r="S585" s="3" t="s">
        <v>274</v>
      </c>
      <c r="T585" s="3" t="s">
        <v>82</v>
      </c>
      <c r="U585" s="3" t="s">
        <v>38</v>
      </c>
      <c r="V585" s="3" t="s">
        <v>4356</v>
      </c>
      <c r="W585" s="3" t="s">
        <v>223</v>
      </c>
      <c r="X585" s="3" t="s">
        <v>41</v>
      </c>
      <c r="Y585" s="3" t="s">
        <v>4357</v>
      </c>
      <c r="Z585" s="3" t="s">
        <v>1956</v>
      </c>
      <c r="AA585" s="3" t="s">
        <v>79</v>
      </c>
      <c r="AB585" s="3" t="s">
        <v>543</v>
      </c>
      <c r="AC585" s="3" t="s">
        <v>4358</v>
      </c>
      <c r="AD585" s="14">
        <v>45770</v>
      </c>
      <c r="AE585" s="14">
        <v>46135</v>
      </c>
      <c r="AF585" s="3"/>
    </row>
    <row r="586" spans="1:32" ht="66" hidden="1">
      <c r="A586" s="3" t="s">
        <v>4359</v>
      </c>
      <c r="B586" s="3" t="s">
        <v>4360</v>
      </c>
      <c r="C586" s="3" t="s">
        <v>4361</v>
      </c>
      <c r="D586" s="3" t="s">
        <v>59</v>
      </c>
      <c r="E586" s="3" t="s">
        <v>36</v>
      </c>
      <c r="F586" s="3" t="s">
        <v>247</v>
      </c>
      <c r="G586" s="3" t="s">
        <v>82</v>
      </c>
      <c r="H586" s="3" t="s">
        <v>38</v>
      </c>
      <c r="I586" s="3" t="s">
        <v>4362</v>
      </c>
      <c r="J586" s="3" t="s">
        <v>223</v>
      </c>
      <c r="K586" s="3" t="s">
        <v>780</v>
      </c>
      <c r="L586" s="3" t="s">
        <v>4363</v>
      </c>
      <c r="M586" s="3" t="s">
        <v>3984</v>
      </c>
      <c r="N586" s="3" t="s">
        <v>44</v>
      </c>
      <c r="O586" s="3" t="s">
        <v>270</v>
      </c>
      <c r="P586" s="3" t="s">
        <v>4364</v>
      </c>
      <c r="Q586" s="3" t="s">
        <v>4365</v>
      </c>
      <c r="R586" s="3" t="s">
        <v>36</v>
      </c>
      <c r="S586" s="3" t="s">
        <v>247</v>
      </c>
      <c r="T586" s="3" t="s">
        <v>37</v>
      </c>
      <c r="U586" s="3" t="s">
        <v>49</v>
      </c>
      <c r="V586" s="3" t="s">
        <v>4366</v>
      </c>
      <c r="W586" s="3" t="s">
        <v>223</v>
      </c>
      <c r="X586" s="3" t="s">
        <v>780</v>
      </c>
      <c r="Y586" s="3" t="s">
        <v>3472</v>
      </c>
      <c r="Z586" s="3" t="s">
        <v>4367</v>
      </c>
      <c r="AA586" s="3" t="s">
        <v>281</v>
      </c>
      <c r="AB586" s="3" t="s">
        <v>308</v>
      </c>
      <c r="AC586" s="3" t="s">
        <v>4368</v>
      </c>
      <c r="AD586" s="14">
        <v>45931</v>
      </c>
      <c r="AE586" s="14">
        <v>46356</v>
      </c>
      <c r="AF586" s="3"/>
    </row>
    <row r="587" spans="1:32" ht="39.6" hidden="1">
      <c r="A587" s="3" t="s">
        <v>4349</v>
      </c>
      <c r="B587" s="3" t="s">
        <v>4350</v>
      </c>
      <c r="C587" s="3" t="s">
        <v>4369</v>
      </c>
      <c r="D587" s="3" t="s">
        <v>348</v>
      </c>
      <c r="E587" s="3" t="s">
        <v>36</v>
      </c>
      <c r="F587" s="3" t="s">
        <v>247</v>
      </c>
      <c r="G587" s="3" t="s">
        <v>82</v>
      </c>
      <c r="H587" s="3" t="s">
        <v>73</v>
      </c>
      <c r="I587" s="3" t="s">
        <v>4351</v>
      </c>
      <c r="J587" s="3" t="s">
        <v>223</v>
      </c>
      <c r="K587" s="3" t="s">
        <v>41</v>
      </c>
      <c r="L587" s="3" t="s">
        <v>2836</v>
      </c>
      <c r="M587" s="3" t="s">
        <v>313</v>
      </c>
      <c r="N587" s="3" t="s">
        <v>79</v>
      </c>
      <c r="O587" s="3" t="s">
        <v>308</v>
      </c>
      <c r="P587" s="3" t="s">
        <v>4370</v>
      </c>
      <c r="Q587" s="3" t="s">
        <v>4371</v>
      </c>
      <c r="R587" s="3" t="s">
        <v>36</v>
      </c>
      <c r="S587" s="3" t="s">
        <v>247</v>
      </c>
      <c r="T587" s="3" t="s">
        <v>82</v>
      </c>
      <c r="U587" s="3" t="s">
        <v>73</v>
      </c>
      <c r="V587" s="3" t="s">
        <v>4348</v>
      </c>
      <c r="W587" s="3" t="s">
        <v>223</v>
      </c>
      <c r="X587" s="3" t="s">
        <v>41</v>
      </c>
      <c r="Y587" s="3" t="s">
        <v>2836</v>
      </c>
      <c r="Z587" s="3" t="s">
        <v>313</v>
      </c>
      <c r="AA587" s="3" t="s">
        <v>285</v>
      </c>
      <c r="AB587" s="3" t="s">
        <v>308</v>
      </c>
      <c r="AC587" s="3" t="s">
        <v>4372</v>
      </c>
      <c r="AD587" s="14">
        <v>45952</v>
      </c>
      <c r="AE587" s="14">
        <v>46112</v>
      </c>
      <c r="AF587" s="3"/>
    </row>
    <row r="588" spans="1:32" ht="224.45" hidden="1">
      <c r="A588" s="3" t="s">
        <v>4373</v>
      </c>
      <c r="B588" s="3" t="s">
        <v>4374</v>
      </c>
      <c r="C588" s="3" t="s">
        <v>4375</v>
      </c>
      <c r="D588" s="3" t="s">
        <v>59</v>
      </c>
      <c r="E588" s="3" t="s">
        <v>36</v>
      </c>
      <c r="F588" s="3" t="s">
        <v>254</v>
      </c>
      <c r="G588" s="3" t="s">
        <v>37</v>
      </c>
      <c r="H588" s="3" t="s">
        <v>49</v>
      </c>
      <c r="I588" s="3" t="s">
        <v>4376</v>
      </c>
      <c r="J588" s="3" t="s">
        <v>223</v>
      </c>
      <c r="K588" s="3" t="s">
        <v>356</v>
      </c>
      <c r="L588" s="3" t="s">
        <v>4377</v>
      </c>
      <c r="M588" s="3" t="s">
        <v>4378</v>
      </c>
      <c r="N588" s="3" t="s">
        <v>63</v>
      </c>
      <c r="O588" s="3" t="s">
        <v>2219</v>
      </c>
      <c r="P588" s="3" t="s">
        <v>4379</v>
      </c>
      <c r="Q588" s="3" t="s">
        <v>4380</v>
      </c>
      <c r="R588" s="3" t="s">
        <v>36</v>
      </c>
      <c r="S588" s="3" t="s">
        <v>221</v>
      </c>
      <c r="T588" s="3" t="s">
        <v>82</v>
      </c>
      <c r="U588" s="3" t="s">
        <v>73</v>
      </c>
      <c r="V588" s="3" t="s">
        <v>4381</v>
      </c>
      <c r="W588" s="3" t="s">
        <v>223</v>
      </c>
      <c r="X588" s="3" t="s">
        <v>41</v>
      </c>
      <c r="Y588" s="3" t="s">
        <v>4382</v>
      </c>
      <c r="Z588" s="3" t="s">
        <v>1389</v>
      </c>
      <c r="AA588" s="3" t="s">
        <v>281</v>
      </c>
      <c r="AB588" s="3" t="s">
        <v>54</v>
      </c>
      <c r="AC588" s="3" t="s">
        <v>4383</v>
      </c>
      <c r="AD588" s="14">
        <v>45873</v>
      </c>
      <c r="AE588" s="14"/>
      <c r="AF588" s="3"/>
    </row>
    <row r="589" spans="1:32" ht="39.6" hidden="1">
      <c r="A589" s="3" t="s">
        <v>3282</v>
      </c>
      <c r="B589" s="3" t="s">
        <v>3283</v>
      </c>
      <c r="C589" s="3" t="s">
        <v>4384</v>
      </c>
      <c r="D589" s="3" t="s">
        <v>35</v>
      </c>
      <c r="E589" s="3" t="s">
        <v>36</v>
      </c>
      <c r="F589" s="3" t="s">
        <v>274</v>
      </c>
      <c r="G589" s="3" t="s">
        <v>82</v>
      </c>
      <c r="H589" s="3" t="s">
        <v>78</v>
      </c>
      <c r="I589" s="3" t="s">
        <v>3285</v>
      </c>
      <c r="J589" s="3" t="s">
        <v>223</v>
      </c>
      <c r="K589" s="3" t="s">
        <v>41</v>
      </c>
      <c r="L589" s="3" t="s">
        <v>3286</v>
      </c>
      <c r="M589" s="3" t="s">
        <v>530</v>
      </c>
      <c r="N589" s="3" t="s">
        <v>44</v>
      </c>
      <c r="O589" s="3" t="s">
        <v>278</v>
      </c>
      <c r="P589" s="3" t="s">
        <v>4385</v>
      </c>
      <c r="Q589" s="3" t="s">
        <v>4386</v>
      </c>
      <c r="R589" s="3" t="s">
        <v>36</v>
      </c>
      <c r="S589" s="3" t="s">
        <v>254</v>
      </c>
      <c r="T589" s="3" t="s">
        <v>37</v>
      </c>
      <c r="U589" s="3" t="s">
        <v>78</v>
      </c>
      <c r="V589" s="3" t="s">
        <v>3620</v>
      </c>
      <c r="W589" s="3" t="s">
        <v>223</v>
      </c>
      <c r="X589" s="3" t="s">
        <v>41</v>
      </c>
      <c r="Y589" s="3" t="s">
        <v>3621</v>
      </c>
      <c r="Z589" s="3" t="s">
        <v>1007</v>
      </c>
      <c r="AA589" s="3" t="s">
        <v>69</v>
      </c>
      <c r="AB589" s="3" t="s">
        <v>240</v>
      </c>
      <c r="AC589" s="3" t="s">
        <v>4387</v>
      </c>
      <c r="AD589" s="14">
        <v>45951</v>
      </c>
      <c r="AE589" s="14">
        <v>45961</v>
      </c>
      <c r="AF589" s="3"/>
    </row>
    <row r="590" spans="1:32" ht="39.6" hidden="1">
      <c r="A590" s="3" t="s">
        <v>3873</v>
      </c>
      <c r="B590" s="3" t="s">
        <v>3874</v>
      </c>
      <c r="C590" s="3" t="s">
        <v>4388</v>
      </c>
      <c r="D590" s="3" t="s">
        <v>348</v>
      </c>
      <c r="E590" s="3" t="s">
        <v>36</v>
      </c>
      <c r="F590" s="3" t="s">
        <v>247</v>
      </c>
      <c r="G590" s="3" t="s">
        <v>82</v>
      </c>
      <c r="H590" s="3" t="s">
        <v>38</v>
      </c>
      <c r="I590" s="3" t="s">
        <v>1546</v>
      </c>
      <c r="J590" s="3" t="s">
        <v>223</v>
      </c>
      <c r="K590" s="3" t="s">
        <v>41</v>
      </c>
      <c r="L590" s="3" t="s">
        <v>1547</v>
      </c>
      <c r="M590" s="3" t="s">
        <v>3875</v>
      </c>
      <c r="N590" s="3" t="s">
        <v>53</v>
      </c>
      <c r="O590" s="3" t="s">
        <v>226</v>
      </c>
      <c r="P590" s="3" t="s">
        <v>4389</v>
      </c>
      <c r="Q590" s="3" t="s">
        <v>4390</v>
      </c>
      <c r="R590" s="3" t="s">
        <v>36</v>
      </c>
      <c r="S590" s="3" t="s">
        <v>221</v>
      </c>
      <c r="T590" s="3" t="s">
        <v>82</v>
      </c>
      <c r="U590" s="3" t="s">
        <v>38</v>
      </c>
      <c r="V590" s="3" t="s">
        <v>4391</v>
      </c>
      <c r="W590" s="3" t="s">
        <v>223</v>
      </c>
      <c r="X590" s="3" t="s">
        <v>41</v>
      </c>
      <c r="Y590" s="3" t="s">
        <v>4392</v>
      </c>
      <c r="Z590" s="3" t="s">
        <v>2837</v>
      </c>
      <c r="AA590" s="3" t="s">
        <v>79</v>
      </c>
      <c r="AB590" s="3" t="s">
        <v>1610</v>
      </c>
      <c r="AC590" s="3" t="s">
        <v>4393</v>
      </c>
      <c r="AD590" s="14">
        <v>46042</v>
      </c>
      <c r="AE590" s="14">
        <v>46387</v>
      </c>
      <c r="AF590" s="3"/>
    </row>
    <row r="591" spans="1:32" ht="39.6" hidden="1">
      <c r="A591" s="3" t="s">
        <v>3159</v>
      </c>
      <c r="B591" s="3" t="s">
        <v>3160</v>
      </c>
      <c r="C591" s="3"/>
      <c r="D591" s="3" t="s">
        <v>59</v>
      </c>
      <c r="E591" s="3" t="s">
        <v>36</v>
      </c>
      <c r="F591" s="3" t="s">
        <v>274</v>
      </c>
      <c r="G591" s="3" t="s">
        <v>37</v>
      </c>
      <c r="H591" s="3" t="s">
        <v>78</v>
      </c>
      <c r="I591" s="3" t="s">
        <v>2500</v>
      </c>
      <c r="J591" s="3" t="s">
        <v>223</v>
      </c>
      <c r="K591" s="3" t="s">
        <v>41</v>
      </c>
      <c r="L591" s="3" t="s">
        <v>2501</v>
      </c>
      <c r="M591" s="3" t="s">
        <v>294</v>
      </c>
      <c r="N591" s="3" t="s">
        <v>53</v>
      </c>
      <c r="O591" s="3" t="s">
        <v>295</v>
      </c>
      <c r="P591" s="3" t="s">
        <v>4394</v>
      </c>
      <c r="Q591" s="3" t="s">
        <v>4395</v>
      </c>
      <c r="R591" s="3" t="s">
        <v>36</v>
      </c>
      <c r="S591" s="3" t="s">
        <v>221</v>
      </c>
      <c r="T591" s="3" t="s">
        <v>37</v>
      </c>
      <c r="U591" s="3" t="s">
        <v>49</v>
      </c>
      <c r="V591" s="3" t="s">
        <v>4396</v>
      </c>
      <c r="W591" s="3" t="s">
        <v>223</v>
      </c>
      <c r="X591" s="3" t="s">
        <v>41</v>
      </c>
      <c r="Y591" s="3" t="s">
        <v>4238</v>
      </c>
      <c r="Z591" s="3" t="s">
        <v>4397</v>
      </c>
      <c r="AA591" s="3" t="s">
        <v>281</v>
      </c>
      <c r="AB591" s="3" t="s">
        <v>94</v>
      </c>
      <c r="AC591" s="3" t="s">
        <v>4398</v>
      </c>
      <c r="AD591" s="14">
        <v>45946</v>
      </c>
      <c r="AE591" s="14"/>
      <c r="AF591" s="3"/>
    </row>
    <row r="592" spans="1:32" ht="343.15" hidden="1">
      <c r="A592" s="3" t="s">
        <v>2947</v>
      </c>
      <c r="B592" s="3" t="s">
        <v>2948</v>
      </c>
      <c r="C592" s="3" t="s">
        <v>4399</v>
      </c>
      <c r="D592" s="3" t="s">
        <v>59</v>
      </c>
      <c r="E592" s="3" t="s">
        <v>36</v>
      </c>
      <c r="F592" s="3" t="s">
        <v>274</v>
      </c>
      <c r="G592" s="3" t="s">
        <v>82</v>
      </c>
      <c r="H592" s="3" t="s">
        <v>78</v>
      </c>
      <c r="I592" s="3" t="s">
        <v>2950</v>
      </c>
      <c r="J592" s="3" t="s">
        <v>223</v>
      </c>
      <c r="K592" s="3" t="s">
        <v>41</v>
      </c>
      <c r="L592" s="3" t="s">
        <v>249</v>
      </c>
      <c r="M592" s="3" t="s">
        <v>250</v>
      </c>
      <c r="N592" s="3" t="s">
        <v>53</v>
      </c>
      <c r="O592" s="3" t="s">
        <v>251</v>
      </c>
      <c r="P592" s="3" t="s">
        <v>4400</v>
      </c>
      <c r="Q592" s="3" t="s">
        <v>4401</v>
      </c>
      <c r="R592" s="3" t="s">
        <v>36</v>
      </c>
      <c r="S592" s="3" t="s">
        <v>221</v>
      </c>
      <c r="T592" s="3" t="s">
        <v>37</v>
      </c>
      <c r="U592" s="3" t="s">
        <v>49</v>
      </c>
      <c r="V592" s="3" t="s">
        <v>4402</v>
      </c>
      <c r="W592" s="3" t="s">
        <v>223</v>
      </c>
      <c r="X592" s="3" t="s">
        <v>41</v>
      </c>
      <c r="Y592" s="3" t="s">
        <v>2492</v>
      </c>
      <c r="Z592" s="3" t="s">
        <v>3409</v>
      </c>
      <c r="AA592" s="3" t="s">
        <v>53</v>
      </c>
      <c r="AB592" s="3" t="s">
        <v>1591</v>
      </c>
      <c r="AC592" s="3" t="s">
        <v>4403</v>
      </c>
      <c r="AD592" s="14">
        <v>45964</v>
      </c>
      <c r="AE592" s="14">
        <v>46297</v>
      </c>
      <c r="AF592" s="3"/>
    </row>
    <row r="593" spans="1:32" ht="52.9" hidden="1">
      <c r="A593" s="3" t="s">
        <v>4385</v>
      </c>
      <c r="B593" s="3" t="s">
        <v>4386</v>
      </c>
      <c r="C593" s="3" t="s">
        <v>4404</v>
      </c>
      <c r="D593" s="3" t="s">
        <v>35</v>
      </c>
      <c r="E593" s="3" t="s">
        <v>36</v>
      </c>
      <c r="F593" s="3" t="s">
        <v>254</v>
      </c>
      <c r="G593" s="3" t="s">
        <v>37</v>
      </c>
      <c r="H593" s="3" t="s">
        <v>78</v>
      </c>
      <c r="I593" s="3" t="s">
        <v>3620</v>
      </c>
      <c r="J593" s="3" t="s">
        <v>223</v>
      </c>
      <c r="K593" s="3" t="s">
        <v>41</v>
      </c>
      <c r="L593" s="3" t="s">
        <v>3621</v>
      </c>
      <c r="M593" s="3" t="s">
        <v>1007</v>
      </c>
      <c r="N593" s="3" t="s">
        <v>69</v>
      </c>
      <c r="O593" s="3" t="s">
        <v>240</v>
      </c>
      <c r="P593" s="3" t="s">
        <v>4405</v>
      </c>
      <c r="Q593" s="3" t="s">
        <v>4406</v>
      </c>
      <c r="R593" s="3" t="s">
        <v>36</v>
      </c>
      <c r="S593" s="3" t="s">
        <v>254</v>
      </c>
      <c r="T593" s="3" t="s">
        <v>37</v>
      </c>
      <c r="U593" s="3" t="s">
        <v>78</v>
      </c>
      <c r="V593" s="3" t="s">
        <v>3388</v>
      </c>
      <c r="W593" s="3" t="s">
        <v>223</v>
      </c>
      <c r="X593" s="3" t="s">
        <v>41</v>
      </c>
      <c r="Y593" s="3" t="s">
        <v>2836</v>
      </c>
      <c r="Z593" s="3" t="s">
        <v>4407</v>
      </c>
      <c r="AA593" s="3" t="s">
        <v>63</v>
      </c>
      <c r="AB593" s="3" t="s">
        <v>1610</v>
      </c>
      <c r="AC593" s="3" t="s">
        <v>4408</v>
      </c>
      <c r="AD593" s="14">
        <v>46023</v>
      </c>
      <c r="AE593" s="14">
        <v>46387</v>
      </c>
      <c r="AF593" s="3"/>
    </row>
    <row r="594" spans="1:32" ht="66" hidden="1">
      <c r="A594" s="3" t="s">
        <v>4409</v>
      </c>
      <c r="B594" s="3" t="s">
        <v>4410</v>
      </c>
      <c r="C594" s="3" t="s">
        <v>4411</v>
      </c>
      <c r="D594" s="3" t="s">
        <v>59</v>
      </c>
      <c r="E594" s="3" t="s">
        <v>36</v>
      </c>
      <c r="F594" s="3" t="s">
        <v>221</v>
      </c>
      <c r="G594" s="3" t="s">
        <v>82</v>
      </c>
      <c r="H594" s="3" t="s">
        <v>38</v>
      </c>
      <c r="I594" s="3" t="s">
        <v>4412</v>
      </c>
      <c r="J594" s="3" t="s">
        <v>223</v>
      </c>
      <c r="K594" s="3" t="s">
        <v>41</v>
      </c>
      <c r="L594" s="3" t="s">
        <v>4413</v>
      </c>
      <c r="M594" s="3" t="s">
        <v>4414</v>
      </c>
      <c r="N594" s="3" t="s">
        <v>79</v>
      </c>
      <c r="O594" s="3" t="s">
        <v>301</v>
      </c>
      <c r="P594" s="3" t="s">
        <v>3374</v>
      </c>
      <c r="Q594" s="3" t="s">
        <v>3375</v>
      </c>
      <c r="R594" s="3" t="s">
        <v>36</v>
      </c>
      <c r="S594" s="3" t="s">
        <v>221</v>
      </c>
      <c r="T594" s="3" t="s">
        <v>82</v>
      </c>
      <c r="U594" s="3" t="s">
        <v>49</v>
      </c>
      <c r="V594" s="3" t="s">
        <v>3376</v>
      </c>
      <c r="W594" s="3" t="s">
        <v>223</v>
      </c>
      <c r="X594" s="3" t="s">
        <v>41</v>
      </c>
      <c r="Y594" s="3" t="s">
        <v>3020</v>
      </c>
      <c r="Z594" s="3" t="s">
        <v>1740</v>
      </c>
      <c r="AA594" s="3" t="s">
        <v>79</v>
      </c>
      <c r="AB594" s="3" t="s">
        <v>1741</v>
      </c>
      <c r="AC594" s="3" t="s">
        <v>4415</v>
      </c>
      <c r="AD594" s="14">
        <v>45937</v>
      </c>
      <c r="AE594" s="14">
        <v>46387</v>
      </c>
      <c r="AF594" s="3"/>
    </row>
    <row r="595" spans="1:32" ht="132" hidden="1">
      <c r="A595" s="3" t="s">
        <v>4416</v>
      </c>
      <c r="B595" s="3" t="s">
        <v>4417</v>
      </c>
      <c r="C595" s="3" t="s">
        <v>4418</v>
      </c>
      <c r="D595" s="3" t="s">
        <v>348</v>
      </c>
      <c r="E595" s="3" t="s">
        <v>36</v>
      </c>
      <c r="F595" s="3" t="s">
        <v>221</v>
      </c>
      <c r="G595" s="3" t="s">
        <v>82</v>
      </c>
      <c r="H595" s="3" t="s">
        <v>73</v>
      </c>
      <c r="I595" s="3" t="s">
        <v>4419</v>
      </c>
      <c r="J595" s="3" t="s">
        <v>223</v>
      </c>
      <c r="K595" s="3" t="s">
        <v>41</v>
      </c>
      <c r="L595" s="3" t="s">
        <v>2381</v>
      </c>
      <c r="M595" s="3" t="s">
        <v>313</v>
      </c>
      <c r="N595" s="3" t="s">
        <v>285</v>
      </c>
      <c r="O595" s="3" t="s">
        <v>308</v>
      </c>
      <c r="P595" s="3" t="s">
        <v>4420</v>
      </c>
      <c r="Q595" s="3" t="s">
        <v>4421</v>
      </c>
      <c r="R595" s="3" t="s">
        <v>36</v>
      </c>
      <c r="S595" s="3" t="s">
        <v>274</v>
      </c>
      <c r="T595" s="3" t="s">
        <v>82</v>
      </c>
      <c r="U595" s="3" t="s">
        <v>49</v>
      </c>
      <c r="V595" s="3" t="s">
        <v>4419</v>
      </c>
      <c r="W595" s="3" t="s">
        <v>223</v>
      </c>
      <c r="X595" s="3" t="s">
        <v>41</v>
      </c>
      <c r="Y595" s="3" t="s">
        <v>2381</v>
      </c>
      <c r="Z595" s="3" t="s">
        <v>313</v>
      </c>
      <c r="AA595" s="3" t="s">
        <v>69</v>
      </c>
      <c r="AB595" s="3" t="s">
        <v>308</v>
      </c>
      <c r="AC595" s="3" t="s">
        <v>4422</v>
      </c>
      <c r="AD595" s="14">
        <v>45959</v>
      </c>
      <c r="AE595" s="14"/>
      <c r="AF595" s="3"/>
    </row>
    <row r="596" spans="1:32" ht="409.6" hidden="1">
      <c r="A596" s="3" t="s">
        <v>4423</v>
      </c>
      <c r="B596" s="3" t="s">
        <v>4424</v>
      </c>
      <c r="C596" s="3" t="s">
        <v>4425</v>
      </c>
      <c r="D596" s="3" t="s">
        <v>59</v>
      </c>
      <c r="E596" s="3" t="s">
        <v>36</v>
      </c>
      <c r="F596" s="3" t="s">
        <v>221</v>
      </c>
      <c r="G596" s="3" t="s">
        <v>82</v>
      </c>
      <c r="H596" s="3" t="s">
        <v>78</v>
      </c>
      <c r="I596" s="3" t="s">
        <v>4426</v>
      </c>
      <c r="J596" s="3" t="s">
        <v>223</v>
      </c>
      <c r="K596" s="3" t="s">
        <v>41</v>
      </c>
      <c r="L596" s="3" t="s">
        <v>249</v>
      </c>
      <c r="M596" s="3" t="s">
        <v>250</v>
      </c>
      <c r="N596" s="3" t="s">
        <v>53</v>
      </c>
      <c r="O596" s="3" t="s">
        <v>251</v>
      </c>
      <c r="P596" s="3" t="s">
        <v>4427</v>
      </c>
      <c r="Q596" s="3" t="s">
        <v>4428</v>
      </c>
      <c r="R596" s="3" t="s">
        <v>36</v>
      </c>
      <c r="S596" s="3" t="s">
        <v>221</v>
      </c>
      <c r="T596" s="3" t="s">
        <v>37</v>
      </c>
      <c r="U596" s="3" t="s">
        <v>38</v>
      </c>
      <c r="V596" s="3" t="s">
        <v>4429</v>
      </c>
      <c r="W596" s="3" t="s">
        <v>223</v>
      </c>
      <c r="X596" s="3" t="s">
        <v>41</v>
      </c>
      <c r="Y596" s="3" t="s">
        <v>4430</v>
      </c>
      <c r="Z596" s="3" t="s">
        <v>277</v>
      </c>
      <c r="AA596" s="3" t="s">
        <v>44</v>
      </c>
      <c r="AB596" s="3" t="s">
        <v>278</v>
      </c>
      <c r="AC596" s="3" t="s">
        <v>4431</v>
      </c>
      <c r="AD596" s="14">
        <v>45971</v>
      </c>
      <c r="AE596" s="14">
        <v>46183</v>
      </c>
      <c r="AF596" s="3"/>
    </row>
    <row r="597" spans="1:32" ht="158.44999999999999" hidden="1">
      <c r="A597" s="3" t="s">
        <v>4292</v>
      </c>
      <c r="B597" s="3" t="s">
        <v>4293</v>
      </c>
      <c r="C597" s="3" t="s">
        <v>4432</v>
      </c>
      <c r="D597" s="3" t="s">
        <v>35</v>
      </c>
      <c r="E597" s="3" t="s">
        <v>36</v>
      </c>
      <c r="F597" s="3" t="s">
        <v>1827</v>
      </c>
      <c r="G597" s="3" t="s">
        <v>82</v>
      </c>
      <c r="H597" s="3" t="s">
        <v>38</v>
      </c>
      <c r="I597" s="3" t="s">
        <v>3397</v>
      </c>
      <c r="J597" s="3" t="s">
        <v>198</v>
      </c>
      <c r="K597" s="3" t="s">
        <v>41</v>
      </c>
      <c r="L597" s="3" t="s">
        <v>4295</v>
      </c>
      <c r="M597" s="3" t="s">
        <v>1007</v>
      </c>
      <c r="N597" s="3" t="s">
        <v>63</v>
      </c>
      <c r="O597" s="3" t="s">
        <v>240</v>
      </c>
      <c r="P597" s="3" t="s">
        <v>4433</v>
      </c>
      <c r="Q597" s="3" t="s">
        <v>4434</v>
      </c>
      <c r="R597" s="3" t="s">
        <v>36</v>
      </c>
      <c r="S597" s="3"/>
      <c r="T597" s="3" t="s">
        <v>37</v>
      </c>
      <c r="U597" s="3" t="s">
        <v>73</v>
      </c>
      <c r="V597" s="3" t="s">
        <v>4435</v>
      </c>
      <c r="W597" s="3" t="s">
        <v>198</v>
      </c>
      <c r="X597" s="3" t="s">
        <v>41</v>
      </c>
      <c r="Y597" s="3" t="s">
        <v>4295</v>
      </c>
      <c r="Z597" s="3" t="s">
        <v>225</v>
      </c>
      <c r="AA597" s="3" t="s">
        <v>63</v>
      </c>
      <c r="AB597" s="3" t="s">
        <v>226</v>
      </c>
      <c r="AC597" s="3" t="s">
        <v>4436</v>
      </c>
      <c r="AD597" s="14">
        <v>45945</v>
      </c>
      <c r="AE597" s="14"/>
      <c r="AF597" s="3"/>
    </row>
    <row r="598" spans="1:32" ht="39.6" hidden="1">
      <c r="A598" s="3" t="s">
        <v>1865</v>
      </c>
      <c r="B598" s="3" t="s">
        <v>1866</v>
      </c>
      <c r="C598" s="3"/>
      <c r="D598" s="3" t="s">
        <v>59</v>
      </c>
      <c r="E598" s="3" t="s">
        <v>36</v>
      </c>
      <c r="F598" s="3" t="s">
        <v>221</v>
      </c>
      <c r="G598" s="3" t="s">
        <v>82</v>
      </c>
      <c r="H598" s="3" t="s">
        <v>49</v>
      </c>
      <c r="I598" s="3" t="s">
        <v>1868</v>
      </c>
      <c r="J598" s="3" t="s">
        <v>223</v>
      </c>
      <c r="K598" s="3" t="s">
        <v>41</v>
      </c>
      <c r="L598" s="3" t="s">
        <v>1869</v>
      </c>
      <c r="M598" s="3" t="s">
        <v>1870</v>
      </c>
      <c r="N598" s="3" t="s">
        <v>79</v>
      </c>
      <c r="O598" s="3" t="s">
        <v>295</v>
      </c>
      <c r="P598" s="3" t="s">
        <v>4437</v>
      </c>
      <c r="Q598" s="3" t="s">
        <v>4438</v>
      </c>
      <c r="R598" s="3" t="s">
        <v>36</v>
      </c>
      <c r="S598" s="3" t="s">
        <v>254</v>
      </c>
      <c r="T598" s="3" t="s">
        <v>37</v>
      </c>
      <c r="U598" s="3" t="s">
        <v>73</v>
      </c>
      <c r="V598" s="3" t="s">
        <v>4439</v>
      </c>
      <c r="W598" s="3" t="s">
        <v>223</v>
      </c>
      <c r="X598" s="3" t="s">
        <v>41</v>
      </c>
      <c r="Y598" s="3" t="s">
        <v>4440</v>
      </c>
      <c r="Z598" s="3" t="s">
        <v>1966</v>
      </c>
      <c r="AA598" s="3" t="s">
        <v>79</v>
      </c>
      <c r="AB598" s="3" t="s">
        <v>54</v>
      </c>
      <c r="AC598" s="3" t="s">
        <v>4441</v>
      </c>
      <c r="AD598" s="14">
        <v>45965</v>
      </c>
      <c r="AE598" s="14">
        <v>45989</v>
      </c>
      <c r="AF598" s="3"/>
    </row>
    <row r="599" spans="1:32" ht="409.6" hidden="1">
      <c r="A599" s="3" t="s">
        <v>501</v>
      </c>
      <c r="B599" s="3" t="s">
        <v>502</v>
      </c>
      <c r="C599" s="3" t="s">
        <v>4442</v>
      </c>
      <c r="D599" s="3" t="s">
        <v>59</v>
      </c>
      <c r="E599" s="3" t="s">
        <v>36</v>
      </c>
      <c r="F599" s="3" t="s">
        <v>274</v>
      </c>
      <c r="G599" s="3" t="s">
        <v>37</v>
      </c>
      <c r="H599" s="3" t="s">
        <v>78</v>
      </c>
      <c r="I599" s="3" t="s">
        <v>503</v>
      </c>
      <c r="J599" s="3" t="s">
        <v>223</v>
      </c>
      <c r="K599" s="3" t="s">
        <v>41</v>
      </c>
      <c r="L599" s="3" t="s">
        <v>504</v>
      </c>
      <c r="M599" s="3" t="s">
        <v>505</v>
      </c>
      <c r="N599" s="3" t="s">
        <v>53</v>
      </c>
      <c r="O599" s="3" t="s">
        <v>506</v>
      </c>
      <c r="P599" s="3" t="s">
        <v>4443</v>
      </c>
      <c r="Q599" s="3" t="s">
        <v>4444</v>
      </c>
      <c r="R599" s="3" t="s">
        <v>36</v>
      </c>
      <c r="S599" s="3" t="s">
        <v>221</v>
      </c>
      <c r="T599" s="3" t="s">
        <v>37</v>
      </c>
      <c r="U599" s="3" t="s">
        <v>38</v>
      </c>
      <c r="V599" s="3" t="s">
        <v>4445</v>
      </c>
      <c r="W599" s="3" t="s">
        <v>223</v>
      </c>
      <c r="X599" s="3" t="s">
        <v>41</v>
      </c>
      <c r="Y599" s="3" t="s">
        <v>4446</v>
      </c>
      <c r="Z599" s="3" t="s">
        <v>4266</v>
      </c>
      <c r="AA599" s="3" t="s">
        <v>79</v>
      </c>
      <c r="AB599" s="3" t="s">
        <v>557</v>
      </c>
      <c r="AC599" s="3" t="s">
        <v>4447</v>
      </c>
      <c r="AD599" s="14">
        <v>46034</v>
      </c>
      <c r="AE599" s="14">
        <v>46387</v>
      </c>
      <c r="AF599" s="3"/>
    </row>
    <row r="600" spans="1:32" ht="39.6" hidden="1">
      <c r="A600" s="3" t="s">
        <v>3954</v>
      </c>
      <c r="B600" s="3" t="s">
        <v>3955</v>
      </c>
      <c r="C600" s="3"/>
      <c r="D600" s="3" t="s">
        <v>59</v>
      </c>
      <c r="E600" s="3" t="s">
        <v>36</v>
      </c>
      <c r="F600" s="3" t="s">
        <v>221</v>
      </c>
      <c r="G600" s="3" t="s">
        <v>37</v>
      </c>
      <c r="H600" s="3" t="s">
        <v>49</v>
      </c>
      <c r="I600" s="3" t="s">
        <v>3957</v>
      </c>
      <c r="J600" s="3" t="s">
        <v>223</v>
      </c>
      <c r="K600" s="3" t="s">
        <v>41</v>
      </c>
      <c r="L600" s="3" t="s">
        <v>3958</v>
      </c>
      <c r="M600" s="3" t="s">
        <v>911</v>
      </c>
      <c r="N600" s="3" t="s">
        <v>79</v>
      </c>
      <c r="O600" s="3" t="s">
        <v>721</v>
      </c>
      <c r="P600" s="3" t="s">
        <v>4448</v>
      </c>
      <c r="Q600" s="3" t="s">
        <v>4449</v>
      </c>
      <c r="R600" s="3" t="s">
        <v>36</v>
      </c>
      <c r="S600" s="3" t="s">
        <v>221</v>
      </c>
      <c r="T600" s="3" t="s">
        <v>37</v>
      </c>
      <c r="U600" s="3" t="s">
        <v>49</v>
      </c>
      <c r="V600" s="3" t="s">
        <v>4450</v>
      </c>
      <c r="W600" s="3" t="s">
        <v>223</v>
      </c>
      <c r="X600" s="3" t="s">
        <v>41</v>
      </c>
      <c r="Y600" s="3" t="s">
        <v>4451</v>
      </c>
      <c r="Z600" s="3" t="s">
        <v>257</v>
      </c>
      <c r="AA600" s="3" t="s">
        <v>44</v>
      </c>
      <c r="AB600" s="3" t="s">
        <v>201</v>
      </c>
      <c r="AC600" s="3" t="s">
        <v>4452</v>
      </c>
      <c r="AD600" s="14">
        <v>45979</v>
      </c>
      <c r="AE600" s="14"/>
      <c r="AF600" s="3"/>
    </row>
    <row r="601" spans="1:32" ht="79.150000000000006" hidden="1">
      <c r="A601" s="3" t="s">
        <v>4385</v>
      </c>
      <c r="B601" s="3" t="s">
        <v>4386</v>
      </c>
      <c r="C601" s="3" t="s">
        <v>4453</v>
      </c>
      <c r="D601" s="3" t="s">
        <v>59</v>
      </c>
      <c r="E601" s="3" t="s">
        <v>36</v>
      </c>
      <c r="F601" s="3" t="s">
        <v>254</v>
      </c>
      <c r="G601" s="3" t="s">
        <v>37</v>
      </c>
      <c r="H601" s="3" t="s">
        <v>78</v>
      </c>
      <c r="I601" s="3" t="s">
        <v>3620</v>
      </c>
      <c r="J601" s="3" t="s">
        <v>223</v>
      </c>
      <c r="K601" s="3" t="s">
        <v>41</v>
      </c>
      <c r="L601" s="3" t="s">
        <v>3621</v>
      </c>
      <c r="M601" s="3" t="s">
        <v>1007</v>
      </c>
      <c r="N601" s="3" t="s">
        <v>69</v>
      </c>
      <c r="O601" s="3" t="s">
        <v>240</v>
      </c>
      <c r="P601" s="3" t="s">
        <v>4454</v>
      </c>
      <c r="Q601" s="3" t="s">
        <v>4455</v>
      </c>
      <c r="R601" s="3" t="s">
        <v>36</v>
      </c>
      <c r="S601" s="3" t="s">
        <v>254</v>
      </c>
      <c r="T601" s="3" t="s">
        <v>37</v>
      </c>
      <c r="U601" s="3" t="s">
        <v>78</v>
      </c>
      <c r="V601" s="3" t="s">
        <v>4456</v>
      </c>
      <c r="W601" s="3" t="s">
        <v>223</v>
      </c>
      <c r="X601" s="3" t="s">
        <v>41</v>
      </c>
      <c r="Y601" s="3" t="s">
        <v>4457</v>
      </c>
      <c r="Z601" s="3" t="s">
        <v>663</v>
      </c>
      <c r="AA601" s="3" t="s">
        <v>63</v>
      </c>
      <c r="AB601" s="3" t="s">
        <v>251</v>
      </c>
      <c r="AC601" s="3" t="s">
        <v>4458</v>
      </c>
      <c r="AD601" s="14">
        <v>45870</v>
      </c>
      <c r="AE601" s="14">
        <v>46234</v>
      </c>
      <c r="AF601" s="3"/>
    </row>
    <row r="602" spans="1:32" ht="409.6" hidden="1">
      <c r="A602" s="3" t="s">
        <v>4459</v>
      </c>
      <c r="B602" s="3" t="s">
        <v>4460</v>
      </c>
      <c r="C602" s="3" t="s">
        <v>4461</v>
      </c>
      <c r="D602" s="3" t="s">
        <v>59</v>
      </c>
      <c r="E602" s="3" t="s">
        <v>36</v>
      </c>
      <c r="F602" s="3" t="s">
        <v>247</v>
      </c>
      <c r="G602" s="3" t="s">
        <v>82</v>
      </c>
      <c r="H602" s="3" t="s">
        <v>38</v>
      </c>
      <c r="I602" s="3" t="s">
        <v>4032</v>
      </c>
      <c r="J602" s="3" t="s">
        <v>223</v>
      </c>
      <c r="K602" s="3" t="s">
        <v>41</v>
      </c>
      <c r="L602" s="3" t="s">
        <v>3881</v>
      </c>
      <c r="M602" s="3" t="s">
        <v>225</v>
      </c>
      <c r="N602" s="3" t="s">
        <v>63</v>
      </c>
      <c r="O602" s="3" t="s">
        <v>226</v>
      </c>
      <c r="P602" s="3" t="s">
        <v>4462</v>
      </c>
      <c r="Q602" s="3" t="s">
        <v>4463</v>
      </c>
      <c r="R602" s="3" t="s">
        <v>36</v>
      </c>
      <c r="S602" s="3" t="s">
        <v>221</v>
      </c>
      <c r="T602" s="3" t="s">
        <v>37</v>
      </c>
      <c r="U602" s="3" t="s">
        <v>49</v>
      </c>
      <c r="V602" s="3" t="s">
        <v>4464</v>
      </c>
      <c r="W602" s="3" t="s">
        <v>223</v>
      </c>
      <c r="X602" s="3" t="s">
        <v>41</v>
      </c>
      <c r="Y602" s="3" t="s">
        <v>1559</v>
      </c>
      <c r="Z602" s="3" t="s">
        <v>796</v>
      </c>
      <c r="AA602" s="3" t="s">
        <v>281</v>
      </c>
      <c r="AB602" s="3" t="s">
        <v>699</v>
      </c>
      <c r="AC602" s="3" t="s">
        <v>4465</v>
      </c>
      <c r="AD602" s="14">
        <v>45950</v>
      </c>
      <c r="AE602" s="14">
        <v>46112</v>
      </c>
      <c r="AF602" s="3"/>
    </row>
    <row r="603" spans="1:32" ht="211.15" hidden="1">
      <c r="A603" s="3" t="s">
        <v>4301</v>
      </c>
      <c r="B603" s="3" t="s">
        <v>4302</v>
      </c>
      <c r="C603" s="3" t="s">
        <v>4466</v>
      </c>
      <c r="D603" s="3" t="s">
        <v>132</v>
      </c>
      <c r="E603" s="3" t="s">
        <v>36</v>
      </c>
      <c r="F603" s="3" t="s">
        <v>221</v>
      </c>
      <c r="G603" s="3" t="s">
        <v>82</v>
      </c>
      <c r="H603" s="3" t="s">
        <v>78</v>
      </c>
      <c r="I603" s="3" t="s">
        <v>4304</v>
      </c>
      <c r="J603" s="3" t="s">
        <v>223</v>
      </c>
      <c r="K603" s="3" t="s">
        <v>356</v>
      </c>
      <c r="L603" s="3" t="s">
        <v>4305</v>
      </c>
      <c r="M603" s="3" t="s">
        <v>4306</v>
      </c>
      <c r="N603" s="3" t="s">
        <v>63</v>
      </c>
      <c r="O603" s="3" t="s">
        <v>94</v>
      </c>
      <c r="P603" s="3" t="s">
        <v>4467</v>
      </c>
      <c r="Q603" s="3" t="s">
        <v>4468</v>
      </c>
      <c r="R603" s="3" t="s">
        <v>36</v>
      </c>
      <c r="S603" s="3" t="s">
        <v>274</v>
      </c>
      <c r="T603" s="3" t="s">
        <v>82</v>
      </c>
      <c r="U603" s="3" t="s">
        <v>38</v>
      </c>
      <c r="V603" s="3" t="s">
        <v>4469</v>
      </c>
      <c r="W603" s="3" t="s">
        <v>223</v>
      </c>
      <c r="X603" s="3" t="s">
        <v>356</v>
      </c>
      <c r="Y603" s="3" t="s">
        <v>4470</v>
      </c>
      <c r="Z603" s="3" t="s">
        <v>4471</v>
      </c>
      <c r="AA603" s="3" t="s">
        <v>79</v>
      </c>
      <c r="AB603" s="3" t="s">
        <v>308</v>
      </c>
      <c r="AC603" s="3" t="s">
        <v>4472</v>
      </c>
      <c r="AD603" s="14">
        <v>46036</v>
      </c>
      <c r="AE603" s="14"/>
      <c r="AF603" s="3"/>
    </row>
    <row r="604" spans="1:32" ht="92.45" hidden="1">
      <c r="A604" s="3" t="s">
        <v>4473</v>
      </c>
      <c r="B604" s="3" t="s">
        <v>4474</v>
      </c>
      <c r="C604" s="3" t="s">
        <v>4475</v>
      </c>
      <c r="D604" s="3" t="s">
        <v>59</v>
      </c>
      <c r="E604" s="3" t="s">
        <v>36</v>
      </c>
      <c r="F604" s="3" t="s">
        <v>274</v>
      </c>
      <c r="G604" s="3" t="s">
        <v>82</v>
      </c>
      <c r="H604" s="3" t="s">
        <v>49</v>
      </c>
      <c r="I604" s="3" t="s">
        <v>4476</v>
      </c>
      <c r="J604" s="3" t="s">
        <v>223</v>
      </c>
      <c r="K604" s="3" t="s">
        <v>41</v>
      </c>
      <c r="L604" s="3" t="s">
        <v>1297</v>
      </c>
      <c r="M604" s="3" t="s">
        <v>1536</v>
      </c>
      <c r="N604" s="3" t="s">
        <v>53</v>
      </c>
      <c r="O604" s="3" t="s">
        <v>1537</v>
      </c>
      <c r="P604" s="3" t="s">
        <v>4477</v>
      </c>
      <c r="Q604" s="3" t="s">
        <v>4478</v>
      </c>
      <c r="R604" s="3" t="s">
        <v>36</v>
      </c>
      <c r="S604" s="3" t="s">
        <v>274</v>
      </c>
      <c r="T604" s="3" t="s">
        <v>82</v>
      </c>
      <c r="U604" s="3" t="s">
        <v>49</v>
      </c>
      <c r="V604" s="3" t="s">
        <v>4479</v>
      </c>
      <c r="W604" s="3" t="s">
        <v>223</v>
      </c>
      <c r="X604" s="3" t="s">
        <v>41</v>
      </c>
      <c r="Y604" s="3" t="s">
        <v>4480</v>
      </c>
      <c r="Z604" s="3" t="s">
        <v>4481</v>
      </c>
      <c r="AA604" s="3" t="s">
        <v>79</v>
      </c>
      <c r="AB604" s="3" t="s">
        <v>1537</v>
      </c>
      <c r="AC604" s="3" t="s">
        <v>4482</v>
      </c>
      <c r="AD604" s="14">
        <v>45992</v>
      </c>
      <c r="AE604" s="14">
        <v>46203</v>
      </c>
      <c r="AF604" s="3"/>
    </row>
    <row r="605" spans="1:32" ht="39.6" hidden="1">
      <c r="A605" s="3" t="s">
        <v>624</v>
      </c>
      <c r="B605" s="3" t="s">
        <v>625</v>
      </c>
      <c r="C605" s="3" t="s">
        <v>4483</v>
      </c>
      <c r="D605" s="3" t="s">
        <v>348</v>
      </c>
      <c r="E605" s="3" t="s">
        <v>36</v>
      </c>
      <c r="F605" s="3" t="s">
        <v>247</v>
      </c>
      <c r="G605" s="3" t="s">
        <v>82</v>
      </c>
      <c r="H605" s="3" t="s">
        <v>49</v>
      </c>
      <c r="I605" s="3" t="s">
        <v>626</v>
      </c>
      <c r="J605" s="3" t="s">
        <v>223</v>
      </c>
      <c r="K605" s="3" t="s">
        <v>356</v>
      </c>
      <c r="L605" s="3" t="s">
        <v>627</v>
      </c>
      <c r="M605" s="3" t="s">
        <v>628</v>
      </c>
      <c r="N605" s="3" t="s">
        <v>53</v>
      </c>
      <c r="O605" s="3" t="s">
        <v>278</v>
      </c>
      <c r="P605" s="3" t="s">
        <v>4484</v>
      </c>
      <c r="Q605" s="3" t="s">
        <v>4485</v>
      </c>
      <c r="R605" s="3" t="s">
        <v>36</v>
      </c>
      <c r="S605" s="3" t="s">
        <v>221</v>
      </c>
      <c r="T605" s="3" t="s">
        <v>82</v>
      </c>
      <c r="U605" s="3" t="s">
        <v>49</v>
      </c>
      <c r="V605" s="3" t="s">
        <v>4486</v>
      </c>
      <c r="W605" s="3" t="s">
        <v>223</v>
      </c>
      <c r="X605" s="3" t="s">
        <v>41</v>
      </c>
      <c r="Y605" s="3" t="s">
        <v>4487</v>
      </c>
      <c r="Z605" s="3" t="s">
        <v>4488</v>
      </c>
      <c r="AA605" s="3" t="s">
        <v>79</v>
      </c>
      <c r="AB605" s="3" t="s">
        <v>278</v>
      </c>
      <c r="AC605" s="3" t="s">
        <v>4489</v>
      </c>
      <c r="AD605" s="14">
        <v>46002</v>
      </c>
      <c r="AE605" s="14">
        <v>46192</v>
      </c>
      <c r="AF605" s="3"/>
    </row>
    <row r="606" spans="1:32" ht="39.6" hidden="1">
      <c r="A606" s="3" t="s">
        <v>524</v>
      </c>
      <c r="B606" s="3" t="s">
        <v>525</v>
      </c>
      <c r="C606" s="3"/>
      <c r="D606" s="3" t="s">
        <v>35</v>
      </c>
      <c r="E606" s="3" t="s">
        <v>36</v>
      </c>
      <c r="F606" s="3" t="s">
        <v>526</v>
      </c>
      <c r="G606" s="3" t="s">
        <v>37</v>
      </c>
      <c r="H606" s="3" t="s">
        <v>78</v>
      </c>
      <c r="I606" s="3" t="s">
        <v>527</v>
      </c>
      <c r="J606" s="3" t="s">
        <v>528</v>
      </c>
      <c r="K606" s="3" t="s">
        <v>41</v>
      </c>
      <c r="L606" s="3" t="s">
        <v>529</v>
      </c>
      <c r="M606" s="3" t="s">
        <v>530</v>
      </c>
      <c r="N606" s="3" t="s">
        <v>53</v>
      </c>
      <c r="O606" s="3" t="s">
        <v>278</v>
      </c>
      <c r="P606" s="3" t="s">
        <v>4490</v>
      </c>
      <c r="Q606" s="3" t="s">
        <v>4491</v>
      </c>
      <c r="R606" s="3" t="s">
        <v>36</v>
      </c>
      <c r="S606" s="3" t="s">
        <v>526</v>
      </c>
      <c r="T606" s="3" t="s">
        <v>37</v>
      </c>
      <c r="U606" s="3" t="s">
        <v>49</v>
      </c>
      <c r="V606" s="3" t="s">
        <v>4492</v>
      </c>
      <c r="W606" s="3" t="s">
        <v>528</v>
      </c>
      <c r="X606" s="3" t="s">
        <v>41</v>
      </c>
      <c r="Y606" s="3" t="s">
        <v>4493</v>
      </c>
      <c r="Z606" s="3" t="s">
        <v>4494</v>
      </c>
      <c r="AA606" s="3" t="s">
        <v>79</v>
      </c>
      <c r="AB606" s="3" t="s">
        <v>54</v>
      </c>
      <c r="AC606" s="3" t="s">
        <v>4495</v>
      </c>
      <c r="AD606" s="14">
        <v>46198</v>
      </c>
      <c r="AE606" s="14"/>
      <c r="AF606" s="3"/>
    </row>
    <row r="607" spans="1:32" ht="211.15" hidden="1">
      <c r="A607" s="3" t="s">
        <v>4496</v>
      </c>
      <c r="B607" s="3" t="s">
        <v>4497</v>
      </c>
      <c r="C607" s="3" t="s">
        <v>4498</v>
      </c>
      <c r="D607" s="3" t="s">
        <v>59</v>
      </c>
      <c r="E607" s="3" t="s">
        <v>36</v>
      </c>
      <c r="F607" s="3" t="s">
        <v>221</v>
      </c>
      <c r="G607" s="3" t="s">
        <v>37</v>
      </c>
      <c r="H607" s="3" t="s">
        <v>49</v>
      </c>
      <c r="I607" s="3" t="s">
        <v>3082</v>
      </c>
      <c r="J607" s="3" t="s">
        <v>223</v>
      </c>
      <c r="K607" s="3" t="s">
        <v>41</v>
      </c>
      <c r="L607" s="3" t="s">
        <v>3083</v>
      </c>
      <c r="M607" s="3" t="s">
        <v>1012</v>
      </c>
      <c r="N607" s="3" t="s">
        <v>79</v>
      </c>
      <c r="O607" s="3" t="s">
        <v>338</v>
      </c>
      <c r="P607" s="3" t="s">
        <v>4499</v>
      </c>
      <c r="Q607" s="3" t="s">
        <v>4500</v>
      </c>
      <c r="R607" s="3" t="s">
        <v>36</v>
      </c>
      <c r="S607" s="3" t="s">
        <v>221</v>
      </c>
      <c r="T607" s="3" t="s">
        <v>37</v>
      </c>
      <c r="U607" s="3" t="s">
        <v>38</v>
      </c>
      <c r="V607" s="3" t="s">
        <v>1184</v>
      </c>
      <c r="W607" s="3" t="s">
        <v>223</v>
      </c>
      <c r="X607" s="3" t="s">
        <v>41</v>
      </c>
      <c r="Y607" s="3" t="s">
        <v>1185</v>
      </c>
      <c r="Z607" s="3" t="s">
        <v>1024</v>
      </c>
      <c r="AA607" s="3" t="s">
        <v>44</v>
      </c>
      <c r="AB607" s="3" t="s">
        <v>811</v>
      </c>
      <c r="AC607" s="3" t="s">
        <v>4501</v>
      </c>
      <c r="AD607" s="14">
        <v>46006</v>
      </c>
      <c r="AE607" s="14"/>
      <c r="AF607" s="3"/>
    </row>
    <row r="608" spans="1:32" ht="39.6" hidden="1">
      <c r="A608" s="3" t="s">
        <v>2678</v>
      </c>
      <c r="B608" s="3" t="s">
        <v>2679</v>
      </c>
      <c r="C608" s="3" t="s">
        <v>4502</v>
      </c>
      <c r="D608" s="3" t="s">
        <v>59</v>
      </c>
      <c r="E608" s="3" t="s">
        <v>36</v>
      </c>
      <c r="F608" s="3" t="s">
        <v>274</v>
      </c>
      <c r="G608" s="3" t="s">
        <v>82</v>
      </c>
      <c r="H608" s="3" t="s">
        <v>78</v>
      </c>
      <c r="I608" s="3" t="s">
        <v>1287</v>
      </c>
      <c r="J608" s="3" t="s">
        <v>223</v>
      </c>
      <c r="K608" s="3" t="s">
        <v>41</v>
      </c>
      <c r="L608" s="3" t="s">
        <v>1288</v>
      </c>
      <c r="M608" s="3" t="s">
        <v>1289</v>
      </c>
      <c r="N608" s="3" t="s">
        <v>53</v>
      </c>
      <c r="O608" s="3" t="s">
        <v>240</v>
      </c>
      <c r="P608" s="3" t="s">
        <v>4503</v>
      </c>
      <c r="Q608" s="3" t="s">
        <v>4504</v>
      </c>
      <c r="R608" s="3" t="s">
        <v>36</v>
      </c>
      <c r="S608" s="3"/>
      <c r="T608" s="3" t="s">
        <v>82</v>
      </c>
      <c r="U608" s="3" t="s">
        <v>73</v>
      </c>
      <c r="V608" s="3" t="s">
        <v>4505</v>
      </c>
      <c r="W608" s="3" t="s">
        <v>3337</v>
      </c>
      <c r="X608" s="3" t="s">
        <v>41</v>
      </c>
      <c r="Y608" s="3" t="s">
        <v>4506</v>
      </c>
      <c r="Z608" s="3" t="s">
        <v>4507</v>
      </c>
      <c r="AA608" s="3" t="s">
        <v>69</v>
      </c>
      <c r="AB608" s="3" t="s">
        <v>270</v>
      </c>
      <c r="AC608" s="3" t="s">
        <v>4508</v>
      </c>
      <c r="AD608" s="14">
        <v>46055</v>
      </c>
      <c r="AE608" s="14"/>
      <c r="AF608" s="3"/>
    </row>
    <row r="609" spans="1:32" ht="211.15" hidden="1">
      <c r="A609" s="3" t="s">
        <v>1181</v>
      </c>
      <c r="B609" s="3" t="s">
        <v>1182</v>
      </c>
      <c r="C609" s="3" t="s">
        <v>4509</v>
      </c>
      <c r="D609" s="3" t="s">
        <v>59</v>
      </c>
      <c r="E609" s="3" t="s">
        <v>36</v>
      </c>
      <c r="F609" s="3" t="s">
        <v>221</v>
      </c>
      <c r="G609" s="3" t="s">
        <v>82</v>
      </c>
      <c r="H609" s="3" t="s">
        <v>38</v>
      </c>
      <c r="I609" s="3" t="s">
        <v>1184</v>
      </c>
      <c r="J609" s="3" t="s">
        <v>223</v>
      </c>
      <c r="K609" s="3" t="s">
        <v>41</v>
      </c>
      <c r="L609" s="3" t="s">
        <v>1185</v>
      </c>
      <c r="M609" s="3" t="s">
        <v>1024</v>
      </c>
      <c r="N609" s="3" t="s">
        <v>79</v>
      </c>
      <c r="O609" s="3" t="s">
        <v>811</v>
      </c>
      <c r="P609" s="3" t="s">
        <v>4510</v>
      </c>
      <c r="Q609" s="3" t="s">
        <v>4511</v>
      </c>
      <c r="R609" s="3" t="s">
        <v>36</v>
      </c>
      <c r="S609" s="3" t="s">
        <v>48</v>
      </c>
      <c r="T609" s="3" t="s">
        <v>82</v>
      </c>
      <c r="U609" s="3" t="s">
        <v>49</v>
      </c>
      <c r="V609" s="3" t="s">
        <v>2076</v>
      </c>
      <c r="W609" s="3" t="s">
        <v>40</v>
      </c>
      <c r="X609" s="3" t="s">
        <v>41</v>
      </c>
      <c r="Y609" s="3" t="s">
        <v>2077</v>
      </c>
      <c r="Z609" s="3" t="s">
        <v>2078</v>
      </c>
      <c r="AA609" s="3" t="s">
        <v>69</v>
      </c>
      <c r="AB609" s="3" t="s">
        <v>100</v>
      </c>
      <c r="AC609" s="3" t="s">
        <v>4512</v>
      </c>
      <c r="AD609" s="14">
        <v>46041</v>
      </c>
      <c r="AE609" s="14">
        <v>46255</v>
      </c>
      <c r="AF609" s="3"/>
    </row>
    <row r="610" spans="1:32" ht="92.45" hidden="1">
      <c r="A610" s="3" t="s">
        <v>4513</v>
      </c>
      <c r="B610" s="3" t="s">
        <v>4514</v>
      </c>
      <c r="C610" s="3" t="s">
        <v>4515</v>
      </c>
      <c r="D610" s="3" t="s">
        <v>132</v>
      </c>
      <c r="E610" s="3" t="s">
        <v>36</v>
      </c>
      <c r="F610" s="3" t="s">
        <v>221</v>
      </c>
      <c r="G610" s="3" t="s">
        <v>82</v>
      </c>
      <c r="H610" s="3" t="s">
        <v>73</v>
      </c>
      <c r="I610" s="3" t="s">
        <v>4516</v>
      </c>
      <c r="J610" s="3" t="s">
        <v>223</v>
      </c>
      <c r="K610" s="3" t="s">
        <v>41</v>
      </c>
      <c r="L610" s="3" t="s">
        <v>4517</v>
      </c>
      <c r="M610" s="3" t="s">
        <v>692</v>
      </c>
      <c r="N610" s="3" t="s">
        <v>281</v>
      </c>
      <c r="O610" s="3" t="s">
        <v>658</v>
      </c>
      <c r="P610" s="3" t="s">
        <v>4518</v>
      </c>
      <c r="Q610" s="3" t="s">
        <v>4519</v>
      </c>
      <c r="R610" s="3" t="s">
        <v>36</v>
      </c>
      <c r="S610" s="3" t="s">
        <v>221</v>
      </c>
      <c r="T610" s="3" t="s">
        <v>82</v>
      </c>
      <c r="U610" s="3" t="s">
        <v>73</v>
      </c>
      <c r="V610" s="3" t="s">
        <v>4520</v>
      </c>
      <c r="W610" s="3" t="s">
        <v>223</v>
      </c>
      <c r="X610" s="3" t="s">
        <v>41</v>
      </c>
      <c r="Y610" s="3" t="s">
        <v>982</v>
      </c>
      <c r="Z610" s="3" t="s">
        <v>692</v>
      </c>
      <c r="AA610" s="3" t="s">
        <v>281</v>
      </c>
      <c r="AB610" s="3" t="s">
        <v>658</v>
      </c>
      <c r="AC610" s="3" t="s">
        <v>4521</v>
      </c>
      <c r="AD610" s="14">
        <v>46038</v>
      </c>
      <c r="AE610" s="14">
        <v>46039</v>
      </c>
      <c r="AF610" s="3" t="s">
        <v>233</v>
      </c>
    </row>
    <row r="611" spans="1:32" ht="396" hidden="1">
      <c r="A611" s="3" t="s">
        <v>1391</v>
      </c>
      <c r="B611" s="3" t="s">
        <v>1392</v>
      </c>
      <c r="C611" s="3" t="s">
        <v>4522</v>
      </c>
      <c r="D611" s="3" t="s">
        <v>35</v>
      </c>
      <c r="E611" s="3" t="s">
        <v>36</v>
      </c>
      <c r="F611" s="3" t="s">
        <v>221</v>
      </c>
      <c r="G611" s="3" t="s">
        <v>37</v>
      </c>
      <c r="H611" s="3" t="s">
        <v>38</v>
      </c>
      <c r="I611" s="3" t="s">
        <v>1394</v>
      </c>
      <c r="J611" s="3" t="s">
        <v>223</v>
      </c>
      <c r="K611" s="3" t="s">
        <v>41</v>
      </c>
      <c r="L611" s="3" t="s">
        <v>249</v>
      </c>
      <c r="M611" s="3" t="s">
        <v>250</v>
      </c>
      <c r="N611" s="3" t="s">
        <v>79</v>
      </c>
      <c r="O611" s="3" t="s">
        <v>251</v>
      </c>
      <c r="P611" s="3" t="s">
        <v>4523</v>
      </c>
      <c r="Q611" s="3" t="s">
        <v>4524</v>
      </c>
      <c r="R611" s="3" t="s">
        <v>36</v>
      </c>
      <c r="S611" s="3" t="s">
        <v>221</v>
      </c>
      <c r="T611" s="3" t="s">
        <v>37</v>
      </c>
      <c r="U611" s="3" t="s">
        <v>49</v>
      </c>
      <c r="V611" s="3" t="s">
        <v>4525</v>
      </c>
      <c r="W611" s="3" t="s">
        <v>223</v>
      </c>
      <c r="X611" s="3" t="s">
        <v>41</v>
      </c>
      <c r="Y611" s="3" t="s">
        <v>249</v>
      </c>
      <c r="Z611" s="3" t="s">
        <v>2249</v>
      </c>
      <c r="AA611" s="3" t="s">
        <v>69</v>
      </c>
      <c r="AB611" s="3" t="s">
        <v>251</v>
      </c>
      <c r="AC611" s="3" t="s">
        <v>4526</v>
      </c>
      <c r="AD611" s="14">
        <v>46055</v>
      </c>
      <c r="AE611" s="14">
        <v>46360</v>
      </c>
      <c r="AF611" s="3"/>
    </row>
    <row r="612" spans="1:32" ht="409.6" hidden="1">
      <c r="A612" s="3" t="s">
        <v>2702</v>
      </c>
      <c r="B612" s="3" t="s">
        <v>2703</v>
      </c>
      <c r="C612" s="3" t="s">
        <v>4527</v>
      </c>
      <c r="D612" s="3" t="s">
        <v>59</v>
      </c>
      <c r="E612" s="3" t="s">
        <v>36</v>
      </c>
      <c r="F612" s="3" t="s">
        <v>221</v>
      </c>
      <c r="G612" s="3" t="s">
        <v>82</v>
      </c>
      <c r="H612" s="3" t="s">
        <v>49</v>
      </c>
      <c r="I612" s="3" t="s">
        <v>2705</v>
      </c>
      <c r="J612" s="3" t="s">
        <v>223</v>
      </c>
      <c r="K612" s="3" t="s">
        <v>41</v>
      </c>
      <c r="L612" s="3" t="s">
        <v>2706</v>
      </c>
      <c r="M612" s="3" t="s">
        <v>911</v>
      </c>
      <c r="N612" s="3" t="s">
        <v>63</v>
      </c>
      <c r="O612" s="3" t="s">
        <v>721</v>
      </c>
      <c r="P612" s="3" t="s">
        <v>4528</v>
      </c>
      <c r="Q612" s="3" t="s">
        <v>4529</v>
      </c>
      <c r="R612" s="3" t="s">
        <v>36</v>
      </c>
      <c r="S612" s="3" t="s">
        <v>221</v>
      </c>
      <c r="T612" s="3" t="s">
        <v>82</v>
      </c>
      <c r="U612" s="3" t="s">
        <v>73</v>
      </c>
      <c r="V612" s="3" t="s">
        <v>4530</v>
      </c>
      <c r="W612" s="3" t="s">
        <v>223</v>
      </c>
      <c r="X612" s="3" t="s">
        <v>41</v>
      </c>
      <c r="Y612" s="3" t="s">
        <v>4531</v>
      </c>
      <c r="Z612" s="3" t="s">
        <v>4532</v>
      </c>
      <c r="AA612" s="3" t="s">
        <v>69</v>
      </c>
      <c r="AB612" s="3" t="s">
        <v>54</v>
      </c>
      <c r="AC612" s="3" t="s">
        <v>4533</v>
      </c>
      <c r="AD612" s="14">
        <v>46030</v>
      </c>
      <c r="AE612" s="14">
        <v>46391</v>
      </c>
      <c r="AF612" s="3"/>
    </row>
    <row r="613" spans="1:32" ht="158.44999999999999" hidden="1">
      <c r="A613" s="3" t="s">
        <v>2140</v>
      </c>
      <c r="B613" s="3" t="s">
        <v>2141</v>
      </c>
      <c r="C613" s="3" t="s">
        <v>4534</v>
      </c>
      <c r="D613" s="3" t="s">
        <v>35</v>
      </c>
      <c r="E613" s="3" t="s">
        <v>36</v>
      </c>
      <c r="F613" s="3"/>
      <c r="G613" s="3" t="s">
        <v>37</v>
      </c>
      <c r="H613" s="3" t="s">
        <v>38</v>
      </c>
      <c r="I613" s="3" t="s">
        <v>2045</v>
      </c>
      <c r="J613" s="3" t="s">
        <v>40</v>
      </c>
      <c r="K613" s="3" t="s">
        <v>41</v>
      </c>
      <c r="L613" s="3" t="s">
        <v>2143</v>
      </c>
      <c r="M613" s="3" t="s">
        <v>2144</v>
      </c>
      <c r="N613" s="3" t="s">
        <v>79</v>
      </c>
      <c r="O613" s="3" t="s">
        <v>409</v>
      </c>
      <c r="P613" s="3" t="s">
        <v>4535</v>
      </c>
      <c r="Q613" s="3" t="s">
        <v>4536</v>
      </c>
      <c r="R613" s="3" t="s">
        <v>36</v>
      </c>
      <c r="S613" s="3" t="s">
        <v>48</v>
      </c>
      <c r="T613" s="3" t="s">
        <v>37</v>
      </c>
      <c r="U613" s="3" t="s">
        <v>49</v>
      </c>
      <c r="V613" s="3" t="s">
        <v>4537</v>
      </c>
      <c r="W613" s="3" t="s">
        <v>40</v>
      </c>
      <c r="X613" s="3" t="s">
        <v>41</v>
      </c>
      <c r="Y613" s="3" t="s">
        <v>4538</v>
      </c>
      <c r="Z613" s="3" t="s">
        <v>4539</v>
      </c>
      <c r="AA613" s="3" t="s">
        <v>281</v>
      </c>
      <c r="AB613" s="3" t="s">
        <v>45</v>
      </c>
      <c r="AC613" s="3" t="s">
        <v>4540</v>
      </c>
      <c r="AD613" s="14">
        <v>46082</v>
      </c>
      <c r="AE613" s="14">
        <v>46446</v>
      </c>
      <c r="AF613" s="3"/>
    </row>
    <row r="614" spans="1:32" ht="39.6" hidden="1">
      <c r="A614" s="3" t="s">
        <v>524</v>
      </c>
      <c r="B614" s="3" t="s">
        <v>525</v>
      </c>
      <c r="C614" s="3"/>
      <c r="D614" s="3" t="s">
        <v>59</v>
      </c>
      <c r="E614" s="3" t="s">
        <v>36</v>
      </c>
      <c r="F614" s="3" t="s">
        <v>526</v>
      </c>
      <c r="G614" s="3" t="s">
        <v>37</v>
      </c>
      <c r="H614" s="3" t="s">
        <v>78</v>
      </c>
      <c r="I614" s="3" t="s">
        <v>527</v>
      </c>
      <c r="J614" s="3" t="s">
        <v>528</v>
      </c>
      <c r="K614" s="3" t="s">
        <v>41</v>
      </c>
      <c r="L614" s="3" t="s">
        <v>529</v>
      </c>
      <c r="M614" s="3" t="s">
        <v>530</v>
      </c>
      <c r="N614" s="3" t="s">
        <v>53</v>
      </c>
      <c r="O614" s="3" t="s">
        <v>278</v>
      </c>
      <c r="P614" s="3" t="s">
        <v>4541</v>
      </c>
      <c r="Q614" s="3" t="s">
        <v>4542</v>
      </c>
      <c r="R614" s="3" t="s">
        <v>36</v>
      </c>
      <c r="S614" s="3" t="s">
        <v>526</v>
      </c>
      <c r="T614" s="3" t="s">
        <v>37</v>
      </c>
      <c r="U614" s="3" t="s">
        <v>38</v>
      </c>
      <c r="V614" s="3" t="s">
        <v>4543</v>
      </c>
      <c r="W614" s="3" t="s">
        <v>528</v>
      </c>
      <c r="X614" s="3" t="s">
        <v>41</v>
      </c>
      <c r="Y614" s="3" t="s">
        <v>4544</v>
      </c>
      <c r="Z614" s="3" t="s">
        <v>1564</v>
      </c>
      <c r="AA614" s="3" t="s">
        <v>53</v>
      </c>
      <c r="AB614" s="3" t="s">
        <v>116</v>
      </c>
      <c r="AC614" s="3" t="s">
        <v>4545</v>
      </c>
      <c r="AD614" s="14">
        <v>46030</v>
      </c>
      <c r="AE614" s="14">
        <v>46034</v>
      </c>
      <c r="AF614" s="3"/>
    </row>
    <row r="615" spans="1:32" ht="171.6" hidden="1">
      <c r="A615" s="3" t="s">
        <v>4546</v>
      </c>
      <c r="B615" s="3" t="s">
        <v>4547</v>
      </c>
      <c r="C615" s="3" t="s">
        <v>4548</v>
      </c>
      <c r="D615" s="3" t="s">
        <v>132</v>
      </c>
      <c r="E615" s="3" t="s">
        <v>36</v>
      </c>
      <c r="F615" s="3" t="s">
        <v>221</v>
      </c>
      <c r="G615" s="3" t="s">
        <v>82</v>
      </c>
      <c r="H615" s="3" t="s">
        <v>73</v>
      </c>
      <c r="I615" s="3" t="s">
        <v>4549</v>
      </c>
      <c r="J615" s="3" t="s">
        <v>223</v>
      </c>
      <c r="K615" s="3" t="s">
        <v>41</v>
      </c>
      <c r="L615" s="3" t="s">
        <v>4550</v>
      </c>
      <c r="M615" s="3" t="s">
        <v>692</v>
      </c>
      <c r="N615" s="3" t="s">
        <v>281</v>
      </c>
      <c r="O615" s="3" t="s">
        <v>658</v>
      </c>
      <c r="P615" s="3" t="s">
        <v>4551</v>
      </c>
      <c r="Q615" s="3" t="s">
        <v>4552</v>
      </c>
      <c r="R615" s="3" t="s">
        <v>4112</v>
      </c>
      <c r="S615" s="3" t="s">
        <v>221</v>
      </c>
      <c r="T615" s="3" t="s">
        <v>37</v>
      </c>
      <c r="U615" s="3" t="s">
        <v>73</v>
      </c>
      <c r="V615" s="3" t="s">
        <v>4553</v>
      </c>
      <c r="W615" s="3" t="s">
        <v>223</v>
      </c>
      <c r="X615" s="3" t="s">
        <v>41</v>
      </c>
      <c r="Y615" s="3" t="s">
        <v>4554</v>
      </c>
      <c r="Z615" s="3" t="s">
        <v>4555</v>
      </c>
      <c r="AA615" s="3" t="s">
        <v>69</v>
      </c>
      <c r="AB615" s="3" t="s">
        <v>3628</v>
      </c>
      <c r="AC615" s="3" t="s">
        <v>4556</v>
      </c>
      <c r="AD615" s="14">
        <v>46049</v>
      </c>
      <c r="AE615" s="14">
        <v>46295</v>
      </c>
      <c r="AF615" s="3"/>
    </row>
    <row r="616" spans="1:32" ht="79.150000000000006" hidden="1">
      <c r="A616" s="3" t="s">
        <v>4557</v>
      </c>
      <c r="B616" s="3" t="s">
        <v>4558</v>
      </c>
      <c r="C616" s="3" t="s">
        <v>4559</v>
      </c>
      <c r="D616" s="3" t="s">
        <v>132</v>
      </c>
      <c r="E616" s="3" t="s">
        <v>36</v>
      </c>
      <c r="F616" s="3" t="s">
        <v>274</v>
      </c>
      <c r="G616" s="3" t="s">
        <v>82</v>
      </c>
      <c r="H616" s="3" t="s">
        <v>73</v>
      </c>
      <c r="I616" s="3" t="s">
        <v>4560</v>
      </c>
      <c r="J616" s="3" t="s">
        <v>223</v>
      </c>
      <c r="K616" s="3" t="s">
        <v>41</v>
      </c>
      <c r="L616" s="3" t="s">
        <v>4561</v>
      </c>
      <c r="M616" s="3" t="s">
        <v>692</v>
      </c>
      <c r="N616" s="3" t="s">
        <v>281</v>
      </c>
      <c r="O616" s="3" t="s">
        <v>658</v>
      </c>
      <c r="P616" s="3" t="s">
        <v>4562</v>
      </c>
      <c r="Q616" s="3" t="s">
        <v>4563</v>
      </c>
      <c r="R616" s="3" t="s">
        <v>4112</v>
      </c>
      <c r="S616" s="3" t="s">
        <v>221</v>
      </c>
      <c r="T616" s="3" t="s">
        <v>37</v>
      </c>
      <c r="U616" s="3" t="s">
        <v>73</v>
      </c>
      <c r="V616" s="3" t="s">
        <v>4564</v>
      </c>
      <c r="W616" s="3" t="s">
        <v>223</v>
      </c>
      <c r="X616" s="3" t="s">
        <v>41</v>
      </c>
      <c r="Y616" s="3" t="s">
        <v>4565</v>
      </c>
      <c r="Z616" s="3" t="s">
        <v>4555</v>
      </c>
      <c r="AA616" s="3" t="s">
        <v>69</v>
      </c>
      <c r="AB616" s="3" t="s">
        <v>3628</v>
      </c>
      <c r="AC616" s="3" t="s">
        <v>4566</v>
      </c>
      <c r="AD616" s="14">
        <v>46049</v>
      </c>
      <c r="AE616" s="14">
        <v>46356</v>
      </c>
      <c r="AF616" s="3"/>
    </row>
    <row r="617" spans="1:32" ht="303.60000000000002" hidden="1">
      <c r="A617" s="3" t="s">
        <v>4567</v>
      </c>
      <c r="B617" s="3" t="s">
        <v>4568</v>
      </c>
      <c r="C617" s="3" t="s">
        <v>4569</v>
      </c>
      <c r="D617" s="3" t="s">
        <v>59</v>
      </c>
      <c r="E617" s="3" t="s">
        <v>36</v>
      </c>
      <c r="F617" s="3" t="s">
        <v>221</v>
      </c>
      <c r="G617" s="3" t="s">
        <v>82</v>
      </c>
      <c r="H617" s="3" t="s">
        <v>73</v>
      </c>
      <c r="I617" s="3" t="s">
        <v>4570</v>
      </c>
      <c r="J617" s="3" t="s">
        <v>223</v>
      </c>
      <c r="K617" s="3" t="s">
        <v>41</v>
      </c>
      <c r="L617" s="3" t="s">
        <v>4571</v>
      </c>
      <c r="M617" s="3" t="s">
        <v>3627</v>
      </c>
      <c r="N617" s="3" t="s">
        <v>281</v>
      </c>
      <c r="O617" s="3" t="s">
        <v>3628</v>
      </c>
      <c r="P617" s="3" t="s">
        <v>4572</v>
      </c>
      <c r="Q617" s="3" t="s">
        <v>4573</v>
      </c>
      <c r="R617" s="3" t="s">
        <v>4112</v>
      </c>
      <c r="S617" s="3" t="s">
        <v>221</v>
      </c>
      <c r="T617" s="3" t="s">
        <v>37</v>
      </c>
      <c r="U617" s="3" t="s">
        <v>73</v>
      </c>
      <c r="V617" s="3" t="s">
        <v>4574</v>
      </c>
      <c r="W617" s="3" t="s">
        <v>223</v>
      </c>
      <c r="X617" s="3" t="s">
        <v>41</v>
      </c>
      <c r="Y617" s="3" t="s">
        <v>4565</v>
      </c>
      <c r="Z617" s="3" t="s">
        <v>4555</v>
      </c>
      <c r="AA617" s="3" t="s">
        <v>69</v>
      </c>
      <c r="AB617" s="3" t="s">
        <v>3628</v>
      </c>
      <c r="AC617" s="3" t="s">
        <v>4575</v>
      </c>
      <c r="AD617" s="14">
        <v>46049</v>
      </c>
      <c r="AE617" s="14">
        <v>46356</v>
      </c>
      <c r="AF617" s="3"/>
    </row>
    <row r="618" spans="1:32" ht="409.6" hidden="1">
      <c r="A618" s="3" t="s">
        <v>4029</v>
      </c>
      <c r="B618" s="3" t="s">
        <v>4030</v>
      </c>
      <c r="C618" s="3" t="s">
        <v>4576</v>
      </c>
      <c r="D618" s="3" t="s">
        <v>348</v>
      </c>
      <c r="E618" s="3" t="s">
        <v>36</v>
      </c>
      <c r="F618" s="3" t="s">
        <v>221</v>
      </c>
      <c r="G618" s="3" t="s">
        <v>82</v>
      </c>
      <c r="H618" s="3" t="s">
        <v>49</v>
      </c>
      <c r="I618" s="3" t="s">
        <v>4032</v>
      </c>
      <c r="J618" s="3" t="s">
        <v>223</v>
      </c>
      <c r="K618" s="3" t="s">
        <v>41</v>
      </c>
      <c r="L618" s="3" t="s">
        <v>3881</v>
      </c>
      <c r="M618" s="3" t="s">
        <v>225</v>
      </c>
      <c r="N618" s="3" t="s">
        <v>63</v>
      </c>
      <c r="O618" s="3" t="s">
        <v>226</v>
      </c>
      <c r="P618" s="3" t="s">
        <v>4577</v>
      </c>
      <c r="Q618" s="3" t="s">
        <v>4578</v>
      </c>
      <c r="R618" s="3" t="s">
        <v>4112</v>
      </c>
      <c r="S618" s="3" t="s">
        <v>221</v>
      </c>
      <c r="T618" s="3" t="s">
        <v>37</v>
      </c>
      <c r="U618" s="3" t="s">
        <v>73</v>
      </c>
      <c r="V618" s="3" t="s">
        <v>4579</v>
      </c>
      <c r="W618" s="3" t="s">
        <v>223</v>
      </c>
      <c r="X618" s="3" t="s">
        <v>780</v>
      </c>
      <c r="Y618" s="3" t="s">
        <v>4114</v>
      </c>
      <c r="Z618" s="3" t="s">
        <v>4115</v>
      </c>
      <c r="AA618" s="3" t="s">
        <v>69</v>
      </c>
      <c r="AB618" s="3" t="s">
        <v>3628</v>
      </c>
      <c r="AC618" s="3" t="s">
        <v>4580</v>
      </c>
      <c r="AD618" s="14">
        <v>46049</v>
      </c>
      <c r="AE618" s="14"/>
      <c r="AF618" s="3"/>
    </row>
    <row r="619" spans="1:32" ht="118.9" hidden="1">
      <c r="A619" s="3" t="s">
        <v>4557</v>
      </c>
      <c r="B619" s="3" t="s">
        <v>4558</v>
      </c>
      <c r="C619" s="3" t="s">
        <v>4581</v>
      </c>
      <c r="D619" s="3" t="s">
        <v>132</v>
      </c>
      <c r="E619" s="3" t="s">
        <v>36</v>
      </c>
      <c r="F619" s="3" t="s">
        <v>274</v>
      </c>
      <c r="G619" s="3" t="s">
        <v>82</v>
      </c>
      <c r="H619" s="3" t="s">
        <v>73</v>
      </c>
      <c r="I619" s="3" t="s">
        <v>4560</v>
      </c>
      <c r="J619" s="3" t="s">
        <v>223</v>
      </c>
      <c r="K619" s="3" t="s">
        <v>41</v>
      </c>
      <c r="L619" s="3" t="s">
        <v>4561</v>
      </c>
      <c r="M619" s="3" t="s">
        <v>692</v>
      </c>
      <c r="N619" s="3" t="s">
        <v>281</v>
      </c>
      <c r="O619" s="3" t="s">
        <v>658</v>
      </c>
      <c r="P619" s="3" t="s">
        <v>4582</v>
      </c>
      <c r="Q619" s="3" t="s">
        <v>4583</v>
      </c>
      <c r="R619" s="3" t="s">
        <v>4112</v>
      </c>
      <c r="S619" s="3" t="s">
        <v>221</v>
      </c>
      <c r="T619" s="3" t="s">
        <v>37</v>
      </c>
      <c r="U619" s="3" t="s">
        <v>49</v>
      </c>
      <c r="V619" s="3" t="s">
        <v>4584</v>
      </c>
      <c r="W619" s="3" t="s">
        <v>223</v>
      </c>
      <c r="X619" s="3" t="s">
        <v>41</v>
      </c>
      <c r="Y619" s="3" t="s">
        <v>4565</v>
      </c>
      <c r="Z619" s="3" t="s">
        <v>4555</v>
      </c>
      <c r="AA619" s="3" t="s">
        <v>69</v>
      </c>
      <c r="AB619" s="3" t="s">
        <v>3628</v>
      </c>
      <c r="AC619" s="3" t="s">
        <v>4585</v>
      </c>
      <c r="AD619" s="14">
        <v>46049</v>
      </c>
      <c r="AE619" s="14">
        <v>46356</v>
      </c>
      <c r="AF619" s="3"/>
    </row>
    <row r="620" spans="1:32" ht="356.45" hidden="1">
      <c r="A620" s="3" t="s">
        <v>3649</v>
      </c>
      <c r="B620" s="3" t="s">
        <v>3650</v>
      </c>
      <c r="C620" s="3" t="s">
        <v>4586</v>
      </c>
      <c r="D620" s="3" t="s">
        <v>59</v>
      </c>
      <c r="E620" s="3" t="s">
        <v>36</v>
      </c>
      <c r="F620" s="3" t="s">
        <v>274</v>
      </c>
      <c r="G620" s="3" t="s">
        <v>82</v>
      </c>
      <c r="H620" s="3" t="s">
        <v>78</v>
      </c>
      <c r="I620" s="3" t="s">
        <v>3652</v>
      </c>
      <c r="J620" s="3" t="s">
        <v>223</v>
      </c>
      <c r="K620" s="3" t="s">
        <v>41</v>
      </c>
      <c r="L620" s="3" t="s">
        <v>3653</v>
      </c>
      <c r="M620" s="3" t="s">
        <v>1933</v>
      </c>
      <c r="N620" s="3" t="s">
        <v>123</v>
      </c>
      <c r="O620" s="3" t="s">
        <v>543</v>
      </c>
      <c r="P620" s="3" t="s">
        <v>4587</v>
      </c>
      <c r="Q620" s="3" t="s">
        <v>4588</v>
      </c>
      <c r="R620" s="3" t="s">
        <v>36</v>
      </c>
      <c r="S620" s="3" t="s">
        <v>221</v>
      </c>
      <c r="T620" s="3" t="s">
        <v>37</v>
      </c>
      <c r="U620" s="3" t="s">
        <v>49</v>
      </c>
      <c r="V620" s="3" t="s">
        <v>4589</v>
      </c>
      <c r="W620" s="3" t="s">
        <v>223</v>
      </c>
      <c r="X620" s="3" t="s">
        <v>41</v>
      </c>
      <c r="Y620" s="3" t="s">
        <v>2094</v>
      </c>
      <c r="Z620" s="3" t="s">
        <v>2095</v>
      </c>
      <c r="AA620" s="3" t="s">
        <v>63</v>
      </c>
      <c r="AB620" s="3" t="s">
        <v>201</v>
      </c>
      <c r="AC620" s="3" t="s">
        <v>4590</v>
      </c>
      <c r="AD620" s="14">
        <v>46056</v>
      </c>
      <c r="AE620" s="14">
        <v>46108</v>
      </c>
      <c r="AF620" s="3"/>
    </row>
    <row r="621" spans="1:32" ht="105.6" hidden="1">
      <c r="A621" s="3" t="s">
        <v>4591</v>
      </c>
      <c r="B621" s="3" t="s">
        <v>4592</v>
      </c>
      <c r="C621" s="3" t="s">
        <v>4593</v>
      </c>
      <c r="D621" s="3" t="s">
        <v>132</v>
      </c>
      <c r="E621" s="3" t="s">
        <v>36</v>
      </c>
      <c r="F621" s="3" t="s">
        <v>221</v>
      </c>
      <c r="G621" s="3" t="s">
        <v>37</v>
      </c>
      <c r="H621" s="3" t="s">
        <v>73</v>
      </c>
      <c r="I621" s="3" t="s">
        <v>4594</v>
      </c>
      <c r="J621" s="3" t="s">
        <v>223</v>
      </c>
      <c r="K621" s="3" t="s">
        <v>41</v>
      </c>
      <c r="L621" s="3" t="s">
        <v>4595</v>
      </c>
      <c r="M621" s="3" t="s">
        <v>3627</v>
      </c>
      <c r="N621" s="3" t="s">
        <v>281</v>
      </c>
      <c r="O621" s="3" t="s">
        <v>3628</v>
      </c>
      <c r="P621" s="3" t="s">
        <v>4596</v>
      </c>
      <c r="Q621" s="3" t="s">
        <v>4597</v>
      </c>
      <c r="R621" s="3" t="s">
        <v>4112</v>
      </c>
      <c r="S621" s="3" t="s">
        <v>221</v>
      </c>
      <c r="T621" s="3" t="s">
        <v>37</v>
      </c>
      <c r="U621" s="3" t="s">
        <v>73</v>
      </c>
      <c r="V621" s="3" t="s">
        <v>4598</v>
      </c>
      <c r="W621" s="3" t="s">
        <v>223</v>
      </c>
      <c r="X621" s="3" t="s">
        <v>41</v>
      </c>
      <c r="Y621" s="3" t="s">
        <v>4554</v>
      </c>
      <c r="Z621" s="3" t="s">
        <v>4555</v>
      </c>
      <c r="AA621" s="3" t="s">
        <v>69</v>
      </c>
      <c r="AB621" s="3" t="s">
        <v>3628</v>
      </c>
      <c r="AC621" s="3" t="s">
        <v>4599</v>
      </c>
      <c r="AD621" s="14">
        <v>46049</v>
      </c>
      <c r="AE621" s="14">
        <v>46326</v>
      </c>
      <c r="AF621" s="3"/>
    </row>
    <row r="622" spans="1:32" ht="52.9" hidden="1">
      <c r="A622" s="3" t="s">
        <v>4600</v>
      </c>
      <c r="B622" s="3" t="s">
        <v>4601</v>
      </c>
      <c r="C622" s="3"/>
      <c r="D622" s="3" t="s">
        <v>35</v>
      </c>
      <c r="E622" s="3" t="s">
        <v>36</v>
      </c>
      <c r="F622" s="3" t="s">
        <v>221</v>
      </c>
      <c r="G622" s="3" t="s">
        <v>82</v>
      </c>
      <c r="H622" s="3" t="s">
        <v>73</v>
      </c>
      <c r="I622" s="3" t="s">
        <v>4602</v>
      </c>
      <c r="J622" s="3" t="s">
        <v>223</v>
      </c>
      <c r="K622" s="3" t="s">
        <v>41</v>
      </c>
      <c r="L622" s="3" t="s">
        <v>4603</v>
      </c>
      <c r="M622" s="3" t="s">
        <v>402</v>
      </c>
      <c r="N622" s="3" t="s">
        <v>285</v>
      </c>
      <c r="O622" s="3" t="s">
        <v>116</v>
      </c>
      <c r="P622" s="3" t="s">
        <v>4604</v>
      </c>
      <c r="Q622" s="3" t="s">
        <v>4605</v>
      </c>
      <c r="R622" s="3" t="s">
        <v>4112</v>
      </c>
      <c r="S622" s="3" t="s">
        <v>221</v>
      </c>
      <c r="T622" s="3" t="s">
        <v>82</v>
      </c>
      <c r="U622" s="3" t="s">
        <v>73</v>
      </c>
      <c r="V622" s="3" t="s">
        <v>4606</v>
      </c>
      <c r="W622" s="3" t="s">
        <v>223</v>
      </c>
      <c r="X622" s="3" t="s">
        <v>41</v>
      </c>
      <c r="Y622" s="3" t="s">
        <v>4554</v>
      </c>
      <c r="Z622" s="3" t="s">
        <v>4555</v>
      </c>
      <c r="AA622" s="3" t="s">
        <v>69</v>
      </c>
      <c r="AB622" s="3" t="s">
        <v>3628</v>
      </c>
      <c r="AC622" s="3" t="s">
        <v>4607</v>
      </c>
      <c r="AD622" s="14">
        <v>46049</v>
      </c>
      <c r="AE622" s="14"/>
      <c r="AF622" s="3"/>
    </row>
    <row r="623" spans="1:32" ht="52.9" hidden="1">
      <c r="A623" s="3" t="s">
        <v>4608</v>
      </c>
      <c r="B623" s="3" t="s">
        <v>4609</v>
      </c>
      <c r="C623" s="3" t="s">
        <v>4610</v>
      </c>
      <c r="D623" s="3" t="s">
        <v>35</v>
      </c>
      <c r="E623" s="3" t="s">
        <v>36</v>
      </c>
      <c r="F623" s="3" t="s">
        <v>221</v>
      </c>
      <c r="G623" s="3" t="s">
        <v>82</v>
      </c>
      <c r="H623" s="3" t="s">
        <v>73</v>
      </c>
      <c r="I623" s="3" t="s">
        <v>4611</v>
      </c>
      <c r="J623" s="3" t="s">
        <v>223</v>
      </c>
      <c r="K623" s="3" t="s">
        <v>1373</v>
      </c>
      <c r="L623" s="3" t="s">
        <v>4612</v>
      </c>
      <c r="M623" s="3" t="s">
        <v>692</v>
      </c>
      <c r="N623" s="3" t="s">
        <v>285</v>
      </c>
      <c r="O623" s="3" t="s">
        <v>658</v>
      </c>
      <c r="P623" s="3" t="s">
        <v>4613</v>
      </c>
      <c r="Q623" s="3" t="s">
        <v>4614</v>
      </c>
      <c r="R623" s="3" t="s">
        <v>4112</v>
      </c>
      <c r="S623" s="3" t="s">
        <v>221</v>
      </c>
      <c r="T623" s="3" t="s">
        <v>37</v>
      </c>
      <c r="U623" s="3" t="s">
        <v>73</v>
      </c>
      <c r="V623" s="3" t="s">
        <v>4615</v>
      </c>
      <c r="W623" s="3" t="s">
        <v>223</v>
      </c>
      <c r="X623" s="3" t="s">
        <v>41</v>
      </c>
      <c r="Y623" s="3" t="s">
        <v>4565</v>
      </c>
      <c r="Z623" s="3" t="s">
        <v>4555</v>
      </c>
      <c r="AA623" s="3" t="s">
        <v>69</v>
      </c>
      <c r="AB623" s="3" t="s">
        <v>3628</v>
      </c>
      <c r="AC623" s="3" t="s">
        <v>4616</v>
      </c>
      <c r="AD623" s="14">
        <v>46049</v>
      </c>
      <c r="AE623" s="14">
        <v>46354</v>
      </c>
      <c r="AF623" s="3"/>
    </row>
    <row r="624" spans="1:32" ht="105.6" hidden="1">
      <c r="A624" s="3" t="s">
        <v>501</v>
      </c>
      <c r="B624" s="3" t="s">
        <v>502</v>
      </c>
      <c r="C624" s="3" t="s">
        <v>4617</v>
      </c>
      <c r="D624" s="3" t="s">
        <v>59</v>
      </c>
      <c r="E624" s="3" t="s">
        <v>36</v>
      </c>
      <c r="F624" s="3" t="s">
        <v>274</v>
      </c>
      <c r="G624" s="3" t="s">
        <v>37</v>
      </c>
      <c r="H624" s="3" t="s">
        <v>78</v>
      </c>
      <c r="I624" s="3" t="s">
        <v>503</v>
      </c>
      <c r="J624" s="3" t="s">
        <v>223</v>
      </c>
      <c r="K624" s="3" t="s">
        <v>41</v>
      </c>
      <c r="L624" s="3" t="s">
        <v>504</v>
      </c>
      <c r="M624" s="3" t="s">
        <v>505</v>
      </c>
      <c r="N624" s="3" t="s">
        <v>53</v>
      </c>
      <c r="O624" s="3" t="s">
        <v>506</v>
      </c>
      <c r="P624" s="3" t="s">
        <v>4618</v>
      </c>
      <c r="Q624" s="3" t="s">
        <v>4619</v>
      </c>
      <c r="R624" s="3" t="s">
        <v>36</v>
      </c>
      <c r="S624" s="3" t="s">
        <v>221</v>
      </c>
      <c r="T624" s="3" t="s">
        <v>37</v>
      </c>
      <c r="U624" s="3" t="s">
        <v>49</v>
      </c>
      <c r="V624" s="3" t="s">
        <v>4620</v>
      </c>
      <c r="W624" s="3" t="s">
        <v>223</v>
      </c>
      <c r="X624" s="3" t="s">
        <v>41</v>
      </c>
      <c r="Y624" s="3" t="s">
        <v>230</v>
      </c>
      <c r="Z624" s="3" t="s">
        <v>1115</v>
      </c>
      <c r="AA624" s="3" t="s">
        <v>63</v>
      </c>
      <c r="AB624" s="3" t="s">
        <v>270</v>
      </c>
      <c r="AC624" s="3" t="s">
        <v>4621</v>
      </c>
      <c r="AD624" s="14">
        <v>46059</v>
      </c>
      <c r="AE624" s="14">
        <v>46444</v>
      </c>
      <c r="AF624" s="3"/>
    </row>
    <row r="625" spans="1:32" ht="211.15" hidden="1">
      <c r="A625" s="3" t="s">
        <v>4622</v>
      </c>
      <c r="B625" s="3" t="s">
        <v>4623</v>
      </c>
      <c r="C625" s="3" t="s">
        <v>4624</v>
      </c>
      <c r="D625" s="3" t="s">
        <v>132</v>
      </c>
      <c r="E625" s="3" t="s">
        <v>36</v>
      </c>
      <c r="F625" s="3" t="s">
        <v>247</v>
      </c>
      <c r="G625" s="3" t="s">
        <v>82</v>
      </c>
      <c r="H625" s="3" t="s">
        <v>73</v>
      </c>
      <c r="I625" s="3" t="s">
        <v>4625</v>
      </c>
      <c r="J625" s="3" t="s">
        <v>223</v>
      </c>
      <c r="K625" s="3" t="s">
        <v>41</v>
      </c>
      <c r="L625" s="3" t="s">
        <v>4626</v>
      </c>
      <c r="M625" s="3" t="s">
        <v>313</v>
      </c>
      <c r="N625" s="3" t="s">
        <v>281</v>
      </c>
      <c r="O625" s="3" t="s">
        <v>308</v>
      </c>
      <c r="P625" s="3" t="s">
        <v>4627</v>
      </c>
      <c r="Q625" s="3" t="s">
        <v>4628</v>
      </c>
      <c r="R625" s="3" t="s">
        <v>4112</v>
      </c>
      <c r="S625" s="3" t="s">
        <v>221</v>
      </c>
      <c r="T625" s="3" t="s">
        <v>82</v>
      </c>
      <c r="U625" s="3" t="s">
        <v>73</v>
      </c>
      <c r="V625" s="3" t="s">
        <v>4629</v>
      </c>
      <c r="W625" s="3" t="s">
        <v>223</v>
      </c>
      <c r="X625" s="3" t="s">
        <v>41</v>
      </c>
      <c r="Y625" s="3" t="s">
        <v>4554</v>
      </c>
      <c r="Z625" s="3" t="s">
        <v>4555</v>
      </c>
      <c r="AA625" s="3" t="s">
        <v>69</v>
      </c>
      <c r="AB625" s="3" t="s">
        <v>3628</v>
      </c>
      <c r="AC625" s="3" t="s">
        <v>4630</v>
      </c>
      <c r="AD625" s="14">
        <v>46049</v>
      </c>
      <c r="AE625" s="14">
        <v>46308</v>
      </c>
      <c r="AF625" s="3"/>
    </row>
    <row r="626" spans="1:32" ht="39.6" hidden="1">
      <c r="A626" s="3" t="s">
        <v>4631</v>
      </c>
      <c r="B626" s="3" t="s">
        <v>4632</v>
      </c>
      <c r="C626" s="3"/>
      <c r="D626" s="3" t="s">
        <v>35</v>
      </c>
      <c r="E626" s="3" t="s">
        <v>36</v>
      </c>
      <c r="F626" s="3" t="s">
        <v>274</v>
      </c>
      <c r="G626" s="3" t="s">
        <v>37</v>
      </c>
      <c r="H626" s="3" t="s">
        <v>73</v>
      </c>
      <c r="I626" s="3" t="s">
        <v>4633</v>
      </c>
      <c r="J626" s="3" t="s">
        <v>223</v>
      </c>
      <c r="K626" s="3" t="s">
        <v>41</v>
      </c>
      <c r="L626" s="3" t="s">
        <v>4634</v>
      </c>
      <c r="M626" s="3" t="s">
        <v>692</v>
      </c>
      <c r="N626" s="3" t="s">
        <v>281</v>
      </c>
      <c r="O626" s="3" t="s">
        <v>658</v>
      </c>
      <c r="P626" s="3" t="s">
        <v>4635</v>
      </c>
      <c r="Q626" s="3" t="s">
        <v>4636</v>
      </c>
      <c r="R626" s="3" t="s">
        <v>4112</v>
      </c>
      <c r="S626" s="3" t="s">
        <v>221</v>
      </c>
      <c r="T626" s="3" t="s">
        <v>37</v>
      </c>
      <c r="U626" s="3" t="s">
        <v>4637</v>
      </c>
      <c r="V626" s="3" t="s">
        <v>4638</v>
      </c>
      <c r="W626" s="3" t="s">
        <v>223</v>
      </c>
      <c r="X626" s="3" t="s">
        <v>41</v>
      </c>
      <c r="Y626" s="3" t="s">
        <v>4554</v>
      </c>
      <c r="Z626" s="3" t="s">
        <v>4555</v>
      </c>
      <c r="AA626" s="3" t="s">
        <v>69</v>
      </c>
      <c r="AB626" s="3" t="s">
        <v>3628</v>
      </c>
      <c r="AC626" s="3" t="s">
        <v>4639</v>
      </c>
      <c r="AD626" s="14">
        <v>46049</v>
      </c>
      <c r="AE626" s="14"/>
      <c r="AF626" s="3"/>
    </row>
    <row r="627" spans="1:32" ht="118.9" hidden="1">
      <c r="A627" s="3" t="s">
        <v>4640</v>
      </c>
      <c r="B627" s="3" t="s">
        <v>4641</v>
      </c>
      <c r="C627" s="3" t="s">
        <v>4642</v>
      </c>
      <c r="D627" s="3" t="s">
        <v>132</v>
      </c>
      <c r="E627" s="3" t="s">
        <v>36</v>
      </c>
      <c r="F627" s="3" t="s">
        <v>247</v>
      </c>
      <c r="G627" s="3" t="s">
        <v>82</v>
      </c>
      <c r="H627" s="3" t="s">
        <v>73</v>
      </c>
      <c r="I627" s="3" t="s">
        <v>4643</v>
      </c>
      <c r="J627" s="3" t="s">
        <v>223</v>
      </c>
      <c r="K627" s="3" t="s">
        <v>41</v>
      </c>
      <c r="L627" s="3" t="s">
        <v>3662</v>
      </c>
      <c r="M627" s="3" t="s">
        <v>692</v>
      </c>
      <c r="N627" s="3" t="s">
        <v>285</v>
      </c>
      <c r="O627" s="3" t="s">
        <v>658</v>
      </c>
      <c r="P627" s="3" t="s">
        <v>4644</v>
      </c>
      <c r="Q627" s="3" t="s">
        <v>4645</v>
      </c>
      <c r="R627" s="3" t="s">
        <v>4112</v>
      </c>
      <c r="S627" s="3" t="s">
        <v>254</v>
      </c>
      <c r="T627" s="3" t="s">
        <v>37</v>
      </c>
      <c r="U627" s="3" t="s">
        <v>49</v>
      </c>
      <c r="V627" s="3" t="s">
        <v>4646</v>
      </c>
      <c r="W627" s="3" t="s">
        <v>223</v>
      </c>
      <c r="X627" s="3" t="s">
        <v>41</v>
      </c>
      <c r="Y627" s="3" t="s">
        <v>4565</v>
      </c>
      <c r="Z627" s="3" t="s">
        <v>4555</v>
      </c>
      <c r="AA627" s="3" t="s">
        <v>69</v>
      </c>
      <c r="AB627" s="3" t="s">
        <v>3628</v>
      </c>
      <c r="AC627" s="3" t="s">
        <v>4647</v>
      </c>
      <c r="AD627" s="14">
        <v>46049</v>
      </c>
      <c r="AE627" s="14">
        <v>46356</v>
      </c>
      <c r="AF627" s="3"/>
    </row>
    <row r="628" spans="1:32" ht="52.9" hidden="1">
      <c r="A628" s="3" t="s">
        <v>4648</v>
      </c>
      <c r="B628" s="3" t="s">
        <v>4649</v>
      </c>
      <c r="C628" s="3" t="s">
        <v>4650</v>
      </c>
      <c r="D628" s="3" t="s">
        <v>132</v>
      </c>
      <c r="E628" s="3" t="s">
        <v>36</v>
      </c>
      <c r="F628" s="3" t="s">
        <v>221</v>
      </c>
      <c r="G628" s="3" t="s">
        <v>82</v>
      </c>
      <c r="H628" s="3" t="s">
        <v>73</v>
      </c>
      <c r="I628" s="3" t="s">
        <v>4570</v>
      </c>
      <c r="J628" s="3" t="s">
        <v>223</v>
      </c>
      <c r="K628" s="3" t="s">
        <v>41</v>
      </c>
      <c r="L628" s="3" t="s">
        <v>4571</v>
      </c>
      <c r="M628" s="3" t="s">
        <v>3627</v>
      </c>
      <c r="N628" s="3" t="s">
        <v>281</v>
      </c>
      <c r="O628" s="3" t="s">
        <v>3628</v>
      </c>
      <c r="P628" s="3" t="s">
        <v>4651</v>
      </c>
      <c r="Q628" s="3" t="s">
        <v>4652</v>
      </c>
      <c r="R628" s="3" t="s">
        <v>4112</v>
      </c>
      <c r="S628" s="3" t="s">
        <v>221</v>
      </c>
      <c r="T628" s="3" t="s">
        <v>37</v>
      </c>
      <c r="U628" s="3" t="s">
        <v>73</v>
      </c>
      <c r="V628" s="3" t="s">
        <v>4653</v>
      </c>
      <c r="W628" s="3" t="s">
        <v>223</v>
      </c>
      <c r="X628" s="3" t="s">
        <v>41</v>
      </c>
      <c r="Y628" s="3" t="s">
        <v>4565</v>
      </c>
      <c r="Z628" s="3" t="s">
        <v>4555</v>
      </c>
      <c r="AA628" s="3" t="s">
        <v>69</v>
      </c>
      <c r="AB628" s="3" t="s">
        <v>3628</v>
      </c>
      <c r="AC628" s="3" t="s">
        <v>4654</v>
      </c>
      <c r="AD628" s="14">
        <v>46049</v>
      </c>
      <c r="AE628" s="14">
        <v>46356</v>
      </c>
      <c r="AF628" s="3"/>
    </row>
    <row r="629" spans="1:32" ht="132" hidden="1">
      <c r="A629" s="3" t="s">
        <v>4655</v>
      </c>
      <c r="B629" s="3" t="s">
        <v>4656</v>
      </c>
      <c r="C629" s="3" t="s">
        <v>4657</v>
      </c>
      <c r="D629" s="3" t="s">
        <v>132</v>
      </c>
      <c r="E629" s="3" t="s">
        <v>36</v>
      </c>
      <c r="F629" s="3" t="s">
        <v>221</v>
      </c>
      <c r="G629" s="3" t="s">
        <v>37</v>
      </c>
      <c r="H629" s="3" t="s">
        <v>73</v>
      </c>
      <c r="I629" s="3" t="s">
        <v>4658</v>
      </c>
      <c r="J629" s="3" t="s">
        <v>223</v>
      </c>
      <c r="K629" s="3" t="s">
        <v>41</v>
      </c>
      <c r="L629" s="3" t="s">
        <v>1559</v>
      </c>
      <c r="M629" s="3" t="s">
        <v>796</v>
      </c>
      <c r="N629" s="3" t="s">
        <v>281</v>
      </c>
      <c r="O629" s="3" t="s">
        <v>699</v>
      </c>
      <c r="P629" s="3" t="s">
        <v>4659</v>
      </c>
      <c r="Q629" s="3" t="s">
        <v>4660</v>
      </c>
      <c r="R629" s="3" t="s">
        <v>4112</v>
      </c>
      <c r="S629" s="3" t="s">
        <v>221</v>
      </c>
      <c r="T629" s="3" t="s">
        <v>37</v>
      </c>
      <c r="U629" s="3" t="s">
        <v>73</v>
      </c>
      <c r="V629" s="3" t="s">
        <v>4553</v>
      </c>
      <c r="W629" s="3" t="s">
        <v>223</v>
      </c>
      <c r="X629" s="3" t="s">
        <v>41</v>
      </c>
      <c r="Y629" s="3" t="s">
        <v>4554</v>
      </c>
      <c r="Z629" s="3" t="s">
        <v>4555</v>
      </c>
      <c r="AA629" s="3" t="s">
        <v>69</v>
      </c>
      <c r="AB629" s="3" t="s">
        <v>3628</v>
      </c>
      <c r="AC629" s="3" t="s">
        <v>4661</v>
      </c>
      <c r="AD629" s="14">
        <v>46049</v>
      </c>
      <c r="AE629" s="14">
        <v>46295</v>
      </c>
      <c r="AF629" s="3"/>
    </row>
    <row r="630" spans="1:32" ht="132" hidden="1">
      <c r="A630" s="3" t="s">
        <v>4662</v>
      </c>
      <c r="B630" s="3" t="s">
        <v>4663</v>
      </c>
      <c r="C630" s="3" t="s">
        <v>4664</v>
      </c>
      <c r="D630" s="3" t="s">
        <v>132</v>
      </c>
      <c r="E630" s="3" t="s">
        <v>36</v>
      </c>
      <c r="F630" s="3" t="s">
        <v>221</v>
      </c>
      <c r="G630" s="3" t="s">
        <v>82</v>
      </c>
      <c r="H630" s="3" t="s">
        <v>73</v>
      </c>
      <c r="I630" s="3" t="s">
        <v>4665</v>
      </c>
      <c r="J630" s="3" t="s">
        <v>223</v>
      </c>
      <c r="K630" s="3" t="s">
        <v>41</v>
      </c>
      <c r="L630" s="3" t="s">
        <v>4666</v>
      </c>
      <c r="M630" s="3" t="s">
        <v>85</v>
      </c>
      <c r="N630" s="3" t="s">
        <v>281</v>
      </c>
      <c r="O630" s="3" t="s">
        <v>86</v>
      </c>
      <c r="P630" s="3" t="s">
        <v>4667</v>
      </c>
      <c r="Q630" s="3" t="s">
        <v>4668</v>
      </c>
      <c r="R630" s="3" t="s">
        <v>4112</v>
      </c>
      <c r="S630" s="3" t="s">
        <v>221</v>
      </c>
      <c r="T630" s="3" t="s">
        <v>82</v>
      </c>
      <c r="U630" s="3" t="s">
        <v>73</v>
      </c>
      <c r="V630" s="3" t="s">
        <v>4669</v>
      </c>
      <c r="W630" s="3" t="s">
        <v>223</v>
      </c>
      <c r="X630" s="3" t="s">
        <v>41</v>
      </c>
      <c r="Y630" s="3" t="s">
        <v>4554</v>
      </c>
      <c r="Z630" s="3" t="s">
        <v>4555</v>
      </c>
      <c r="AA630" s="3" t="s">
        <v>69</v>
      </c>
      <c r="AB630" s="3" t="s">
        <v>3628</v>
      </c>
      <c r="AC630" s="3" t="s">
        <v>4670</v>
      </c>
      <c r="AD630" s="14">
        <v>46049</v>
      </c>
      <c r="AE630" s="14">
        <v>46295</v>
      </c>
      <c r="AF630" s="3"/>
    </row>
    <row r="631" spans="1:32" ht="79.150000000000006" hidden="1">
      <c r="A631" s="3" t="s">
        <v>4671</v>
      </c>
      <c r="B631" s="3" t="s">
        <v>4672</v>
      </c>
      <c r="C631" s="3" t="s">
        <v>4673</v>
      </c>
      <c r="D631" s="3" t="s">
        <v>132</v>
      </c>
      <c r="E631" s="3" t="s">
        <v>36</v>
      </c>
      <c r="F631" s="3" t="s">
        <v>221</v>
      </c>
      <c r="G631" s="3" t="s">
        <v>82</v>
      </c>
      <c r="H631" s="3" t="s">
        <v>73</v>
      </c>
      <c r="I631" s="3" t="s">
        <v>4674</v>
      </c>
      <c r="J631" s="3" t="s">
        <v>223</v>
      </c>
      <c r="K631" s="3" t="s">
        <v>41</v>
      </c>
      <c r="L631" s="3" t="s">
        <v>4675</v>
      </c>
      <c r="M631" s="3" t="s">
        <v>3627</v>
      </c>
      <c r="N631" s="3" t="s">
        <v>281</v>
      </c>
      <c r="O631" s="3" t="s">
        <v>3628</v>
      </c>
      <c r="P631" s="3" t="s">
        <v>4676</v>
      </c>
      <c r="Q631" s="3" t="s">
        <v>4677</v>
      </c>
      <c r="R631" s="3" t="s">
        <v>4112</v>
      </c>
      <c r="S631" s="3" t="s">
        <v>221</v>
      </c>
      <c r="T631" s="3" t="s">
        <v>82</v>
      </c>
      <c r="U631" s="3" t="s">
        <v>73</v>
      </c>
      <c r="V631" s="3" t="s">
        <v>4678</v>
      </c>
      <c r="W631" s="3" t="s">
        <v>223</v>
      </c>
      <c r="X631" s="3" t="s">
        <v>41</v>
      </c>
      <c r="Y631" s="3" t="s">
        <v>4554</v>
      </c>
      <c r="Z631" s="3" t="s">
        <v>4555</v>
      </c>
      <c r="AA631" s="3" t="s">
        <v>69</v>
      </c>
      <c r="AB631" s="3" t="s">
        <v>3628</v>
      </c>
      <c r="AC631" s="3" t="s">
        <v>4679</v>
      </c>
      <c r="AD631" s="14">
        <v>46048</v>
      </c>
      <c r="AE631" s="14">
        <v>46295</v>
      </c>
      <c r="AF631" s="3"/>
    </row>
    <row r="632" spans="1:32" ht="39.6" hidden="1">
      <c r="A632" s="3" t="s">
        <v>4680</v>
      </c>
      <c r="B632" s="3" t="s">
        <v>4681</v>
      </c>
      <c r="C632" s="3"/>
      <c r="D632" s="3" t="s">
        <v>59</v>
      </c>
      <c r="E632" s="3" t="s">
        <v>36</v>
      </c>
      <c r="F632" s="3" t="s">
        <v>526</v>
      </c>
      <c r="G632" s="3" t="s">
        <v>37</v>
      </c>
      <c r="H632" s="3" t="s">
        <v>49</v>
      </c>
      <c r="I632" s="3" t="s">
        <v>4682</v>
      </c>
      <c r="J632" s="3" t="s">
        <v>528</v>
      </c>
      <c r="K632" s="3" t="s">
        <v>41</v>
      </c>
      <c r="L632" s="3" t="s">
        <v>4683</v>
      </c>
      <c r="M632" s="3" t="s">
        <v>225</v>
      </c>
      <c r="N632" s="3" t="s">
        <v>285</v>
      </c>
      <c r="O632" s="3" t="s">
        <v>226</v>
      </c>
      <c r="P632" s="3" t="s">
        <v>4684</v>
      </c>
      <c r="Q632" s="3" t="s">
        <v>4685</v>
      </c>
      <c r="R632" s="3" t="s">
        <v>4112</v>
      </c>
      <c r="S632" s="3" t="s">
        <v>221</v>
      </c>
      <c r="T632" s="3" t="s">
        <v>37</v>
      </c>
      <c r="U632" s="3" t="s">
        <v>73</v>
      </c>
      <c r="V632" s="3" t="s">
        <v>4686</v>
      </c>
      <c r="W632" s="3" t="s">
        <v>223</v>
      </c>
      <c r="X632" s="3" t="s">
        <v>41</v>
      </c>
      <c r="Y632" s="3" t="s">
        <v>4554</v>
      </c>
      <c r="Z632" s="3" t="s">
        <v>4555</v>
      </c>
      <c r="AA632" s="3" t="s">
        <v>69</v>
      </c>
      <c r="AB632" s="3" t="s">
        <v>3628</v>
      </c>
      <c r="AC632" s="3" t="s">
        <v>4687</v>
      </c>
      <c r="AD632" s="14">
        <v>46053</v>
      </c>
      <c r="AE632" s="14"/>
      <c r="AF632" s="3"/>
    </row>
    <row r="633" spans="1:32" ht="66" hidden="1">
      <c r="A633" s="3" t="s">
        <v>4688</v>
      </c>
      <c r="B633" s="3" t="s">
        <v>4689</v>
      </c>
      <c r="C633" s="3" t="s">
        <v>4690</v>
      </c>
      <c r="D633" s="3" t="s">
        <v>132</v>
      </c>
      <c r="E633" s="3" t="s">
        <v>36</v>
      </c>
      <c r="F633" s="3" t="s">
        <v>221</v>
      </c>
      <c r="G633" s="3" t="s">
        <v>37</v>
      </c>
      <c r="H633" s="3" t="s">
        <v>73</v>
      </c>
      <c r="I633" s="3" t="s">
        <v>4691</v>
      </c>
      <c r="J633" s="3" t="s">
        <v>223</v>
      </c>
      <c r="K633" s="3" t="s">
        <v>41</v>
      </c>
      <c r="L633" s="3" t="s">
        <v>4692</v>
      </c>
      <c r="M633" s="3" t="s">
        <v>4693</v>
      </c>
      <c r="N633" s="3" t="s">
        <v>281</v>
      </c>
      <c r="O633" s="3" t="s">
        <v>301</v>
      </c>
      <c r="P633" s="3" t="s">
        <v>4694</v>
      </c>
      <c r="Q633" s="3" t="s">
        <v>4695</v>
      </c>
      <c r="R633" s="3" t="s">
        <v>4112</v>
      </c>
      <c r="S633" s="3" t="s">
        <v>221</v>
      </c>
      <c r="T633" s="3" t="s">
        <v>82</v>
      </c>
      <c r="U633" s="3" t="s">
        <v>73</v>
      </c>
      <c r="V633" s="3" t="s">
        <v>4696</v>
      </c>
      <c r="W633" s="3" t="s">
        <v>223</v>
      </c>
      <c r="X633" s="3" t="s">
        <v>41</v>
      </c>
      <c r="Y633" s="3" t="s">
        <v>4554</v>
      </c>
      <c r="Z633" s="3" t="s">
        <v>4555</v>
      </c>
      <c r="AA633" s="3" t="s">
        <v>69</v>
      </c>
      <c r="AB633" s="3" t="s">
        <v>3628</v>
      </c>
      <c r="AC633" s="3" t="s">
        <v>4697</v>
      </c>
      <c r="AD633" s="14">
        <v>46048</v>
      </c>
      <c r="AE633" s="14">
        <v>46295</v>
      </c>
      <c r="AF633" s="3"/>
    </row>
    <row r="634" spans="1:32" ht="39.6" hidden="1">
      <c r="A634" s="3" t="s">
        <v>4698</v>
      </c>
      <c r="B634" s="3" t="s">
        <v>4699</v>
      </c>
      <c r="C634" s="3" t="s">
        <v>4700</v>
      </c>
      <c r="D634" s="3" t="s">
        <v>59</v>
      </c>
      <c r="E634" s="3" t="s">
        <v>467</v>
      </c>
      <c r="F634" s="3" t="s">
        <v>221</v>
      </c>
      <c r="G634" s="3" t="s">
        <v>37</v>
      </c>
      <c r="H634" s="3" t="s">
        <v>49</v>
      </c>
      <c r="I634" s="3" t="s">
        <v>4701</v>
      </c>
      <c r="J634" s="3" t="s">
        <v>223</v>
      </c>
      <c r="K634" s="3" t="s">
        <v>41</v>
      </c>
      <c r="L634" s="3" t="s">
        <v>4702</v>
      </c>
      <c r="M634" s="3" t="s">
        <v>470</v>
      </c>
      <c r="N634" s="3" t="s">
        <v>53</v>
      </c>
      <c r="O634" s="3" t="s">
        <v>116</v>
      </c>
      <c r="P634" s="3" t="s">
        <v>4703</v>
      </c>
      <c r="Q634" s="3" t="s">
        <v>4704</v>
      </c>
      <c r="R634" s="3" t="s">
        <v>4112</v>
      </c>
      <c r="S634" s="3" t="s">
        <v>221</v>
      </c>
      <c r="T634" s="3" t="s">
        <v>37</v>
      </c>
      <c r="U634" s="3" t="s">
        <v>73</v>
      </c>
      <c r="V634" s="3" t="s">
        <v>4705</v>
      </c>
      <c r="W634" s="3" t="s">
        <v>223</v>
      </c>
      <c r="X634" s="3" t="s">
        <v>41</v>
      </c>
      <c r="Y634" s="3" t="s">
        <v>4554</v>
      </c>
      <c r="Z634" s="3" t="s">
        <v>4555</v>
      </c>
      <c r="AA634" s="3" t="s">
        <v>69</v>
      </c>
      <c r="AB634" s="3" t="s">
        <v>3628</v>
      </c>
      <c r="AC634" s="3" t="s">
        <v>4706</v>
      </c>
      <c r="AD634" s="14">
        <v>46048</v>
      </c>
      <c r="AE634" s="14">
        <v>46295</v>
      </c>
      <c r="AF634" s="3"/>
    </row>
    <row r="635" spans="1:32" ht="52.9" hidden="1">
      <c r="A635" s="3" t="s">
        <v>4631</v>
      </c>
      <c r="B635" s="3" t="s">
        <v>4632</v>
      </c>
      <c r="C635" s="3"/>
      <c r="D635" s="3" t="s">
        <v>35</v>
      </c>
      <c r="E635" s="3" t="s">
        <v>36</v>
      </c>
      <c r="F635" s="3" t="s">
        <v>274</v>
      </c>
      <c r="G635" s="3" t="s">
        <v>37</v>
      </c>
      <c r="H635" s="3" t="s">
        <v>73</v>
      </c>
      <c r="I635" s="3" t="s">
        <v>4633</v>
      </c>
      <c r="J635" s="3" t="s">
        <v>223</v>
      </c>
      <c r="K635" s="3" t="s">
        <v>41</v>
      </c>
      <c r="L635" s="3" t="s">
        <v>4634</v>
      </c>
      <c r="M635" s="3" t="s">
        <v>692</v>
      </c>
      <c r="N635" s="3" t="s">
        <v>281</v>
      </c>
      <c r="O635" s="3" t="s">
        <v>658</v>
      </c>
      <c r="P635" s="3" t="s">
        <v>4707</v>
      </c>
      <c r="Q635" s="3" t="s">
        <v>4708</v>
      </c>
      <c r="R635" s="3" t="s">
        <v>4112</v>
      </c>
      <c r="S635" s="3" t="s">
        <v>221</v>
      </c>
      <c r="T635" s="3" t="s">
        <v>37</v>
      </c>
      <c r="U635" s="3" t="s">
        <v>73</v>
      </c>
      <c r="V635" s="3" t="s">
        <v>4709</v>
      </c>
      <c r="W635" s="3" t="s">
        <v>223</v>
      </c>
      <c r="X635" s="3" t="s">
        <v>41</v>
      </c>
      <c r="Y635" s="3" t="s">
        <v>4554</v>
      </c>
      <c r="Z635" s="3" t="s">
        <v>4555</v>
      </c>
      <c r="AA635" s="3" t="s">
        <v>69</v>
      </c>
      <c r="AB635" s="3" t="s">
        <v>3628</v>
      </c>
      <c r="AC635" s="3" t="s">
        <v>4710</v>
      </c>
      <c r="AD635" s="14">
        <v>46049</v>
      </c>
      <c r="AE635" s="14"/>
      <c r="AF635" s="3"/>
    </row>
    <row r="636" spans="1:32" ht="158.44999999999999" hidden="1">
      <c r="A636" s="3" t="s">
        <v>4680</v>
      </c>
      <c r="B636" s="3" t="s">
        <v>4681</v>
      </c>
      <c r="C636" s="3" t="s">
        <v>4711</v>
      </c>
      <c r="D636" s="3" t="s">
        <v>132</v>
      </c>
      <c r="E636" s="3" t="s">
        <v>36</v>
      </c>
      <c r="F636" s="3" t="s">
        <v>526</v>
      </c>
      <c r="G636" s="3" t="s">
        <v>37</v>
      </c>
      <c r="H636" s="3" t="s">
        <v>49</v>
      </c>
      <c r="I636" s="3" t="s">
        <v>4682</v>
      </c>
      <c r="J636" s="3" t="s">
        <v>528</v>
      </c>
      <c r="K636" s="3" t="s">
        <v>41</v>
      </c>
      <c r="L636" s="3" t="s">
        <v>4683</v>
      </c>
      <c r="M636" s="3" t="s">
        <v>225</v>
      </c>
      <c r="N636" s="3" t="s">
        <v>285</v>
      </c>
      <c r="O636" s="3" t="s">
        <v>226</v>
      </c>
      <c r="P636" s="3" t="s">
        <v>4712</v>
      </c>
      <c r="Q636" s="3" t="s">
        <v>4713</v>
      </c>
      <c r="R636" s="3" t="s">
        <v>4112</v>
      </c>
      <c r="S636" s="3" t="s">
        <v>221</v>
      </c>
      <c r="T636" s="3" t="s">
        <v>37</v>
      </c>
      <c r="U636" s="3" t="s">
        <v>73</v>
      </c>
      <c r="V636" s="3" t="s">
        <v>4714</v>
      </c>
      <c r="W636" s="3" t="s">
        <v>223</v>
      </c>
      <c r="X636" s="3" t="s">
        <v>41</v>
      </c>
      <c r="Y636" s="3" t="s">
        <v>4554</v>
      </c>
      <c r="Z636" s="3" t="s">
        <v>4555</v>
      </c>
      <c r="AA636" s="3" t="s">
        <v>69</v>
      </c>
      <c r="AB636" s="3" t="s">
        <v>3628</v>
      </c>
      <c r="AC636" s="3" t="s">
        <v>4715</v>
      </c>
      <c r="AD636" s="14">
        <v>46049</v>
      </c>
      <c r="AE636" s="14">
        <v>46326</v>
      </c>
      <c r="AF636" s="3"/>
    </row>
    <row r="637" spans="1:32" ht="171.6" hidden="1">
      <c r="A637" s="3" t="s">
        <v>4716</v>
      </c>
      <c r="B637" s="3" t="s">
        <v>4717</v>
      </c>
      <c r="C637" s="3" t="s">
        <v>4718</v>
      </c>
      <c r="D637" s="3" t="s">
        <v>132</v>
      </c>
      <c r="E637" s="3" t="s">
        <v>36</v>
      </c>
      <c r="F637" s="3" t="s">
        <v>221</v>
      </c>
      <c r="G637" s="3" t="s">
        <v>82</v>
      </c>
      <c r="H637" s="3" t="s">
        <v>73</v>
      </c>
      <c r="I637" s="3" t="s">
        <v>4719</v>
      </c>
      <c r="J637" s="3" t="s">
        <v>223</v>
      </c>
      <c r="K637" s="3" t="s">
        <v>41</v>
      </c>
      <c r="L637" s="3" t="s">
        <v>4720</v>
      </c>
      <c r="M637" s="3" t="s">
        <v>1602</v>
      </c>
      <c r="N637" s="3" t="s">
        <v>281</v>
      </c>
      <c r="O637" s="3" t="s">
        <v>270</v>
      </c>
      <c r="P637" s="3" t="s">
        <v>4721</v>
      </c>
      <c r="Q637" s="3" t="s">
        <v>4722</v>
      </c>
      <c r="R637" s="3" t="s">
        <v>4112</v>
      </c>
      <c r="S637" s="3" t="s">
        <v>221</v>
      </c>
      <c r="T637" s="3" t="s">
        <v>37</v>
      </c>
      <c r="U637" s="3" t="s">
        <v>73</v>
      </c>
      <c r="V637" s="3" t="s">
        <v>4723</v>
      </c>
      <c r="W637" s="3" t="s">
        <v>223</v>
      </c>
      <c r="X637" s="3" t="s">
        <v>41</v>
      </c>
      <c r="Y637" s="3" t="s">
        <v>4565</v>
      </c>
      <c r="Z637" s="3" t="s">
        <v>4555</v>
      </c>
      <c r="AA637" s="3" t="s">
        <v>69</v>
      </c>
      <c r="AB637" s="3" t="s">
        <v>3628</v>
      </c>
      <c r="AC637" s="3" t="s">
        <v>4724</v>
      </c>
      <c r="AD637" s="14">
        <v>46049</v>
      </c>
      <c r="AE637" s="14">
        <v>46354</v>
      </c>
      <c r="AF637" s="3"/>
    </row>
    <row r="638" spans="1:32" ht="92.45" hidden="1">
      <c r="A638" s="3" t="s">
        <v>4725</v>
      </c>
      <c r="B638" s="3" t="s">
        <v>4726</v>
      </c>
      <c r="C638" s="3" t="s">
        <v>4727</v>
      </c>
      <c r="D638" s="3" t="s">
        <v>132</v>
      </c>
      <c r="E638" s="3" t="s">
        <v>36</v>
      </c>
      <c r="F638" s="3" t="s">
        <v>247</v>
      </c>
      <c r="G638" s="3" t="s">
        <v>37</v>
      </c>
      <c r="H638" s="3" t="s">
        <v>73</v>
      </c>
      <c r="I638" s="3" t="s">
        <v>4728</v>
      </c>
      <c r="J638" s="3" t="s">
        <v>223</v>
      </c>
      <c r="K638" s="3" t="s">
        <v>1373</v>
      </c>
      <c r="L638" s="3" t="s">
        <v>4612</v>
      </c>
      <c r="M638" s="3" t="s">
        <v>692</v>
      </c>
      <c r="N638" s="3" t="s">
        <v>285</v>
      </c>
      <c r="O638" s="3" t="s">
        <v>658</v>
      </c>
      <c r="P638" s="3" t="s">
        <v>4729</v>
      </c>
      <c r="Q638" s="3" t="s">
        <v>4730</v>
      </c>
      <c r="R638" s="3" t="s">
        <v>4112</v>
      </c>
      <c r="S638" s="3" t="s">
        <v>221</v>
      </c>
      <c r="T638" s="3" t="s">
        <v>82</v>
      </c>
      <c r="U638" s="3" t="s">
        <v>73</v>
      </c>
      <c r="V638" s="3" t="s">
        <v>4731</v>
      </c>
      <c r="W638" s="3" t="s">
        <v>223</v>
      </c>
      <c r="X638" s="3" t="s">
        <v>41</v>
      </c>
      <c r="Y638" s="3" t="s">
        <v>4565</v>
      </c>
      <c r="Z638" s="3" t="s">
        <v>4555</v>
      </c>
      <c r="AA638" s="3" t="s">
        <v>69</v>
      </c>
      <c r="AB638" s="3" t="s">
        <v>3628</v>
      </c>
      <c r="AC638" s="3" t="s">
        <v>4732</v>
      </c>
      <c r="AD638" s="14">
        <v>46050</v>
      </c>
      <c r="AE638" s="14">
        <v>46356</v>
      </c>
      <c r="AF638" s="3"/>
    </row>
    <row r="639" spans="1:32" ht="52.9" hidden="1">
      <c r="A639" s="3" t="s">
        <v>4733</v>
      </c>
      <c r="B639" s="3" t="s">
        <v>4734</v>
      </c>
      <c r="C639" s="3" t="s">
        <v>4735</v>
      </c>
      <c r="D639" s="3" t="s">
        <v>35</v>
      </c>
      <c r="E639" s="3" t="s">
        <v>36</v>
      </c>
      <c r="F639" s="3" t="s">
        <v>221</v>
      </c>
      <c r="G639" s="3" t="s">
        <v>82</v>
      </c>
      <c r="H639" s="3" t="s">
        <v>38</v>
      </c>
      <c r="I639" s="3" t="s">
        <v>4736</v>
      </c>
      <c r="J639" s="3" t="s">
        <v>223</v>
      </c>
      <c r="K639" s="3" t="s">
        <v>41</v>
      </c>
      <c r="L639" s="3" t="s">
        <v>2154</v>
      </c>
      <c r="M639" s="3" t="s">
        <v>4737</v>
      </c>
      <c r="N639" s="3" t="s">
        <v>53</v>
      </c>
      <c r="O639" s="3" t="s">
        <v>301</v>
      </c>
      <c r="P639" s="3" t="s">
        <v>2150</v>
      </c>
      <c r="Q639" s="3" t="s">
        <v>2151</v>
      </c>
      <c r="R639" s="3" t="s">
        <v>36</v>
      </c>
      <c r="S639" s="3" t="s">
        <v>221</v>
      </c>
      <c r="T639" s="3" t="s">
        <v>37</v>
      </c>
      <c r="U639" s="3" t="s">
        <v>49</v>
      </c>
      <c r="V639" s="3" t="s">
        <v>2153</v>
      </c>
      <c r="W639" s="3" t="s">
        <v>223</v>
      </c>
      <c r="X639" s="3" t="s">
        <v>41</v>
      </c>
      <c r="Y639" s="3" t="s">
        <v>2154</v>
      </c>
      <c r="Z639" s="3" t="s">
        <v>1735</v>
      </c>
      <c r="AA639" s="3" t="s">
        <v>63</v>
      </c>
      <c r="AB639" s="3" t="s">
        <v>301</v>
      </c>
      <c r="AC639" s="3" t="s">
        <v>4738</v>
      </c>
      <c r="AD639" s="14">
        <v>45870</v>
      </c>
      <c r="AE639" s="14">
        <v>46234</v>
      </c>
      <c r="AF639" s="3"/>
    </row>
    <row r="640" spans="1:32" ht="79.150000000000006" hidden="1">
      <c r="A640" s="3" t="s">
        <v>4739</v>
      </c>
      <c r="B640" s="3" t="s">
        <v>4740</v>
      </c>
      <c r="C640" s="3" t="s">
        <v>4741</v>
      </c>
      <c r="D640" s="3" t="s">
        <v>132</v>
      </c>
      <c r="E640" s="3" t="s">
        <v>36</v>
      </c>
      <c r="F640" s="3" t="s">
        <v>221</v>
      </c>
      <c r="G640" s="3" t="s">
        <v>82</v>
      </c>
      <c r="H640" s="3" t="s">
        <v>73</v>
      </c>
      <c r="I640" s="3" t="s">
        <v>4742</v>
      </c>
      <c r="J640" s="3" t="s">
        <v>223</v>
      </c>
      <c r="K640" s="3" t="s">
        <v>41</v>
      </c>
      <c r="L640" s="3" t="s">
        <v>4743</v>
      </c>
      <c r="M640" s="3" t="s">
        <v>692</v>
      </c>
      <c r="N640" s="3" t="s">
        <v>281</v>
      </c>
      <c r="O640" s="3" t="s">
        <v>658</v>
      </c>
      <c r="P640" s="3" t="s">
        <v>4744</v>
      </c>
      <c r="Q640" s="3" t="s">
        <v>4745</v>
      </c>
      <c r="R640" s="3" t="s">
        <v>4112</v>
      </c>
      <c r="S640" s="3" t="s">
        <v>221</v>
      </c>
      <c r="T640" s="3" t="s">
        <v>37</v>
      </c>
      <c r="U640" s="3" t="s">
        <v>73</v>
      </c>
      <c r="V640" s="3" t="s">
        <v>4746</v>
      </c>
      <c r="W640" s="3" t="s">
        <v>223</v>
      </c>
      <c r="X640" s="3" t="s">
        <v>41</v>
      </c>
      <c r="Y640" s="3" t="s">
        <v>4565</v>
      </c>
      <c r="Z640" s="3" t="s">
        <v>4555</v>
      </c>
      <c r="AA640" s="3" t="s">
        <v>69</v>
      </c>
      <c r="AB640" s="3" t="s">
        <v>3628</v>
      </c>
      <c r="AC640" s="3" t="s">
        <v>4747</v>
      </c>
      <c r="AD640" s="14">
        <v>46049</v>
      </c>
      <c r="AE640" s="14">
        <v>46356</v>
      </c>
      <c r="AF640" s="3"/>
    </row>
    <row r="641" spans="1:32" ht="184.9" hidden="1">
      <c r="A641" s="3" t="s">
        <v>4748</v>
      </c>
      <c r="B641" s="3" t="s">
        <v>4749</v>
      </c>
      <c r="C641" s="3" t="s">
        <v>4750</v>
      </c>
      <c r="D641" s="3" t="s">
        <v>132</v>
      </c>
      <c r="E641" s="3" t="s">
        <v>36</v>
      </c>
      <c r="F641" s="3" t="s">
        <v>221</v>
      </c>
      <c r="G641" s="3" t="s">
        <v>82</v>
      </c>
      <c r="H641" s="3" t="s">
        <v>73</v>
      </c>
      <c r="I641" s="3" t="s">
        <v>4751</v>
      </c>
      <c r="J641" s="3" t="s">
        <v>223</v>
      </c>
      <c r="K641" s="3" t="s">
        <v>41</v>
      </c>
      <c r="L641" s="3" t="s">
        <v>4752</v>
      </c>
      <c r="M641" s="3" t="s">
        <v>1776</v>
      </c>
      <c r="N641" s="3" t="s">
        <v>281</v>
      </c>
      <c r="O641" s="3" t="s">
        <v>506</v>
      </c>
      <c r="P641" s="3" t="s">
        <v>4753</v>
      </c>
      <c r="Q641" s="3" t="s">
        <v>4754</v>
      </c>
      <c r="R641" s="3" t="s">
        <v>4112</v>
      </c>
      <c r="S641" s="3" t="s">
        <v>221</v>
      </c>
      <c r="T641" s="3" t="s">
        <v>82</v>
      </c>
      <c r="U641" s="3" t="s">
        <v>73</v>
      </c>
      <c r="V641" s="3" t="s">
        <v>4755</v>
      </c>
      <c r="W641" s="3" t="s">
        <v>223</v>
      </c>
      <c r="X641" s="3" t="s">
        <v>41</v>
      </c>
      <c r="Y641" s="3" t="s">
        <v>4756</v>
      </c>
      <c r="Z641" s="3" t="s">
        <v>4555</v>
      </c>
      <c r="AA641" s="3" t="s">
        <v>69</v>
      </c>
      <c r="AB641" s="3" t="s">
        <v>3628</v>
      </c>
      <c r="AC641" s="3" t="s">
        <v>4757</v>
      </c>
      <c r="AD641" s="14">
        <v>46050</v>
      </c>
      <c r="AE641" s="14">
        <v>46325</v>
      </c>
      <c r="AF641" s="3"/>
    </row>
    <row r="642" spans="1:32" ht="66" hidden="1">
      <c r="A642" s="3" t="s">
        <v>4758</v>
      </c>
      <c r="B642" s="3" t="s">
        <v>4759</v>
      </c>
      <c r="C642" s="3" t="s">
        <v>4760</v>
      </c>
      <c r="D642" s="3" t="s">
        <v>132</v>
      </c>
      <c r="E642" s="3" t="s">
        <v>36</v>
      </c>
      <c r="F642" s="3" t="s">
        <v>221</v>
      </c>
      <c r="G642" s="3" t="s">
        <v>37</v>
      </c>
      <c r="H642" s="3" t="s">
        <v>73</v>
      </c>
      <c r="I642" s="3" t="s">
        <v>4761</v>
      </c>
      <c r="J642" s="3" t="s">
        <v>223</v>
      </c>
      <c r="K642" s="3" t="s">
        <v>41</v>
      </c>
      <c r="L642" s="3" t="s">
        <v>1495</v>
      </c>
      <c r="M642" s="3" t="s">
        <v>556</v>
      </c>
      <c r="N642" s="3" t="s">
        <v>281</v>
      </c>
      <c r="O642" s="3" t="s">
        <v>557</v>
      </c>
      <c r="P642" s="3" t="s">
        <v>4762</v>
      </c>
      <c r="Q642" s="3" t="s">
        <v>4763</v>
      </c>
      <c r="R642" s="3" t="s">
        <v>4112</v>
      </c>
      <c r="S642" s="3" t="s">
        <v>221</v>
      </c>
      <c r="T642" s="3" t="s">
        <v>82</v>
      </c>
      <c r="U642" s="3" t="s">
        <v>73</v>
      </c>
      <c r="V642" s="3" t="s">
        <v>4764</v>
      </c>
      <c r="W642" s="3" t="s">
        <v>223</v>
      </c>
      <c r="X642" s="3" t="s">
        <v>41</v>
      </c>
      <c r="Y642" s="3" t="s">
        <v>4554</v>
      </c>
      <c r="Z642" s="3" t="s">
        <v>4555</v>
      </c>
      <c r="AA642" s="3" t="s">
        <v>69</v>
      </c>
      <c r="AB642" s="3" t="s">
        <v>3628</v>
      </c>
      <c r="AC642" s="3" t="s">
        <v>4765</v>
      </c>
      <c r="AD642" s="14">
        <v>46048</v>
      </c>
      <c r="AE642" s="14">
        <v>46295</v>
      </c>
      <c r="AF642" s="3"/>
    </row>
    <row r="643" spans="1:32" ht="171.6" hidden="1">
      <c r="A643" s="3" t="s">
        <v>4766</v>
      </c>
      <c r="B643" s="3" t="s">
        <v>4767</v>
      </c>
      <c r="C643" s="3" t="s">
        <v>4768</v>
      </c>
      <c r="D643" s="3" t="s">
        <v>132</v>
      </c>
      <c r="E643" s="3" t="s">
        <v>36</v>
      </c>
      <c r="F643" s="3" t="s">
        <v>221</v>
      </c>
      <c r="G643" s="3" t="s">
        <v>82</v>
      </c>
      <c r="H643" s="3" t="s">
        <v>73</v>
      </c>
      <c r="I643" s="3" t="s">
        <v>4769</v>
      </c>
      <c r="J643" s="3" t="s">
        <v>223</v>
      </c>
      <c r="K643" s="3" t="s">
        <v>41</v>
      </c>
      <c r="L643" s="3" t="s">
        <v>4743</v>
      </c>
      <c r="M643" s="3" t="s">
        <v>3916</v>
      </c>
      <c r="N643" s="3" t="s">
        <v>281</v>
      </c>
      <c r="O643" s="3" t="s">
        <v>1591</v>
      </c>
      <c r="P643" s="3" t="s">
        <v>4770</v>
      </c>
      <c r="Q643" s="3" t="s">
        <v>4771</v>
      </c>
      <c r="R643" s="3" t="s">
        <v>4112</v>
      </c>
      <c r="S643" s="3" t="s">
        <v>221</v>
      </c>
      <c r="T643" s="3" t="s">
        <v>37</v>
      </c>
      <c r="U643" s="3" t="s">
        <v>49</v>
      </c>
      <c r="V643" s="3" t="s">
        <v>4772</v>
      </c>
      <c r="W643" s="3" t="s">
        <v>223</v>
      </c>
      <c r="X643" s="3" t="s">
        <v>41</v>
      </c>
      <c r="Y643" s="3" t="s">
        <v>4565</v>
      </c>
      <c r="Z643" s="3" t="s">
        <v>4555</v>
      </c>
      <c r="AA643" s="3" t="s">
        <v>69</v>
      </c>
      <c r="AB643" s="3" t="s">
        <v>3628</v>
      </c>
      <c r="AC643" s="3" t="s">
        <v>4773</v>
      </c>
      <c r="AD643" s="14">
        <v>46049</v>
      </c>
      <c r="AE643" s="14">
        <v>46357</v>
      </c>
      <c r="AF643" s="3"/>
    </row>
    <row r="644" spans="1:32" ht="92.45" hidden="1">
      <c r="A644" s="3" t="s">
        <v>4513</v>
      </c>
      <c r="B644" s="3" t="s">
        <v>4514</v>
      </c>
      <c r="C644" s="3" t="s">
        <v>4774</v>
      </c>
      <c r="D644" s="3" t="s">
        <v>132</v>
      </c>
      <c r="E644" s="3" t="s">
        <v>36</v>
      </c>
      <c r="F644" s="3" t="s">
        <v>221</v>
      </c>
      <c r="G644" s="3" t="s">
        <v>82</v>
      </c>
      <c r="H644" s="3" t="s">
        <v>73</v>
      </c>
      <c r="I644" s="3" t="s">
        <v>4516</v>
      </c>
      <c r="J644" s="3" t="s">
        <v>223</v>
      </c>
      <c r="K644" s="3" t="s">
        <v>41</v>
      </c>
      <c r="L644" s="3" t="s">
        <v>4517</v>
      </c>
      <c r="M644" s="3" t="s">
        <v>692</v>
      </c>
      <c r="N644" s="3" t="s">
        <v>281</v>
      </c>
      <c r="O644" s="3" t="s">
        <v>658</v>
      </c>
      <c r="P644" s="3" t="s">
        <v>4775</v>
      </c>
      <c r="Q644" s="3" t="s">
        <v>4776</v>
      </c>
      <c r="R644" s="3" t="s">
        <v>4112</v>
      </c>
      <c r="S644" s="3" t="s">
        <v>221</v>
      </c>
      <c r="T644" s="3" t="s">
        <v>37</v>
      </c>
      <c r="U644" s="3" t="s">
        <v>73</v>
      </c>
      <c r="V644" s="3" t="s">
        <v>4777</v>
      </c>
      <c r="W644" s="3" t="s">
        <v>223</v>
      </c>
      <c r="X644" s="3" t="s">
        <v>41</v>
      </c>
      <c r="Y644" s="3" t="s">
        <v>4565</v>
      </c>
      <c r="Z644" s="3" t="s">
        <v>4555</v>
      </c>
      <c r="AA644" s="3" t="s">
        <v>69</v>
      </c>
      <c r="AB644" s="3" t="s">
        <v>3628</v>
      </c>
      <c r="AC644" s="3" t="s">
        <v>4778</v>
      </c>
      <c r="AD644" s="14">
        <v>46049</v>
      </c>
      <c r="AE644" s="14">
        <v>46357</v>
      </c>
      <c r="AF644" s="3"/>
    </row>
    <row r="645" spans="1:32" ht="39.6" hidden="1">
      <c r="A645" s="3" t="s">
        <v>4779</v>
      </c>
      <c r="B645" s="3" t="s">
        <v>4780</v>
      </c>
      <c r="C645" s="3" t="s">
        <v>4781</v>
      </c>
      <c r="D645" s="3" t="s">
        <v>59</v>
      </c>
      <c r="E645" s="3" t="s">
        <v>36</v>
      </c>
      <c r="F645" s="3" t="s">
        <v>221</v>
      </c>
      <c r="G645" s="3" t="s">
        <v>37</v>
      </c>
      <c r="H645" s="3" t="s">
        <v>49</v>
      </c>
      <c r="I645" s="3" t="s">
        <v>3414</v>
      </c>
      <c r="J645" s="3" t="s">
        <v>223</v>
      </c>
      <c r="K645" s="3" t="s">
        <v>780</v>
      </c>
      <c r="L645" s="3" t="s">
        <v>1951</v>
      </c>
      <c r="M645" s="3" t="s">
        <v>1952</v>
      </c>
      <c r="N645" s="3" t="s">
        <v>63</v>
      </c>
      <c r="O645" s="3" t="s">
        <v>201</v>
      </c>
      <c r="P645" s="3" t="s">
        <v>4782</v>
      </c>
      <c r="Q645" s="3" t="s">
        <v>4783</v>
      </c>
      <c r="R645" s="3" t="s">
        <v>4112</v>
      </c>
      <c r="S645" s="3" t="s">
        <v>221</v>
      </c>
      <c r="T645" s="3" t="s">
        <v>82</v>
      </c>
      <c r="U645" s="3" t="s">
        <v>73</v>
      </c>
      <c r="V645" s="3" t="s">
        <v>4784</v>
      </c>
      <c r="W645" s="3" t="s">
        <v>223</v>
      </c>
      <c r="X645" s="3" t="s">
        <v>356</v>
      </c>
      <c r="Y645" s="3" t="s">
        <v>4785</v>
      </c>
      <c r="Z645" s="3" t="s">
        <v>4115</v>
      </c>
      <c r="AA645" s="3" t="s">
        <v>69</v>
      </c>
      <c r="AB645" s="3" t="s">
        <v>3628</v>
      </c>
      <c r="AC645" s="3" t="s">
        <v>4786</v>
      </c>
      <c r="AD645" s="14">
        <v>45958</v>
      </c>
      <c r="AE645" s="14"/>
      <c r="AF645" s="3"/>
    </row>
    <row r="646" spans="1:32" ht="132" hidden="1">
      <c r="A646" s="3" t="s">
        <v>4787</v>
      </c>
      <c r="B646" s="3" t="s">
        <v>4788</v>
      </c>
      <c r="C646" s="3" t="s">
        <v>4789</v>
      </c>
      <c r="D646" s="3" t="s">
        <v>132</v>
      </c>
      <c r="E646" s="3" t="s">
        <v>36</v>
      </c>
      <c r="F646" s="3" t="s">
        <v>221</v>
      </c>
      <c r="G646" s="3" t="s">
        <v>37</v>
      </c>
      <c r="H646" s="3" t="s">
        <v>73</v>
      </c>
      <c r="I646" s="3" t="s">
        <v>4790</v>
      </c>
      <c r="J646" s="3" t="s">
        <v>223</v>
      </c>
      <c r="K646" s="3" t="s">
        <v>41</v>
      </c>
      <c r="L646" s="3" t="s">
        <v>4791</v>
      </c>
      <c r="M646" s="3" t="s">
        <v>692</v>
      </c>
      <c r="N646" s="3" t="s">
        <v>285</v>
      </c>
      <c r="O646" s="3" t="s">
        <v>658</v>
      </c>
      <c r="P646" s="3" t="s">
        <v>4792</v>
      </c>
      <c r="Q646" s="3" t="s">
        <v>4793</v>
      </c>
      <c r="R646" s="3" t="s">
        <v>4112</v>
      </c>
      <c r="S646" s="3" t="s">
        <v>221</v>
      </c>
      <c r="T646" s="3" t="s">
        <v>37</v>
      </c>
      <c r="U646" s="3" t="s">
        <v>73</v>
      </c>
      <c r="V646" s="3" t="s">
        <v>4794</v>
      </c>
      <c r="W646" s="3" t="s">
        <v>223</v>
      </c>
      <c r="X646" s="3" t="s">
        <v>41</v>
      </c>
      <c r="Y646" s="3" t="s">
        <v>4554</v>
      </c>
      <c r="Z646" s="3" t="s">
        <v>4555</v>
      </c>
      <c r="AA646" s="3" t="s">
        <v>69</v>
      </c>
      <c r="AB646" s="3" t="s">
        <v>3628</v>
      </c>
      <c r="AC646" s="3" t="s">
        <v>4795</v>
      </c>
      <c r="AD646" s="14">
        <v>46038</v>
      </c>
      <c r="AE646" s="14">
        <v>46266</v>
      </c>
      <c r="AF646" s="3"/>
    </row>
    <row r="647" spans="1:32" ht="79.150000000000006" hidden="1">
      <c r="A647" s="3" t="s">
        <v>4655</v>
      </c>
      <c r="B647" s="3" t="s">
        <v>4656</v>
      </c>
      <c r="C647" s="3" t="s">
        <v>4796</v>
      </c>
      <c r="D647" s="3" t="s">
        <v>59</v>
      </c>
      <c r="E647" s="3" t="s">
        <v>36</v>
      </c>
      <c r="F647" s="3" t="s">
        <v>221</v>
      </c>
      <c r="G647" s="3" t="s">
        <v>37</v>
      </c>
      <c r="H647" s="3" t="s">
        <v>73</v>
      </c>
      <c r="I647" s="3" t="s">
        <v>4658</v>
      </c>
      <c r="J647" s="3" t="s">
        <v>223</v>
      </c>
      <c r="K647" s="3" t="s">
        <v>41</v>
      </c>
      <c r="L647" s="3" t="s">
        <v>1559</v>
      </c>
      <c r="M647" s="3" t="s">
        <v>796</v>
      </c>
      <c r="N647" s="3" t="s">
        <v>281</v>
      </c>
      <c r="O647" s="3" t="s">
        <v>699</v>
      </c>
      <c r="P647" s="3" t="s">
        <v>4797</v>
      </c>
      <c r="Q647" s="3" t="s">
        <v>4798</v>
      </c>
      <c r="R647" s="3" t="s">
        <v>4112</v>
      </c>
      <c r="S647" s="3" t="s">
        <v>221</v>
      </c>
      <c r="T647" s="3" t="s">
        <v>82</v>
      </c>
      <c r="U647" s="3" t="s">
        <v>49</v>
      </c>
      <c r="V647" s="3" t="s">
        <v>4799</v>
      </c>
      <c r="W647" s="3" t="s">
        <v>223</v>
      </c>
      <c r="X647" s="3" t="s">
        <v>41</v>
      </c>
      <c r="Y647" s="3" t="s">
        <v>4565</v>
      </c>
      <c r="Z647" s="3" t="s">
        <v>4555</v>
      </c>
      <c r="AA647" s="3" t="s">
        <v>69</v>
      </c>
      <c r="AB647" s="3" t="s">
        <v>3628</v>
      </c>
      <c r="AC647" s="3" t="s">
        <v>4800</v>
      </c>
      <c r="AD647" s="14">
        <v>46049</v>
      </c>
      <c r="AE647" s="14"/>
      <c r="AF647" s="3"/>
    </row>
    <row r="648" spans="1:32" ht="92.45" hidden="1">
      <c r="A648" s="3" t="s">
        <v>4591</v>
      </c>
      <c r="B648" s="3" t="s">
        <v>4592</v>
      </c>
      <c r="C648" s="3" t="s">
        <v>4801</v>
      </c>
      <c r="D648" s="3" t="s">
        <v>132</v>
      </c>
      <c r="E648" s="3" t="s">
        <v>36</v>
      </c>
      <c r="F648" s="3" t="s">
        <v>221</v>
      </c>
      <c r="G648" s="3" t="s">
        <v>37</v>
      </c>
      <c r="H648" s="3" t="s">
        <v>73</v>
      </c>
      <c r="I648" s="3" t="s">
        <v>4594</v>
      </c>
      <c r="J648" s="3" t="s">
        <v>223</v>
      </c>
      <c r="K648" s="3" t="s">
        <v>41</v>
      </c>
      <c r="L648" s="3" t="s">
        <v>4595</v>
      </c>
      <c r="M648" s="3" t="s">
        <v>3627</v>
      </c>
      <c r="N648" s="3" t="s">
        <v>281</v>
      </c>
      <c r="O648" s="3" t="s">
        <v>3628</v>
      </c>
      <c r="P648" s="3" t="s">
        <v>4802</v>
      </c>
      <c r="Q648" s="3" t="s">
        <v>4803</v>
      </c>
      <c r="R648" s="3" t="s">
        <v>4112</v>
      </c>
      <c r="S648" s="3" t="s">
        <v>221</v>
      </c>
      <c r="T648" s="3" t="s">
        <v>37</v>
      </c>
      <c r="U648" s="3" t="s">
        <v>73</v>
      </c>
      <c r="V648" s="3" t="s">
        <v>4804</v>
      </c>
      <c r="W648" s="3" t="s">
        <v>223</v>
      </c>
      <c r="X648" s="3" t="s">
        <v>41</v>
      </c>
      <c r="Y648" s="3" t="s">
        <v>4565</v>
      </c>
      <c r="Z648" s="3" t="s">
        <v>4555</v>
      </c>
      <c r="AA648" s="3" t="s">
        <v>69</v>
      </c>
      <c r="AB648" s="3" t="s">
        <v>3628</v>
      </c>
      <c r="AC648" s="3" t="s">
        <v>4805</v>
      </c>
      <c r="AD648" s="14">
        <v>46049</v>
      </c>
      <c r="AE648" s="14">
        <v>46387</v>
      </c>
      <c r="AF648" s="3"/>
    </row>
    <row r="649" spans="1:32" ht="105.6">
      <c r="A649" s="3" t="s">
        <v>4518</v>
      </c>
      <c r="B649" s="3" t="s">
        <v>4519</v>
      </c>
      <c r="C649" s="3" t="s">
        <v>4806</v>
      </c>
      <c r="D649" s="3" t="s">
        <v>132</v>
      </c>
      <c r="E649" s="3" t="s">
        <v>36</v>
      </c>
      <c r="F649" s="3" t="s">
        <v>221</v>
      </c>
      <c r="G649" s="3" t="s">
        <v>82</v>
      </c>
      <c r="H649" s="3" t="s">
        <v>73</v>
      </c>
      <c r="I649" s="3" t="s">
        <v>4520</v>
      </c>
      <c r="J649" s="3" t="s">
        <v>223</v>
      </c>
      <c r="K649" s="3" t="s">
        <v>41</v>
      </c>
      <c r="L649" s="3" t="s">
        <v>982</v>
      </c>
      <c r="M649" s="3" t="s">
        <v>692</v>
      </c>
      <c r="N649" s="3" t="s">
        <v>281</v>
      </c>
      <c r="O649" s="3" t="s">
        <v>658</v>
      </c>
      <c r="P649" s="3" t="s">
        <v>4807</v>
      </c>
      <c r="Q649" s="3" t="s">
        <v>4808</v>
      </c>
      <c r="R649" s="3" t="s">
        <v>4112</v>
      </c>
      <c r="S649" s="3" t="s">
        <v>221</v>
      </c>
      <c r="T649" s="3" t="s">
        <v>37</v>
      </c>
      <c r="U649" s="3" t="s">
        <v>73</v>
      </c>
      <c r="V649" s="3" t="s">
        <v>4809</v>
      </c>
      <c r="W649" s="3" t="s">
        <v>223</v>
      </c>
      <c r="X649" s="3" t="s">
        <v>41</v>
      </c>
      <c r="Y649" s="3" t="s">
        <v>4565</v>
      </c>
      <c r="Z649" s="3" t="s">
        <v>4555</v>
      </c>
      <c r="AA649" s="3" t="s">
        <v>69</v>
      </c>
      <c r="AB649" s="3" t="s">
        <v>3628</v>
      </c>
      <c r="AC649" s="3" t="s">
        <v>4810</v>
      </c>
      <c r="AD649" s="14">
        <v>46049</v>
      </c>
      <c r="AE649" s="14">
        <v>46356</v>
      </c>
      <c r="AF649" s="3"/>
    </row>
    <row r="650" spans="1:32" ht="105.6" hidden="1">
      <c r="A650" s="3" t="s">
        <v>4811</v>
      </c>
      <c r="B650" s="3" t="s">
        <v>4812</v>
      </c>
      <c r="C650" s="3" t="s">
        <v>4813</v>
      </c>
      <c r="D650" s="3" t="s">
        <v>132</v>
      </c>
      <c r="E650" s="3" t="s">
        <v>36</v>
      </c>
      <c r="F650" s="3" t="s">
        <v>221</v>
      </c>
      <c r="G650" s="3" t="s">
        <v>37</v>
      </c>
      <c r="H650" s="3" t="s">
        <v>73</v>
      </c>
      <c r="I650" s="3" t="s">
        <v>4814</v>
      </c>
      <c r="J650" s="3" t="s">
        <v>223</v>
      </c>
      <c r="K650" s="3" t="s">
        <v>41</v>
      </c>
      <c r="L650" s="3" t="s">
        <v>4815</v>
      </c>
      <c r="M650" s="3" t="s">
        <v>796</v>
      </c>
      <c r="N650" s="3" t="s">
        <v>281</v>
      </c>
      <c r="O650" s="3" t="s">
        <v>699</v>
      </c>
      <c r="P650" s="3" t="s">
        <v>4816</v>
      </c>
      <c r="Q650" s="3" t="s">
        <v>4817</v>
      </c>
      <c r="R650" s="3" t="s">
        <v>4112</v>
      </c>
      <c r="S650" s="3" t="s">
        <v>221</v>
      </c>
      <c r="T650" s="3" t="s">
        <v>37</v>
      </c>
      <c r="U650" s="3" t="s">
        <v>73</v>
      </c>
      <c r="V650" s="3" t="s">
        <v>4818</v>
      </c>
      <c r="W650" s="3" t="s">
        <v>223</v>
      </c>
      <c r="X650" s="3" t="s">
        <v>41</v>
      </c>
      <c r="Y650" s="3" t="s">
        <v>4565</v>
      </c>
      <c r="Z650" s="3" t="s">
        <v>4555</v>
      </c>
      <c r="AA650" s="3" t="s">
        <v>69</v>
      </c>
      <c r="AB650" s="3" t="s">
        <v>3628</v>
      </c>
      <c r="AC650" s="3" t="s">
        <v>4819</v>
      </c>
      <c r="AD650" s="14">
        <v>46051</v>
      </c>
      <c r="AE650" s="14">
        <v>46356</v>
      </c>
      <c r="AF650" s="3"/>
    </row>
    <row r="651" spans="1:32" ht="39.6" hidden="1">
      <c r="A651" s="3" t="s">
        <v>4739</v>
      </c>
      <c r="B651" s="3" t="s">
        <v>4740</v>
      </c>
      <c r="C651" s="3"/>
      <c r="D651" s="3" t="s">
        <v>59</v>
      </c>
      <c r="E651" s="3" t="s">
        <v>36</v>
      </c>
      <c r="F651" s="3" t="s">
        <v>221</v>
      </c>
      <c r="G651" s="3" t="s">
        <v>82</v>
      </c>
      <c r="H651" s="3" t="s">
        <v>73</v>
      </c>
      <c r="I651" s="3" t="s">
        <v>4742</v>
      </c>
      <c r="J651" s="3" t="s">
        <v>223</v>
      </c>
      <c r="K651" s="3" t="s">
        <v>41</v>
      </c>
      <c r="L651" s="3" t="s">
        <v>4743</v>
      </c>
      <c r="M651" s="3" t="s">
        <v>692</v>
      </c>
      <c r="N651" s="3" t="s">
        <v>281</v>
      </c>
      <c r="O651" s="3" t="s">
        <v>658</v>
      </c>
      <c r="P651" s="3" t="s">
        <v>4820</v>
      </c>
      <c r="Q651" s="3" t="s">
        <v>4821</v>
      </c>
      <c r="R651" s="3" t="s">
        <v>4112</v>
      </c>
      <c r="S651" s="3" t="s">
        <v>221</v>
      </c>
      <c r="T651" s="3" t="s">
        <v>37</v>
      </c>
      <c r="U651" s="3" t="s">
        <v>73</v>
      </c>
      <c r="V651" s="3" t="s">
        <v>4822</v>
      </c>
      <c r="W651" s="3" t="s">
        <v>223</v>
      </c>
      <c r="X651" s="3" t="s">
        <v>41</v>
      </c>
      <c r="Y651" s="3" t="s">
        <v>4554</v>
      </c>
      <c r="Z651" s="3" t="s">
        <v>4555</v>
      </c>
      <c r="AA651" s="3" t="s">
        <v>69</v>
      </c>
      <c r="AB651" s="3" t="s">
        <v>3628</v>
      </c>
      <c r="AC651" s="3" t="s">
        <v>4823</v>
      </c>
      <c r="AD651" s="14">
        <v>46048</v>
      </c>
      <c r="AE651" s="14">
        <v>46295</v>
      </c>
      <c r="AF651" s="3"/>
    </row>
    <row r="652" spans="1:32" ht="409.6" hidden="1">
      <c r="A652" s="3" t="s">
        <v>4824</v>
      </c>
      <c r="B652" s="3" t="s">
        <v>4825</v>
      </c>
      <c r="C652" s="3" t="s">
        <v>4826</v>
      </c>
      <c r="D652" s="3" t="s">
        <v>132</v>
      </c>
      <c r="E652" s="3" t="s">
        <v>36</v>
      </c>
      <c r="F652" s="3" t="s">
        <v>247</v>
      </c>
      <c r="G652" s="3" t="s">
        <v>82</v>
      </c>
      <c r="H652" s="3" t="s">
        <v>73</v>
      </c>
      <c r="I652" s="3" t="s">
        <v>2700</v>
      </c>
      <c r="J652" s="3" t="s">
        <v>223</v>
      </c>
      <c r="K652" s="3" t="s">
        <v>41</v>
      </c>
      <c r="L652" s="3" t="s">
        <v>2397</v>
      </c>
      <c r="M652" s="3" t="s">
        <v>1748</v>
      </c>
      <c r="N652" s="3" t="s">
        <v>281</v>
      </c>
      <c r="O652" s="3" t="s">
        <v>86</v>
      </c>
      <c r="P652" s="3" t="s">
        <v>4827</v>
      </c>
      <c r="Q652" s="3" t="s">
        <v>4828</v>
      </c>
      <c r="R652" s="3" t="s">
        <v>4112</v>
      </c>
      <c r="S652" s="3" t="s">
        <v>221</v>
      </c>
      <c r="T652" s="3" t="s">
        <v>37</v>
      </c>
      <c r="U652" s="3" t="s">
        <v>49</v>
      </c>
      <c r="V652" s="3" t="s">
        <v>4829</v>
      </c>
      <c r="W652" s="3" t="s">
        <v>223</v>
      </c>
      <c r="X652" s="3" t="s">
        <v>41</v>
      </c>
      <c r="Y652" s="3" t="s">
        <v>4554</v>
      </c>
      <c r="Z652" s="3" t="s">
        <v>4555</v>
      </c>
      <c r="AA652" s="3" t="s">
        <v>69</v>
      </c>
      <c r="AB652" s="3" t="s">
        <v>3628</v>
      </c>
      <c r="AC652" s="3" t="s">
        <v>4830</v>
      </c>
      <c r="AD652" s="14">
        <v>46049</v>
      </c>
      <c r="AE652" s="14">
        <v>46326</v>
      </c>
      <c r="AF652" s="3"/>
    </row>
    <row r="653" spans="1:32" ht="92.45">
      <c r="A653" s="3" t="s">
        <v>4518</v>
      </c>
      <c r="B653" s="3" t="s">
        <v>4519</v>
      </c>
      <c r="C653" s="3"/>
      <c r="D653" s="3" t="s">
        <v>132</v>
      </c>
      <c r="E653" s="3" t="s">
        <v>36</v>
      </c>
      <c r="F653" s="3" t="s">
        <v>221</v>
      </c>
      <c r="G653" s="3" t="s">
        <v>82</v>
      </c>
      <c r="H653" s="3" t="s">
        <v>73</v>
      </c>
      <c r="I653" s="3" t="s">
        <v>4520</v>
      </c>
      <c r="J653" s="3" t="s">
        <v>223</v>
      </c>
      <c r="K653" s="3" t="s">
        <v>41</v>
      </c>
      <c r="L653" s="3" t="s">
        <v>982</v>
      </c>
      <c r="M653" s="3" t="s">
        <v>692</v>
      </c>
      <c r="N653" s="3" t="s">
        <v>281</v>
      </c>
      <c r="O653" s="3" t="s">
        <v>658</v>
      </c>
      <c r="P653" s="3" t="s">
        <v>4831</v>
      </c>
      <c r="Q653" s="3" t="s">
        <v>4832</v>
      </c>
      <c r="R653" s="3" t="s">
        <v>4112</v>
      </c>
      <c r="S653" s="3" t="s">
        <v>221</v>
      </c>
      <c r="T653" s="3" t="s">
        <v>37</v>
      </c>
      <c r="U653" s="3" t="s">
        <v>73</v>
      </c>
      <c r="V653" s="3" t="s">
        <v>4833</v>
      </c>
      <c r="W653" s="3" t="s">
        <v>223</v>
      </c>
      <c r="X653" s="3" t="s">
        <v>41</v>
      </c>
      <c r="Y653" s="3" t="s">
        <v>4554</v>
      </c>
      <c r="Z653" s="3" t="s">
        <v>4555</v>
      </c>
      <c r="AA653" s="3" t="s">
        <v>69</v>
      </c>
      <c r="AB653" s="3" t="s">
        <v>3628</v>
      </c>
      <c r="AC653" s="3" t="s">
        <v>4834</v>
      </c>
      <c r="AD653" s="14">
        <v>46048</v>
      </c>
      <c r="AE653" s="14">
        <v>46296</v>
      </c>
      <c r="AF653" s="3" t="s">
        <v>109</v>
      </c>
    </row>
    <row r="654" spans="1:32" ht="66">
      <c r="A654" s="3" t="s">
        <v>4518</v>
      </c>
      <c r="B654" s="3" t="s">
        <v>4519</v>
      </c>
      <c r="C654" s="3" t="s">
        <v>4835</v>
      </c>
      <c r="D654" s="3" t="s">
        <v>132</v>
      </c>
      <c r="E654" s="3" t="s">
        <v>36</v>
      </c>
      <c r="F654" s="3" t="s">
        <v>221</v>
      </c>
      <c r="G654" s="3" t="s">
        <v>82</v>
      </c>
      <c r="H654" s="3" t="s">
        <v>73</v>
      </c>
      <c r="I654" s="3" t="s">
        <v>4520</v>
      </c>
      <c r="J654" s="3" t="s">
        <v>223</v>
      </c>
      <c r="K654" s="3" t="s">
        <v>41</v>
      </c>
      <c r="L654" s="3" t="s">
        <v>982</v>
      </c>
      <c r="M654" s="3" t="s">
        <v>692</v>
      </c>
      <c r="N654" s="3" t="s">
        <v>281</v>
      </c>
      <c r="O654" s="3" t="s">
        <v>658</v>
      </c>
      <c r="P654" s="3" t="s">
        <v>4836</v>
      </c>
      <c r="Q654" s="3" t="s">
        <v>4837</v>
      </c>
      <c r="R654" s="3" t="s">
        <v>4112</v>
      </c>
      <c r="S654" s="3" t="s">
        <v>221</v>
      </c>
      <c r="T654" s="3" t="s">
        <v>82</v>
      </c>
      <c r="U654" s="3" t="s">
        <v>73</v>
      </c>
      <c r="V654" s="3" t="s">
        <v>4838</v>
      </c>
      <c r="W654" s="3" t="s">
        <v>223</v>
      </c>
      <c r="X654" s="3" t="s">
        <v>41</v>
      </c>
      <c r="Y654" s="3" t="s">
        <v>4554</v>
      </c>
      <c r="Z654" s="3" t="s">
        <v>4555</v>
      </c>
      <c r="AA654" s="3" t="s">
        <v>69</v>
      </c>
      <c r="AB654" s="3" t="s">
        <v>3628</v>
      </c>
      <c r="AC654" s="3" t="s">
        <v>4839</v>
      </c>
      <c r="AD654" s="14">
        <v>46049</v>
      </c>
      <c r="AE654" s="14">
        <v>46326</v>
      </c>
      <c r="AF654" s="3"/>
    </row>
    <row r="655" spans="1:32" ht="39.6" hidden="1">
      <c r="A655" s="3" t="s">
        <v>4648</v>
      </c>
      <c r="B655" s="3" t="s">
        <v>4649</v>
      </c>
      <c r="C655" s="3"/>
      <c r="D655" s="3" t="s">
        <v>132</v>
      </c>
      <c r="E655" s="3" t="s">
        <v>36</v>
      </c>
      <c r="F655" s="3" t="s">
        <v>221</v>
      </c>
      <c r="G655" s="3" t="s">
        <v>82</v>
      </c>
      <c r="H655" s="3" t="s">
        <v>73</v>
      </c>
      <c r="I655" s="3" t="s">
        <v>4570</v>
      </c>
      <c r="J655" s="3" t="s">
        <v>223</v>
      </c>
      <c r="K655" s="3" t="s">
        <v>41</v>
      </c>
      <c r="L655" s="3" t="s">
        <v>4571</v>
      </c>
      <c r="M655" s="3" t="s">
        <v>3627</v>
      </c>
      <c r="N655" s="3" t="s">
        <v>281</v>
      </c>
      <c r="O655" s="3" t="s">
        <v>3628</v>
      </c>
      <c r="P655" s="3" t="s">
        <v>4840</v>
      </c>
      <c r="Q655" s="3" t="s">
        <v>4841</v>
      </c>
      <c r="R655" s="3" t="s">
        <v>4112</v>
      </c>
      <c r="S655" s="3" t="s">
        <v>221</v>
      </c>
      <c r="T655" s="3" t="s">
        <v>37</v>
      </c>
      <c r="U655" s="3" t="s">
        <v>49</v>
      </c>
      <c r="V655" s="3" t="s">
        <v>4842</v>
      </c>
      <c r="W655" s="3" t="s">
        <v>223</v>
      </c>
      <c r="X655" s="3" t="s">
        <v>41</v>
      </c>
      <c r="Y655" s="3" t="s">
        <v>4554</v>
      </c>
      <c r="Z655" s="3" t="s">
        <v>4555</v>
      </c>
      <c r="AA655" s="3" t="s">
        <v>69</v>
      </c>
      <c r="AB655" s="3" t="s">
        <v>3628</v>
      </c>
      <c r="AC655" s="3" t="s">
        <v>4843</v>
      </c>
      <c r="AD655" s="14">
        <v>46049</v>
      </c>
      <c r="AE655" s="14"/>
      <c r="AF655" s="3"/>
    </row>
    <row r="656" spans="1:32" ht="145.15" hidden="1">
      <c r="A656" s="3" t="s">
        <v>4029</v>
      </c>
      <c r="B656" s="3" t="s">
        <v>4030</v>
      </c>
      <c r="C656" s="3" t="s">
        <v>4844</v>
      </c>
      <c r="D656" s="3" t="s">
        <v>348</v>
      </c>
      <c r="E656" s="3" t="s">
        <v>36</v>
      </c>
      <c r="F656" s="3" t="s">
        <v>221</v>
      </c>
      <c r="G656" s="3" t="s">
        <v>82</v>
      </c>
      <c r="H656" s="3" t="s">
        <v>49</v>
      </c>
      <c r="I656" s="3" t="s">
        <v>4032</v>
      </c>
      <c r="J656" s="3" t="s">
        <v>223</v>
      </c>
      <c r="K656" s="3" t="s">
        <v>41</v>
      </c>
      <c r="L656" s="3" t="s">
        <v>3881</v>
      </c>
      <c r="M656" s="3" t="s">
        <v>225</v>
      </c>
      <c r="N656" s="3" t="s">
        <v>63</v>
      </c>
      <c r="O656" s="3" t="s">
        <v>226</v>
      </c>
      <c r="P656" s="3" t="s">
        <v>4845</v>
      </c>
      <c r="Q656" s="3" t="s">
        <v>4846</v>
      </c>
      <c r="R656" s="3" t="s">
        <v>36</v>
      </c>
      <c r="S656" s="3" t="s">
        <v>221</v>
      </c>
      <c r="T656" s="3" t="s">
        <v>82</v>
      </c>
      <c r="U656" s="3" t="s">
        <v>49</v>
      </c>
      <c r="V656" s="3" t="s">
        <v>4847</v>
      </c>
      <c r="W656" s="3" t="s">
        <v>223</v>
      </c>
      <c r="X656" s="3" t="s">
        <v>41</v>
      </c>
      <c r="Y656" s="3" t="s">
        <v>4848</v>
      </c>
      <c r="Z656" s="3" t="s">
        <v>2124</v>
      </c>
      <c r="AA656" s="3" t="s">
        <v>53</v>
      </c>
      <c r="AB656" s="3" t="s">
        <v>270</v>
      </c>
      <c r="AC656" s="3" t="s">
        <v>4849</v>
      </c>
      <c r="AD656" s="14">
        <v>46056</v>
      </c>
      <c r="AE656" s="14">
        <v>46353</v>
      </c>
      <c r="AF656" s="3"/>
    </row>
    <row r="657" spans="1:32" ht="66" hidden="1">
      <c r="A657" s="3" t="s">
        <v>4688</v>
      </c>
      <c r="B657" s="3" t="s">
        <v>4689</v>
      </c>
      <c r="C657" s="3" t="s">
        <v>4850</v>
      </c>
      <c r="D657" s="3" t="s">
        <v>132</v>
      </c>
      <c r="E657" s="3" t="s">
        <v>36</v>
      </c>
      <c r="F657" s="3" t="s">
        <v>221</v>
      </c>
      <c r="G657" s="3" t="s">
        <v>37</v>
      </c>
      <c r="H657" s="3" t="s">
        <v>73</v>
      </c>
      <c r="I657" s="3" t="s">
        <v>4691</v>
      </c>
      <c r="J657" s="3" t="s">
        <v>223</v>
      </c>
      <c r="K657" s="3" t="s">
        <v>41</v>
      </c>
      <c r="L657" s="3" t="s">
        <v>4692</v>
      </c>
      <c r="M657" s="3" t="s">
        <v>4693</v>
      </c>
      <c r="N657" s="3" t="s">
        <v>281</v>
      </c>
      <c r="O657" s="3" t="s">
        <v>301</v>
      </c>
      <c r="P657" s="3" t="s">
        <v>4851</v>
      </c>
      <c r="Q657" s="3" t="s">
        <v>4852</v>
      </c>
      <c r="R657" s="3" t="s">
        <v>4112</v>
      </c>
      <c r="S657" s="3" t="s">
        <v>221</v>
      </c>
      <c r="T657" s="3" t="s">
        <v>37</v>
      </c>
      <c r="U657" s="3" t="s">
        <v>73</v>
      </c>
      <c r="V657" s="3" t="s">
        <v>4853</v>
      </c>
      <c r="W657" s="3" t="s">
        <v>223</v>
      </c>
      <c r="X657" s="3" t="s">
        <v>41</v>
      </c>
      <c r="Y657" s="3" t="s">
        <v>4565</v>
      </c>
      <c r="Z657" s="3" t="s">
        <v>4555</v>
      </c>
      <c r="AA657" s="3" t="s">
        <v>69</v>
      </c>
      <c r="AB657" s="3" t="s">
        <v>3628</v>
      </c>
      <c r="AC657" s="3" t="s">
        <v>4854</v>
      </c>
      <c r="AD657" s="14">
        <v>46049</v>
      </c>
      <c r="AE657" s="14">
        <v>46356</v>
      </c>
      <c r="AF657" s="3"/>
    </row>
    <row r="658" spans="1:32" ht="184.9" hidden="1">
      <c r="A658" s="3" t="s">
        <v>4787</v>
      </c>
      <c r="B658" s="3" t="s">
        <v>4788</v>
      </c>
      <c r="C658" s="3" t="s">
        <v>4855</v>
      </c>
      <c r="D658" s="3" t="s">
        <v>132</v>
      </c>
      <c r="E658" s="3" t="s">
        <v>36</v>
      </c>
      <c r="F658" s="3" t="s">
        <v>221</v>
      </c>
      <c r="G658" s="3" t="s">
        <v>37</v>
      </c>
      <c r="H658" s="3" t="s">
        <v>73</v>
      </c>
      <c r="I658" s="3" t="s">
        <v>4790</v>
      </c>
      <c r="J658" s="3" t="s">
        <v>223</v>
      </c>
      <c r="K658" s="3" t="s">
        <v>41</v>
      </c>
      <c r="L658" s="3" t="s">
        <v>4791</v>
      </c>
      <c r="M658" s="3" t="s">
        <v>692</v>
      </c>
      <c r="N658" s="3" t="s">
        <v>285</v>
      </c>
      <c r="O658" s="3" t="s">
        <v>658</v>
      </c>
      <c r="P658" s="3" t="s">
        <v>4856</v>
      </c>
      <c r="Q658" s="3" t="s">
        <v>4857</v>
      </c>
      <c r="R658" s="3" t="s">
        <v>4112</v>
      </c>
      <c r="S658" s="3" t="s">
        <v>221</v>
      </c>
      <c r="T658" s="3" t="s">
        <v>82</v>
      </c>
      <c r="U658" s="3" t="s">
        <v>73</v>
      </c>
      <c r="V658" s="3" t="s">
        <v>4598</v>
      </c>
      <c r="W658" s="3" t="s">
        <v>223</v>
      </c>
      <c r="X658" s="3" t="s">
        <v>41</v>
      </c>
      <c r="Y658" s="3" t="s">
        <v>4554</v>
      </c>
      <c r="Z658" s="3" t="s">
        <v>4555</v>
      </c>
      <c r="AA658" s="3" t="s">
        <v>69</v>
      </c>
      <c r="AB658" s="3" t="s">
        <v>3628</v>
      </c>
      <c r="AC658" s="3" t="s">
        <v>4858</v>
      </c>
      <c r="AD658" s="14">
        <v>46049</v>
      </c>
      <c r="AE658" s="14">
        <v>46326</v>
      </c>
      <c r="AF658" s="3"/>
    </row>
    <row r="659" spans="1:32" ht="66" hidden="1">
      <c r="A659" s="3" t="s">
        <v>4600</v>
      </c>
      <c r="B659" s="3" t="s">
        <v>4601</v>
      </c>
      <c r="C659" s="3" t="s">
        <v>4859</v>
      </c>
      <c r="D659" s="3" t="s">
        <v>132</v>
      </c>
      <c r="E659" s="3" t="s">
        <v>36</v>
      </c>
      <c r="F659" s="3" t="s">
        <v>221</v>
      </c>
      <c r="G659" s="3" t="s">
        <v>82</v>
      </c>
      <c r="H659" s="3" t="s">
        <v>73</v>
      </c>
      <c r="I659" s="3" t="s">
        <v>4602</v>
      </c>
      <c r="J659" s="3" t="s">
        <v>223</v>
      </c>
      <c r="K659" s="3" t="s">
        <v>41</v>
      </c>
      <c r="L659" s="3" t="s">
        <v>4603</v>
      </c>
      <c r="M659" s="3" t="s">
        <v>402</v>
      </c>
      <c r="N659" s="3" t="s">
        <v>285</v>
      </c>
      <c r="O659" s="3" t="s">
        <v>116</v>
      </c>
      <c r="P659" s="3" t="s">
        <v>4860</v>
      </c>
      <c r="Q659" s="3" t="s">
        <v>4861</v>
      </c>
      <c r="R659" s="3" t="s">
        <v>4112</v>
      </c>
      <c r="S659" s="3" t="s">
        <v>221</v>
      </c>
      <c r="T659" s="3" t="s">
        <v>37</v>
      </c>
      <c r="U659" s="3" t="s">
        <v>73</v>
      </c>
      <c r="V659" s="3" t="s">
        <v>4862</v>
      </c>
      <c r="W659" s="3" t="s">
        <v>223</v>
      </c>
      <c r="X659" s="3" t="s">
        <v>41</v>
      </c>
      <c r="Y659" s="3" t="s">
        <v>4565</v>
      </c>
      <c r="Z659" s="3" t="s">
        <v>4555</v>
      </c>
      <c r="AA659" s="3" t="s">
        <v>69</v>
      </c>
      <c r="AB659" s="3" t="s">
        <v>3628</v>
      </c>
      <c r="AC659" s="3" t="s">
        <v>4863</v>
      </c>
      <c r="AD659" s="14">
        <v>46049</v>
      </c>
      <c r="AE659" s="14">
        <v>46356</v>
      </c>
      <c r="AF659" s="3"/>
    </row>
    <row r="660" spans="1:32" ht="92.45" hidden="1">
      <c r="A660" s="3" t="s">
        <v>4567</v>
      </c>
      <c r="B660" s="3" t="s">
        <v>4568</v>
      </c>
      <c r="C660" s="3" t="s">
        <v>4864</v>
      </c>
      <c r="D660" s="3" t="s">
        <v>132</v>
      </c>
      <c r="E660" s="3" t="s">
        <v>36</v>
      </c>
      <c r="F660" s="3" t="s">
        <v>221</v>
      </c>
      <c r="G660" s="3" t="s">
        <v>82</v>
      </c>
      <c r="H660" s="3" t="s">
        <v>73</v>
      </c>
      <c r="I660" s="3" t="s">
        <v>4570</v>
      </c>
      <c r="J660" s="3" t="s">
        <v>223</v>
      </c>
      <c r="K660" s="3" t="s">
        <v>41</v>
      </c>
      <c r="L660" s="3" t="s">
        <v>4571</v>
      </c>
      <c r="M660" s="3" t="s">
        <v>3627</v>
      </c>
      <c r="N660" s="3" t="s">
        <v>281</v>
      </c>
      <c r="O660" s="3" t="s">
        <v>3628</v>
      </c>
      <c r="P660" s="3" t="s">
        <v>4865</v>
      </c>
      <c r="Q660" s="3" t="s">
        <v>4866</v>
      </c>
      <c r="R660" s="3" t="s">
        <v>4112</v>
      </c>
      <c r="S660" s="3" t="s">
        <v>221</v>
      </c>
      <c r="T660" s="3" t="s">
        <v>37</v>
      </c>
      <c r="U660" s="3" t="s">
        <v>73</v>
      </c>
      <c r="V660" s="3" t="s">
        <v>4867</v>
      </c>
      <c r="W660" s="3" t="s">
        <v>223</v>
      </c>
      <c r="X660" s="3" t="s">
        <v>41</v>
      </c>
      <c r="Y660" s="3" t="s">
        <v>4565</v>
      </c>
      <c r="Z660" s="3" t="s">
        <v>4555</v>
      </c>
      <c r="AA660" s="3" t="s">
        <v>69</v>
      </c>
      <c r="AB660" s="3" t="s">
        <v>3628</v>
      </c>
      <c r="AC660" s="3" t="s">
        <v>4868</v>
      </c>
      <c r="AD660" s="14">
        <v>46050</v>
      </c>
      <c r="AE660" s="14">
        <v>46356</v>
      </c>
      <c r="AF660" s="3"/>
    </row>
    <row r="661" spans="1:32" ht="171.6" hidden="1">
      <c r="A661" s="3" t="s">
        <v>4622</v>
      </c>
      <c r="B661" s="3" t="s">
        <v>4623</v>
      </c>
      <c r="C661" s="3" t="s">
        <v>4869</v>
      </c>
      <c r="D661" s="3" t="s">
        <v>132</v>
      </c>
      <c r="E661" s="3" t="s">
        <v>36</v>
      </c>
      <c r="F661" s="3" t="s">
        <v>247</v>
      </c>
      <c r="G661" s="3" t="s">
        <v>82</v>
      </c>
      <c r="H661" s="3" t="s">
        <v>73</v>
      </c>
      <c r="I661" s="3" t="s">
        <v>4625</v>
      </c>
      <c r="J661" s="3" t="s">
        <v>223</v>
      </c>
      <c r="K661" s="3" t="s">
        <v>41</v>
      </c>
      <c r="L661" s="3" t="s">
        <v>4626</v>
      </c>
      <c r="M661" s="3" t="s">
        <v>313</v>
      </c>
      <c r="N661" s="3" t="s">
        <v>281</v>
      </c>
      <c r="O661" s="3" t="s">
        <v>308</v>
      </c>
      <c r="P661" s="3" t="s">
        <v>4870</v>
      </c>
      <c r="Q661" s="3" t="s">
        <v>4871</v>
      </c>
      <c r="R661" s="3" t="s">
        <v>4112</v>
      </c>
      <c r="S661" s="3" t="s">
        <v>221</v>
      </c>
      <c r="T661" s="3" t="s">
        <v>37</v>
      </c>
      <c r="U661" s="3" t="s">
        <v>73</v>
      </c>
      <c r="V661" s="3" t="s">
        <v>4872</v>
      </c>
      <c r="W661" s="3" t="s">
        <v>223</v>
      </c>
      <c r="X661" s="3" t="s">
        <v>41</v>
      </c>
      <c r="Y661" s="3" t="s">
        <v>4565</v>
      </c>
      <c r="Z661" s="3" t="s">
        <v>4555</v>
      </c>
      <c r="AA661" s="3" t="s">
        <v>69</v>
      </c>
      <c r="AB661" s="3" t="s">
        <v>3628</v>
      </c>
      <c r="AC661" s="3" t="s">
        <v>4873</v>
      </c>
      <c r="AD661" s="14">
        <v>46049</v>
      </c>
      <c r="AE661" s="14">
        <v>46356</v>
      </c>
      <c r="AF661" s="3"/>
    </row>
    <row r="662" spans="1:32" ht="184.9" hidden="1">
      <c r="A662" s="3" t="s">
        <v>4874</v>
      </c>
      <c r="B662" s="3" t="s">
        <v>4875</v>
      </c>
      <c r="C662" s="3" t="s">
        <v>4876</v>
      </c>
      <c r="D662" s="3" t="s">
        <v>132</v>
      </c>
      <c r="E662" s="3" t="s">
        <v>36</v>
      </c>
      <c r="F662" s="3" t="s">
        <v>221</v>
      </c>
      <c r="G662" s="3" t="s">
        <v>82</v>
      </c>
      <c r="H662" s="3" t="s">
        <v>73</v>
      </c>
      <c r="I662" s="3" t="s">
        <v>4161</v>
      </c>
      <c r="J662" s="3" t="s">
        <v>223</v>
      </c>
      <c r="K662" s="3" t="s">
        <v>41</v>
      </c>
      <c r="L662" s="3" t="s">
        <v>4162</v>
      </c>
      <c r="M662" s="3" t="s">
        <v>4266</v>
      </c>
      <c r="N662" s="3" t="s">
        <v>281</v>
      </c>
      <c r="O662" s="3" t="s">
        <v>557</v>
      </c>
      <c r="P662" s="3" t="s">
        <v>4877</v>
      </c>
      <c r="Q662" s="3" t="s">
        <v>4878</v>
      </c>
      <c r="R662" s="3" t="s">
        <v>4112</v>
      </c>
      <c r="S662" s="3" t="s">
        <v>221</v>
      </c>
      <c r="T662" s="3" t="s">
        <v>82</v>
      </c>
      <c r="U662" s="3" t="s">
        <v>73</v>
      </c>
      <c r="V662" s="3" t="s">
        <v>3423</v>
      </c>
      <c r="W662" s="3" t="s">
        <v>223</v>
      </c>
      <c r="X662" s="3" t="s">
        <v>41</v>
      </c>
      <c r="Y662" s="3" t="s">
        <v>4554</v>
      </c>
      <c r="Z662" s="3" t="s">
        <v>4555</v>
      </c>
      <c r="AA662" s="3" t="s">
        <v>69</v>
      </c>
      <c r="AB662" s="3" t="s">
        <v>3628</v>
      </c>
      <c r="AC662" s="3" t="s">
        <v>4879</v>
      </c>
      <c r="AD662" s="14">
        <v>46049</v>
      </c>
      <c r="AE662" s="14">
        <v>46295</v>
      </c>
      <c r="AF662" s="3"/>
    </row>
    <row r="663" spans="1:32" ht="92.45">
      <c r="A663" s="3" t="s">
        <v>4518</v>
      </c>
      <c r="B663" s="3" t="s">
        <v>4519</v>
      </c>
      <c r="C663" s="3" t="s">
        <v>4880</v>
      </c>
      <c r="D663" s="3" t="s">
        <v>132</v>
      </c>
      <c r="E663" s="3" t="s">
        <v>36</v>
      </c>
      <c r="F663" s="3" t="s">
        <v>221</v>
      </c>
      <c r="G663" s="3" t="s">
        <v>82</v>
      </c>
      <c r="H663" s="3" t="s">
        <v>73</v>
      </c>
      <c r="I663" s="3" t="s">
        <v>4520</v>
      </c>
      <c r="J663" s="3" t="s">
        <v>223</v>
      </c>
      <c r="K663" s="3" t="s">
        <v>41</v>
      </c>
      <c r="L663" s="3" t="s">
        <v>982</v>
      </c>
      <c r="M663" s="3" t="s">
        <v>692</v>
      </c>
      <c r="N663" s="3" t="s">
        <v>281</v>
      </c>
      <c r="O663" s="3" t="s">
        <v>658</v>
      </c>
      <c r="P663" s="3" t="s">
        <v>4881</v>
      </c>
      <c r="Q663" s="3" t="s">
        <v>4882</v>
      </c>
      <c r="R663" s="3" t="s">
        <v>4112</v>
      </c>
      <c r="S663" s="3" t="s">
        <v>221</v>
      </c>
      <c r="T663" s="3" t="s">
        <v>82</v>
      </c>
      <c r="U663" s="3" t="s">
        <v>49</v>
      </c>
      <c r="V663" s="3" t="s">
        <v>4883</v>
      </c>
      <c r="W663" s="3" t="s">
        <v>223</v>
      </c>
      <c r="X663" s="3" t="s">
        <v>41</v>
      </c>
      <c r="Y663" s="3" t="s">
        <v>4554</v>
      </c>
      <c r="Z663" s="3" t="s">
        <v>4555</v>
      </c>
      <c r="AA663" s="3" t="s">
        <v>69</v>
      </c>
      <c r="AB663" s="3" t="s">
        <v>3628</v>
      </c>
      <c r="AC663" s="3" t="s">
        <v>4884</v>
      </c>
      <c r="AD663" s="14">
        <v>46049</v>
      </c>
      <c r="AE663" s="14">
        <v>46326</v>
      </c>
      <c r="AF663" s="3" t="s">
        <v>109</v>
      </c>
    </row>
    <row r="664" spans="1:32" ht="118.9" hidden="1">
      <c r="A664" s="3" t="s">
        <v>4885</v>
      </c>
      <c r="B664" s="3" t="s">
        <v>4886</v>
      </c>
      <c r="C664" s="3" t="s">
        <v>4887</v>
      </c>
      <c r="D664" s="3" t="s">
        <v>132</v>
      </c>
      <c r="E664" s="3" t="s">
        <v>36</v>
      </c>
      <c r="F664" s="3" t="s">
        <v>221</v>
      </c>
      <c r="G664" s="3" t="s">
        <v>82</v>
      </c>
      <c r="H664" s="3" t="s">
        <v>73</v>
      </c>
      <c r="I664" s="3" t="s">
        <v>4888</v>
      </c>
      <c r="J664" s="3" t="s">
        <v>223</v>
      </c>
      <c r="K664" s="3" t="s">
        <v>41</v>
      </c>
      <c r="L664" s="3" t="s">
        <v>2365</v>
      </c>
      <c r="M664" s="3" t="s">
        <v>692</v>
      </c>
      <c r="N664" s="3" t="s">
        <v>281</v>
      </c>
      <c r="O664" s="3" t="s">
        <v>658</v>
      </c>
      <c r="P664" s="3" t="s">
        <v>4889</v>
      </c>
      <c r="Q664" s="3" t="s">
        <v>4890</v>
      </c>
      <c r="R664" s="3" t="s">
        <v>4112</v>
      </c>
      <c r="S664" s="3" t="s">
        <v>221</v>
      </c>
      <c r="T664" s="3" t="s">
        <v>37</v>
      </c>
      <c r="U664" s="3" t="s">
        <v>73</v>
      </c>
      <c r="V664" s="3" t="s">
        <v>4891</v>
      </c>
      <c r="W664" s="3" t="s">
        <v>223</v>
      </c>
      <c r="X664" s="3" t="s">
        <v>41</v>
      </c>
      <c r="Y664" s="3" t="s">
        <v>4565</v>
      </c>
      <c r="Z664" s="3" t="s">
        <v>4555</v>
      </c>
      <c r="AA664" s="3" t="s">
        <v>69</v>
      </c>
      <c r="AB664" s="3" t="s">
        <v>3628</v>
      </c>
      <c r="AC664" s="3" t="s">
        <v>4892</v>
      </c>
      <c r="AD664" s="14">
        <v>46049</v>
      </c>
      <c r="AE664" s="14">
        <v>46357</v>
      </c>
      <c r="AF664" s="3"/>
    </row>
    <row r="665" spans="1:32" ht="52.9" hidden="1">
      <c r="A665" s="3" t="s">
        <v>4513</v>
      </c>
      <c r="B665" s="3" t="s">
        <v>4514</v>
      </c>
      <c r="C665" s="3" t="s">
        <v>4893</v>
      </c>
      <c r="D665" s="3" t="s">
        <v>132</v>
      </c>
      <c r="E665" s="3" t="s">
        <v>36</v>
      </c>
      <c r="F665" s="3" t="s">
        <v>221</v>
      </c>
      <c r="G665" s="3" t="s">
        <v>82</v>
      </c>
      <c r="H665" s="3" t="s">
        <v>73</v>
      </c>
      <c r="I665" s="3" t="s">
        <v>4516</v>
      </c>
      <c r="J665" s="3" t="s">
        <v>223</v>
      </c>
      <c r="K665" s="3" t="s">
        <v>41</v>
      </c>
      <c r="L665" s="3" t="s">
        <v>4517</v>
      </c>
      <c r="M665" s="3" t="s">
        <v>692</v>
      </c>
      <c r="N665" s="3" t="s">
        <v>281</v>
      </c>
      <c r="O665" s="3" t="s">
        <v>658</v>
      </c>
      <c r="P665" s="3" t="s">
        <v>4894</v>
      </c>
      <c r="Q665" s="3" t="s">
        <v>4895</v>
      </c>
      <c r="R665" s="3" t="s">
        <v>4112</v>
      </c>
      <c r="S665" s="3" t="s">
        <v>221</v>
      </c>
      <c r="T665" s="3" t="s">
        <v>37</v>
      </c>
      <c r="U665" s="3" t="s">
        <v>73</v>
      </c>
      <c r="V665" s="3" t="s">
        <v>4896</v>
      </c>
      <c r="W665" s="3" t="s">
        <v>223</v>
      </c>
      <c r="X665" s="3" t="s">
        <v>41</v>
      </c>
      <c r="Y665" s="3" t="s">
        <v>4565</v>
      </c>
      <c r="Z665" s="3" t="s">
        <v>4555</v>
      </c>
      <c r="AA665" s="3" t="s">
        <v>69</v>
      </c>
      <c r="AB665" s="3" t="s">
        <v>3628</v>
      </c>
      <c r="AC665" s="3" t="s">
        <v>4897</v>
      </c>
      <c r="AD665" s="14">
        <v>46048</v>
      </c>
      <c r="AE665" s="14">
        <v>46356</v>
      </c>
      <c r="AF665" s="3"/>
    </row>
    <row r="666" spans="1:32" ht="52.9" hidden="1">
      <c r="A666" s="3" t="s">
        <v>4898</v>
      </c>
      <c r="B666" s="3" t="s">
        <v>4899</v>
      </c>
      <c r="C666" s="3" t="s">
        <v>4900</v>
      </c>
      <c r="D666" s="3" t="s">
        <v>593</v>
      </c>
      <c r="E666" s="3" t="s">
        <v>36</v>
      </c>
      <c r="F666" s="3" t="s">
        <v>221</v>
      </c>
      <c r="G666" s="3" t="s">
        <v>82</v>
      </c>
      <c r="H666" s="3" t="s">
        <v>73</v>
      </c>
      <c r="I666" s="3" t="s">
        <v>509</v>
      </c>
      <c r="J666" s="3" t="s">
        <v>223</v>
      </c>
      <c r="K666" s="3" t="s">
        <v>41</v>
      </c>
      <c r="L666" s="3" t="s">
        <v>510</v>
      </c>
      <c r="M666" s="3" t="s">
        <v>692</v>
      </c>
      <c r="N666" s="3" t="s">
        <v>281</v>
      </c>
      <c r="O666" s="3" t="s">
        <v>658</v>
      </c>
      <c r="P666" s="3" t="s">
        <v>4901</v>
      </c>
      <c r="Q666" s="3" t="s">
        <v>4902</v>
      </c>
      <c r="R666" s="3" t="s">
        <v>4112</v>
      </c>
      <c r="S666" s="3" t="s">
        <v>221</v>
      </c>
      <c r="T666" s="3" t="s">
        <v>37</v>
      </c>
      <c r="U666" s="3" t="s">
        <v>49</v>
      </c>
      <c r="V666" s="3" t="s">
        <v>4903</v>
      </c>
      <c r="W666" s="3" t="s">
        <v>223</v>
      </c>
      <c r="X666" s="3" t="s">
        <v>41</v>
      </c>
      <c r="Y666" s="3" t="s">
        <v>4565</v>
      </c>
      <c r="Z666" s="3" t="s">
        <v>4555</v>
      </c>
      <c r="AA666" s="3" t="s">
        <v>69</v>
      </c>
      <c r="AB666" s="3" t="s">
        <v>3628</v>
      </c>
      <c r="AC666" s="3" t="s">
        <v>4904</v>
      </c>
      <c r="AD666" s="14">
        <v>46056</v>
      </c>
      <c r="AE666" s="14">
        <v>46353</v>
      </c>
      <c r="AF666" s="3"/>
    </row>
    <row r="667" spans="1:32" ht="158.44999999999999" hidden="1">
      <c r="A667" s="3" t="s">
        <v>4640</v>
      </c>
      <c r="B667" s="3" t="s">
        <v>4641</v>
      </c>
      <c r="C667" s="3" t="s">
        <v>4905</v>
      </c>
      <c r="D667" s="3" t="s">
        <v>132</v>
      </c>
      <c r="E667" s="3" t="s">
        <v>36</v>
      </c>
      <c r="F667" s="3" t="s">
        <v>247</v>
      </c>
      <c r="G667" s="3" t="s">
        <v>82</v>
      </c>
      <c r="H667" s="3" t="s">
        <v>73</v>
      </c>
      <c r="I667" s="3" t="s">
        <v>4643</v>
      </c>
      <c r="J667" s="3" t="s">
        <v>223</v>
      </c>
      <c r="K667" s="3" t="s">
        <v>41</v>
      </c>
      <c r="L667" s="3" t="s">
        <v>3662</v>
      </c>
      <c r="M667" s="3" t="s">
        <v>692</v>
      </c>
      <c r="N667" s="3" t="s">
        <v>285</v>
      </c>
      <c r="O667" s="3" t="s">
        <v>658</v>
      </c>
      <c r="P667" s="3" t="s">
        <v>4906</v>
      </c>
      <c r="Q667" s="3" t="s">
        <v>4907</v>
      </c>
      <c r="R667" s="3" t="s">
        <v>4112</v>
      </c>
      <c r="S667" s="3" t="s">
        <v>221</v>
      </c>
      <c r="T667" s="3" t="s">
        <v>82</v>
      </c>
      <c r="U667" s="3" t="s">
        <v>73</v>
      </c>
      <c r="V667" s="3" t="s">
        <v>4908</v>
      </c>
      <c r="W667" s="3" t="s">
        <v>223</v>
      </c>
      <c r="X667" s="3" t="s">
        <v>41</v>
      </c>
      <c r="Y667" s="3" t="s">
        <v>4554</v>
      </c>
      <c r="Z667" s="3" t="s">
        <v>4555</v>
      </c>
      <c r="AA667" s="3" t="s">
        <v>69</v>
      </c>
      <c r="AB667" s="3" t="s">
        <v>3628</v>
      </c>
      <c r="AC667" s="3" t="s">
        <v>4909</v>
      </c>
      <c r="AD667" s="14">
        <v>46049</v>
      </c>
      <c r="AE667" s="14">
        <v>46295</v>
      </c>
      <c r="AF667" s="3"/>
    </row>
    <row r="668" spans="1:32" ht="224.45" hidden="1">
      <c r="A668" s="3" t="s">
        <v>4671</v>
      </c>
      <c r="B668" s="3" t="s">
        <v>4672</v>
      </c>
      <c r="C668" s="3" t="s">
        <v>4910</v>
      </c>
      <c r="D668" s="3" t="s">
        <v>132</v>
      </c>
      <c r="E668" s="3" t="s">
        <v>36</v>
      </c>
      <c r="F668" s="3" t="s">
        <v>221</v>
      </c>
      <c r="G668" s="3" t="s">
        <v>82</v>
      </c>
      <c r="H668" s="3" t="s">
        <v>73</v>
      </c>
      <c r="I668" s="3" t="s">
        <v>4674</v>
      </c>
      <c r="J668" s="3" t="s">
        <v>223</v>
      </c>
      <c r="K668" s="3" t="s">
        <v>41</v>
      </c>
      <c r="L668" s="3" t="s">
        <v>4675</v>
      </c>
      <c r="M668" s="3" t="s">
        <v>3627</v>
      </c>
      <c r="N668" s="3" t="s">
        <v>281</v>
      </c>
      <c r="O668" s="3" t="s">
        <v>3628</v>
      </c>
      <c r="P668" s="3" t="s">
        <v>4911</v>
      </c>
      <c r="Q668" s="3" t="s">
        <v>4912</v>
      </c>
      <c r="R668" s="3" t="s">
        <v>4112</v>
      </c>
      <c r="S668" s="3" t="s">
        <v>221</v>
      </c>
      <c r="T668" s="3" t="s">
        <v>37</v>
      </c>
      <c r="U668" s="3" t="s">
        <v>73</v>
      </c>
      <c r="V668" s="3" t="s">
        <v>4913</v>
      </c>
      <c r="W668" s="3" t="s">
        <v>223</v>
      </c>
      <c r="X668" s="3" t="s">
        <v>41</v>
      </c>
      <c r="Y668" s="3" t="s">
        <v>4554</v>
      </c>
      <c r="Z668" s="3" t="s">
        <v>4914</v>
      </c>
      <c r="AA668" s="3" t="s">
        <v>69</v>
      </c>
      <c r="AB668" s="3" t="s">
        <v>3628</v>
      </c>
      <c r="AC668" s="3" t="s">
        <v>4915</v>
      </c>
      <c r="AD668" s="14">
        <v>46051</v>
      </c>
      <c r="AE668" s="14">
        <v>46295</v>
      </c>
      <c r="AF668" s="3"/>
    </row>
    <row r="669" spans="1:32" ht="184.9" hidden="1">
      <c r="A669" s="3" t="s">
        <v>4916</v>
      </c>
      <c r="B669" s="3" t="s">
        <v>4917</v>
      </c>
      <c r="C669" s="3" t="s">
        <v>4918</v>
      </c>
      <c r="D669" s="3" t="s">
        <v>132</v>
      </c>
      <c r="E669" s="3" t="s">
        <v>36</v>
      </c>
      <c r="F669" s="3" t="s">
        <v>221</v>
      </c>
      <c r="G669" s="3" t="s">
        <v>82</v>
      </c>
      <c r="H669" s="3" t="s">
        <v>73</v>
      </c>
      <c r="I669" s="3" t="s">
        <v>4919</v>
      </c>
      <c r="J669" s="3" t="s">
        <v>223</v>
      </c>
      <c r="K669" s="3" t="s">
        <v>41</v>
      </c>
      <c r="L669" s="3" t="s">
        <v>4920</v>
      </c>
      <c r="M669" s="3" t="s">
        <v>1804</v>
      </c>
      <c r="N669" s="3" t="s">
        <v>285</v>
      </c>
      <c r="O669" s="3" t="s">
        <v>226</v>
      </c>
      <c r="P669" s="3" t="s">
        <v>4921</v>
      </c>
      <c r="Q669" s="3" t="s">
        <v>4922</v>
      </c>
      <c r="R669" s="3" t="s">
        <v>4112</v>
      </c>
      <c r="S669" s="3" t="s">
        <v>221</v>
      </c>
      <c r="T669" s="3" t="s">
        <v>82</v>
      </c>
      <c r="U669" s="3" t="s">
        <v>73</v>
      </c>
      <c r="V669" s="3" t="s">
        <v>4923</v>
      </c>
      <c r="W669" s="3" t="s">
        <v>223</v>
      </c>
      <c r="X669" s="3" t="s">
        <v>41</v>
      </c>
      <c r="Y669" s="3" t="s">
        <v>4554</v>
      </c>
      <c r="Z669" s="3" t="s">
        <v>4555</v>
      </c>
      <c r="AA669" s="3" t="s">
        <v>69</v>
      </c>
      <c r="AB669" s="3" t="s">
        <v>3628</v>
      </c>
      <c r="AC669" s="3" t="s">
        <v>4924</v>
      </c>
      <c r="AD669" s="14">
        <v>46048</v>
      </c>
      <c r="AE669" s="14">
        <v>46295</v>
      </c>
      <c r="AF669" s="3"/>
    </row>
    <row r="670" spans="1:32" ht="409.6" hidden="1">
      <c r="A670" s="3" t="s">
        <v>4925</v>
      </c>
      <c r="B670" s="3" t="s">
        <v>4926</v>
      </c>
      <c r="C670" s="3" t="s">
        <v>4927</v>
      </c>
      <c r="D670" s="3" t="s">
        <v>59</v>
      </c>
      <c r="E670" s="3" t="s">
        <v>36</v>
      </c>
      <c r="F670" s="3" t="s">
        <v>221</v>
      </c>
      <c r="G670" s="3" t="s">
        <v>37</v>
      </c>
      <c r="H670" s="3" t="s">
        <v>38</v>
      </c>
      <c r="I670" s="3" t="s">
        <v>2237</v>
      </c>
      <c r="J670" s="3" t="s">
        <v>223</v>
      </c>
      <c r="K670" s="3" t="s">
        <v>780</v>
      </c>
      <c r="L670" s="3" t="s">
        <v>2238</v>
      </c>
      <c r="M670" s="3" t="s">
        <v>4928</v>
      </c>
      <c r="N670" s="3" t="s">
        <v>53</v>
      </c>
      <c r="O670" s="3" t="s">
        <v>201</v>
      </c>
      <c r="P670" s="3" t="s">
        <v>4577</v>
      </c>
      <c r="Q670" s="3" t="s">
        <v>4578</v>
      </c>
      <c r="R670" s="3" t="s">
        <v>4112</v>
      </c>
      <c r="S670" s="3" t="s">
        <v>221</v>
      </c>
      <c r="T670" s="3" t="s">
        <v>37</v>
      </c>
      <c r="U670" s="3" t="s">
        <v>73</v>
      </c>
      <c r="V670" s="3" t="s">
        <v>4579</v>
      </c>
      <c r="W670" s="3" t="s">
        <v>223</v>
      </c>
      <c r="X670" s="3" t="s">
        <v>780</v>
      </c>
      <c r="Y670" s="3" t="s">
        <v>4114</v>
      </c>
      <c r="Z670" s="3" t="s">
        <v>4115</v>
      </c>
      <c r="AA670" s="3" t="s">
        <v>69</v>
      </c>
      <c r="AB670" s="3" t="s">
        <v>3628</v>
      </c>
      <c r="AC670" s="3" t="s">
        <v>4929</v>
      </c>
      <c r="AD670" s="14">
        <v>46042</v>
      </c>
      <c r="AE670" s="14"/>
      <c r="AF670" s="3"/>
    </row>
    <row r="671" spans="1:32" ht="198" hidden="1">
      <c r="A671" s="3" t="s">
        <v>4930</v>
      </c>
      <c r="B671" s="3" t="s">
        <v>4931</v>
      </c>
      <c r="C671" s="3" t="s">
        <v>4932</v>
      </c>
      <c r="D671" s="3" t="s">
        <v>132</v>
      </c>
      <c r="E671" s="3" t="s">
        <v>36</v>
      </c>
      <c r="F671" s="3" t="s">
        <v>221</v>
      </c>
      <c r="G671" s="3" t="s">
        <v>82</v>
      </c>
      <c r="H671" s="3" t="s">
        <v>73</v>
      </c>
      <c r="I671" s="3" t="s">
        <v>4933</v>
      </c>
      <c r="J671" s="3" t="s">
        <v>223</v>
      </c>
      <c r="K671" s="3" t="s">
        <v>41</v>
      </c>
      <c r="L671" s="3" t="s">
        <v>3675</v>
      </c>
      <c r="M671" s="3" t="s">
        <v>1776</v>
      </c>
      <c r="N671" s="3" t="s">
        <v>285</v>
      </c>
      <c r="O671" s="3" t="s">
        <v>506</v>
      </c>
      <c r="P671" s="3" t="s">
        <v>4934</v>
      </c>
      <c r="Q671" s="3" t="s">
        <v>4935</v>
      </c>
      <c r="R671" s="3" t="s">
        <v>4112</v>
      </c>
      <c r="S671" s="3" t="s">
        <v>221</v>
      </c>
      <c r="T671" s="3" t="s">
        <v>82</v>
      </c>
      <c r="U671" s="3" t="s">
        <v>73</v>
      </c>
      <c r="V671" s="3" t="s">
        <v>4936</v>
      </c>
      <c r="W671" s="3" t="s">
        <v>223</v>
      </c>
      <c r="X671" s="3" t="s">
        <v>41</v>
      </c>
      <c r="Y671" s="3" t="s">
        <v>4554</v>
      </c>
      <c r="Z671" s="3" t="s">
        <v>4555</v>
      </c>
      <c r="AA671" s="3" t="s">
        <v>69</v>
      </c>
      <c r="AB671" s="3" t="s">
        <v>3628</v>
      </c>
      <c r="AC671" s="3" t="s">
        <v>4937</v>
      </c>
      <c r="AD671" s="14">
        <v>46049</v>
      </c>
      <c r="AE671" s="14">
        <v>46297</v>
      </c>
      <c r="AF671" s="3"/>
    </row>
    <row r="672" spans="1:32" ht="52.9" hidden="1">
      <c r="A672" s="3" t="s">
        <v>4930</v>
      </c>
      <c r="B672" s="3" t="s">
        <v>4931</v>
      </c>
      <c r="C672" s="3"/>
      <c r="D672" s="3" t="s">
        <v>132</v>
      </c>
      <c r="E672" s="3" t="s">
        <v>36</v>
      </c>
      <c r="F672" s="3" t="s">
        <v>221</v>
      </c>
      <c r="G672" s="3" t="s">
        <v>82</v>
      </c>
      <c r="H672" s="3" t="s">
        <v>73</v>
      </c>
      <c r="I672" s="3" t="s">
        <v>4933</v>
      </c>
      <c r="J672" s="3" t="s">
        <v>223</v>
      </c>
      <c r="K672" s="3" t="s">
        <v>41</v>
      </c>
      <c r="L672" s="3" t="s">
        <v>3675</v>
      </c>
      <c r="M672" s="3" t="s">
        <v>1776</v>
      </c>
      <c r="N672" s="3" t="s">
        <v>285</v>
      </c>
      <c r="O672" s="3" t="s">
        <v>506</v>
      </c>
      <c r="P672" s="3" t="s">
        <v>4938</v>
      </c>
      <c r="Q672" s="3" t="s">
        <v>4939</v>
      </c>
      <c r="R672" s="3" t="s">
        <v>4112</v>
      </c>
      <c r="S672" s="3" t="s">
        <v>221</v>
      </c>
      <c r="T672" s="3" t="s">
        <v>37</v>
      </c>
      <c r="U672" s="3" t="s">
        <v>73</v>
      </c>
      <c r="V672" s="3" t="s">
        <v>4940</v>
      </c>
      <c r="W672" s="3" t="s">
        <v>223</v>
      </c>
      <c r="X672" s="3" t="s">
        <v>41</v>
      </c>
      <c r="Y672" s="3" t="s">
        <v>4565</v>
      </c>
      <c r="Z672" s="3" t="s">
        <v>4555</v>
      </c>
      <c r="AA672" s="3" t="s">
        <v>69</v>
      </c>
      <c r="AB672" s="3" t="s">
        <v>3628</v>
      </c>
      <c r="AC672" s="3" t="s">
        <v>4941</v>
      </c>
      <c r="AD672" s="14">
        <v>45992</v>
      </c>
      <c r="AE672" s="14">
        <v>46356</v>
      </c>
      <c r="AF672" s="3"/>
    </row>
    <row r="673" spans="1:32" ht="171.6" hidden="1">
      <c r="A673" s="3" t="s">
        <v>4567</v>
      </c>
      <c r="B673" s="3" t="s">
        <v>4568</v>
      </c>
      <c r="C673" s="3" t="s">
        <v>4942</v>
      </c>
      <c r="D673" s="3" t="s">
        <v>132</v>
      </c>
      <c r="E673" s="3" t="s">
        <v>36</v>
      </c>
      <c r="F673" s="3" t="s">
        <v>221</v>
      </c>
      <c r="G673" s="3" t="s">
        <v>82</v>
      </c>
      <c r="H673" s="3" t="s">
        <v>73</v>
      </c>
      <c r="I673" s="3" t="s">
        <v>4570</v>
      </c>
      <c r="J673" s="3" t="s">
        <v>223</v>
      </c>
      <c r="K673" s="3" t="s">
        <v>41</v>
      </c>
      <c r="L673" s="3" t="s">
        <v>4571</v>
      </c>
      <c r="M673" s="3" t="s">
        <v>3627</v>
      </c>
      <c r="N673" s="3" t="s">
        <v>281</v>
      </c>
      <c r="O673" s="3" t="s">
        <v>3628</v>
      </c>
      <c r="P673" s="3" t="s">
        <v>4943</v>
      </c>
      <c r="Q673" s="3" t="s">
        <v>4944</v>
      </c>
      <c r="R673" s="3" t="s">
        <v>4112</v>
      </c>
      <c r="S673" s="3" t="s">
        <v>221</v>
      </c>
      <c r="T673" s="3" t="s">
        <v>37</v>
      </c>
      <c r="U673" s="3" t="s">
        <v>73</v>
      </c>
      <c r="V673" s="3" t="s">
        <v>4945</v>
      </c>
      <c r="W673" s="3" t="s">
        <v>223</v>
      </c>
      <c r="X673" s="3" t="s">
        <v>41</v>
      </c>
      <c r="Y673" s="3" t="s">
        <v>4565</v>
      </c>
      <c r="Z673" s="3" t="s">
        <v>4555</v>
      </c>
      <c r="AA673" s="3" t="s">
        <v>69</v>
      </c>
      <c r="AB673" s="3" t="s">
        <v>3628</v>
      </c>
      <c r="AC673" s="3" t="s">
        <v>4946</v>
      </c>
      <c r="AD673" s="14">
        <v>46050</v>
      </c>
      <c r="AE673" s="14">
        <v>46053</v>
      </c>
      <c r="AF673" s="3"/>
    </row>
    <row r="674" spans="1:32" ht="66" hidden="1">
      <c r="A674" s="3" t="s">
        <v>3630</v>
      </c>
      <c r="B674" s="3" t="s">
        <v>3631</v>
      </c>
      <c r="C674" s="3" t="s">
        <v>4947</v>
      </c>
      <c r="D674" s="3" t="s">
        <v>132</v>
      </c>
      <c r="E674" s="3" t="s">
        <v>36</v>
      </c>
      <c r="F674" s="3" t="s">
        <v>274</v>
      </c>
      <c r="G674" s="3" t="s">
        <v>82</v>
      </c>
      <c r="H674" s="3" t="s">
        <v>73</v>
      </c>
      <c r="I674" s="3" t="s">
        <v>3632</v>
      </c>
      <c r="J674" s="3" t="s">
        <v>223</v>
      </c>
      <c r="K674" s="3" t="s">
        <v>41</v>
      </c>
      <c r="L674" s="3" t="s">
        <v>3633</v>
      </c>
      <c r="M674" s="3" t="s">
        <v>692</v>
      </c>
      <c r="N674" s="3" t="s">
        <v>281</v>
      </c>
      <c r="O674" s="3" t="s">
        <v>658</v>
      </c>
      <c r="P674" s="3" t="s">
        <v>4948</v>
      </c>
      <c r="Q674" s="3" t="s">
        <v>4949</v>
      </c>
      <c r="R674" s="3" t="s">
        <v>4112</v>
      </c>
      <c r="S674" s="3" t="s">
        <v>221</v>
      </c>
      <c r="T674" s="3" t="s">
        <v>37</v>
      </c>
      <c r="U674" s="3" t="s">
        <v>73</v>
      </c>
      <c r="V674" s="3" t="s">
        <v>4950</v>
      </c>
      <c r="W674" s="3" t="s">
        <v>223</v>
      </c>
      <c r="X674" s="3" t="s">
        <v>41</v>
      </c>
      <c r="Y674" s="3" t="s">
        <v>4554</v>
      </c>
      <c r="Z674" s="3" t="s">
        <v>4555</v>
      </c>
      <c r="AA674" s="3" t="s">
        <v>69</v>
      </c>
      <c r="AB674" s="3" t="s">
        <v>3628</v>
      </c>
      <c r="AC674" s="3" t="s">
        <v>4951</v>
      </c>
      <c r="AD674" s="14">
        <v>46051</v>
      </c>
      <c r="AE674" s="14">
        <v>46326</v>
      </c>
      <c r="AF674" s="3"/>
    </row>
    <row r="675" spans="1:32" ht="105.6" hidden="1">
      <c r="A675" s="3" t="s">
        <v>4952</v>
      </c>
      <c r="B675" s="3" t="s">
        <v>4953</v>
      </c>
      <c r="C675" s="3" t="s">
        <v>4954</v>
      </c>
      <c r="D675" s="3" t="s">
        <v>132</v>
      </c>
      <c r="E675" s="3" t="s">
        <v>36</v>
      </c>
      <c r="F675" s="3" t="s">
        <v>221</v>
      </c>
      <c r="G675" s="3" t="s">
        <v>37</v>
      </c>
      <c r="H675" s="3" t="s">
        <v>73</v>
      </c>
      <c r="I675" s="3" t="s">
        <v>4955</v>
      </c>
      <c r="J675" s="3" t="s">
        <v>223</v>
      </c>
      <c r="K675" s="3" t="s">
        <v>41</v>
      </c>
      <c r="L675" s="3" t="s">
        <v>4956</v>
      </c>
      <c r="M675" s="3" t="s">
        <v>3627</v>
      </c>
      <c r="N675" s="3" t="s">
        <v>281</v>
      </c>
      <c r="O675" s="3" t="s">
        <v>3628</v>
      </c>
      <c r="P675" s="3" t="s">
        <v>4957</v>
      </c>
      <c r="Q675" s="3" t="s">
        <v>4958</v>
      </c>
      <c r="R675" s="3" t="s">
        <v>4112</v>
      </c>
      <c r="S675" s="3" t="s">
        <v>221</v>
      </c>
      <c r="T675" s="3" t="s">
        <v>37</v>
      </c>
      <c r="U675" s="3" t="s">
        <v>4637</v>
      </c>
      <c r="V675" s="3" t="s">
        <v>4959</v>
      </c>
      <c r="W675" s="3" t="s">
        <v>223</v>
      </c>
      <c r="X675" s="3" t="s">
        <v>41</v>
      </c>
      <c r="Y675" s="3" t="s">
        <v>4565</v>
      </c>
      <c r="Z675" s="3" t="s">
        <v>4555</v>
      </c>
      <c r="AA675" s="3" t="s">
        <v>69</v>
      </c>
      <c r="AB675" s="3" t="s">
        <v>3628</v>
      </c>
      <c r="AC675" s="3" t="s">
        <v>4960</v>
      </c>
      <c r="AD675" s="14">
        <v>46051</v>
      </c>
      <c r="AE675" s="14">
        <v>46357</v>
      </c>
      <c r="AF675" s="3"/>
    </row>
    <row r="676" spans="1:32" ht="145.15" hidden="1">
      <c r="A676" s="3" t="s">
        <v>4961</v>
      </c>
      <c r="B676" s="3" t="s">
        <v>4962</v>
      </c>
      <c r="C676" s="3" t="s">
        <v>4963</v>
      </c>
      <c r="D676" s="3" t="s">
        <v>132</v>
      </c>
      <c r="E676" s="3" t="s">
        <v>36</v>
      </c>
      <c r="F676" s="3" t="s">
        <v>221</v>
      </c>
      <c r="G676" s="3" t="s">
        <v>37</v>
      </c>
      <c r="H676" s="3" t="s">
        <v>73</v>
      </c>
      <c r="I676" s="3" t="s">
        <v>4964</v>
      </c>
      <c r="J676" s="3" t="s">
        <v>223</v>
      </c>
      <c r="K676" s="3" t="s">
        <v>41</v>
      </c>
      <c r="L676" s="3" t="s">
        <v>730</v>
      </c>
      <c r="M676" s="3" t="s">
        <v>692</v>
      </c>
      <c r="N676" s="3" t="s">
        <v>281</v>
      </c>
      <c r="O676" s="3" t="s">
        <v>658</v>
      </c>
      <c r="P676" s="3" t="s">
        <v>4965</v>
      </c>
      <c r="Q676" s="3" t="s">
        <v>4966</v>
      </c>
      <c r="R676" s="3" t="s">
        <v>4112</v>
      </c>
      <c r="S676" s="3" t="s">
        <v>221</v>
      </c>
      <c r="T676" s="3" t="s">
        <v>37</v>
      </c>
      <c r="U676" s="3" t="s">
        <v>73</v>
      </c>
      <c r="V676" s="3" t="s">
        <v>4967</v>
      </c>
      <c r="W676" s="3" t="s">
        <v>223</v>
      </c>
      <c r="X676" s="3" t="s">
        <v>41</v>
      </c>
      <c r="Y676" s="3" t="s">
        <v>4554</v>
      </c>
      <c r="Z676" s="3" t="s">
        <v>4555</v>
      </c>
      <c r="AA676" s="3" t="s">
        <v>69</v>
      </c>
      <c r="AB676" s="3" t="s">
        <v>3628</v>
      </c>
      <c r="AC676" s="3" t="s">
        <v>4968</v>
      </c>
      <c r="AD676" s="14">
        <v>46052</v>
      </c>
      <c r="AE676" s="14">
        <v>46295</v>
      </c>
      <c r="AF676" s="3"/>
    </row>
    <row r="677" spans="1:32" ht="79.150000000000006" hidden="1">
      <c r="A677" s="3" t="s">
        <v>4824</v>
      </c>
      <c r="B677" s="3" t="s">
        <v>4825</v>
      </c>
      <c r="C677" s="3" t="s">
        <v>4969</v>
      </c>
      <c r="D677" s="3" t="s">
        <v>132</v>
      </c>
      <c r="E677" s="3" t="s">
        <v>36</v>
      </c>
      <c r="F677" s="3" t="s">
        <v>247</v>
      </c>
      <c r="G677" s="3" t="s">
        <v>82</v>
      </c>
      <c r="H677" s="3" t="s">
        <v>73</v>
      </c>
      <c r="I677" s="3" t="s">
        <v>2700</v>
      </c>
      <c r="J677" s="3" t="s">
        <v>223</v>
      </c>
      <c r="K677" s="3" t="s">
        <v>41</v>
      </c>
      <c r="L677" s="3" t="s">
        <v>2397</v>
      </c>
      <c r="M677" s="3" t="s">
        <v>1748</v>
      </c>
      <c r="N677" s="3" t="s">
        <v>281</v>
      </c>
      <c r="O677" s="3" t="s">
        <v>86</v>
      </c>
      <c r="P677" s="3" t="s">
        <v>4970</v>
      </c>
      <c r="Q677" s="3" t="s">
        <v>4971</v>
      </c>
      <c r="R677" s="3" t="s">
        <v>4112</v>
      </c>
      <c r="S677" s="3" t="s">
        <v>221</v>
      </c>
      <c r="T677" s="3" t="s">
        <v>82</v>
      </c>
      <c r="U677" s="3" t="s">
        <v>49</v>
      </c>
      <c r="V677" s="3" t="s">
        <v>1348</v>
      </c>
      <c r="W677" s="3" t="s">
        <v>223</v>
      </c>
      <c r="X677" s="3" t="s">
        <v>41</v>
      </c>
      <c r="Y677" s="3" t="s">
        <v>4565</v>
      </c>
      <c r="Z677" s="3" t="s">
        <v>4555</v>
      </c>
      <c r="AA677" s="3" t="s">
        <v>69</v>
      </c>
      <c r="AB677" s="3" t="s">
        <v>3628</v>
      </c>
      <c r="AC677" s="3" t="s">
        <v>4972</v>
      </c>
      <c r="AD677" s="14">
        <v>46050</v>
      </c>
      <c r="AE677" s="14">
        <v>46356</v>
      </c>
      <c r="AF677" s="3"/>
    </row>
    <row r="678" spans="1:32" ht="145.15" hidden="1">
      <c r="A678" s="3" t="s">
        <v>4973</v>
      </c>
      <c r="B678" s="3" t="s">
        <v>4974</v>
      </c>
      <c r="C678" s="3" t="s">
        <v>4975</v>
      </c>
      <c r="D678" s="3" t="s">
        <v>132</v>
      </c>
      <c r="E678" s="3" t="s">
        <v>36</v>
      </c>
      <c r="F678" s="3" t="s">
        <v>247</v>
      </c>
      <c r="G678" s="3" t="s">
        <v>82</v>
      </c>
      <c r="H678" s="3" t="s">
        <v>73</v>
      </c>
      <c r="I678" s="3" t="s">
        <v>4976</v>
      </c>
      <c r="J678" s="3" t="s">
        <v>223</v>
      </c>
      <c r="K678" s="3" t="s">
        <v>41</v>
      </c>
      <c r="L678" s="3" t="s">
        <v>4977</v>
      </c>
      <c r="M678" s="3" t="s">
        <v>4978</v>
      </c>
      <c r="N678" s="3" t="s">
        <v>285</v>
      </c>
      <c r="O678" s="3" t="s">
        <v>308</v>
      </c>
      <c r="P678" s="3" t="s">
        <v>4979</v>
      </c>
      <c r="Q678" s="3" t="s">
        <v>4980</v>
      </c>
      <c r="R678" s="3" t="s">
        <v>4112</v>
      </c>
      <c r="S678" s="3" t="s">
        <v>221</v>
      </c>
      <c r="T678" s="3" t="s">
        <v>37</v>
      </c>
      <c r="U678" s="3" t="s">
        <v>4637</v>
      </c>
      <c r="V678" s="3" t="s">
        <v>4981</v>
      </c>
      <c r="W678" s="3" t="s">
        <v>223</v>
      </c>
      <c r="X678" s="3" t="s">
        <v>41</v>
      </c>
      <c r="Y678" s="3" t="s">
        <v>4554</v>
      </c>
      <c r="Z678" s="3" t="s">
        <v>4555</v>
      </c>
      <c r="AA678" s="3" t="s">
        <v>69</v>
      </c>
      <c r="AB678" s="3" t="s">
        <v>3628</v>
      </c>
      <c r="AC678" s="3" t="s">
        <v>4982</v>
      </c>
      <c r="AD678" s="14">
        <v>46051</v>
      </c>
      <c r="AE678" s="14">
        <v>46293</v>
      </c>
      <c r="AF678" s="3"/>
    </row>
    <row r="679" spans="1:32" ht="118.9" hidden="1">
      <c r="A679" s="3" t="s">
        <v>4973</v>
      </c>
      <c r="B679" s="3" t="s">
        <v>4974</v>
      </c>
      <c r="C679" s="3" t="s">
        <v>4983</v>
      </c>
      <c r="D679" s="3" t="s">
        <v>132</v>
      </c>
      <c r="E679" s="3" t="s">
        <v>36</v>
      </c>
      <c r="F679" s="3" t="s">
        <v>247</v>
      </c>
      <c r="G679" s="3" t="s">
        <v>82</v>
      </c>
      <c r="H679" s="3" t="s">
        <v>73</v>
      </c>
      <c r="I679" s="3" t="s">
        <v>4976</v>
      </c>
      <c r="J679" s="3" t="s">
        <v>223</v>
      </c>
      <c r="K679" s="3" t="s">
        <v>41</v>
      </c>
      <c r="L679" s="3" t="s">
        <v>4977</v>
      </c>
      <c r="M679" s="3" t="s">
        <v>4978</v>
      </c>
      <c r="N679" s="3" t="s">
        <v>285</v>
      </c>
      <c r="O679" s="3" t="s">
        <v>308</v>
      </c>
      <c r="P679" s="3" t="s">
        <v>4984</v>
      </c>
      <c r="Q679" s="3" t="s">
        <v>4985</v>
      </c>
      <c r="R679" s="3" t="s">
        <v>4112</v>
      </c>
      <c r="S679" s="3" t="s">
        <v>221</v>
      </c>
      <c r="T679" s="3" t="s">
        <v>37</v>
      </c>
      <c r="U679" s="3" t="s">
        <v>73</v>
      </c>
      <c r="V679" s="3" t="s">
        <v>4986</v>
      </c>
      <c r="W679" s="3" t="s">
        <v>223</v>
      </c>
      <c r="X679" s="3" t="s">
        <v>41</v>
      </c>
      <c r="Y679" s="3" t="s">
        <v>4565</v>
      </c>
      <c r="Z679" s="3" t="s">
        <v>4555</v>
      </c>
      <c r="AA679" s="3" t="s">
        <v>69</v>
      </c>
      <c r="AB679" s="3" t="s">
        <v>3628</v>
      </c>
      <c r="AC679" s="3" t="s">
        <v>4987</v>
      </c>
      <c r="AD679" s="14">
        <v>46038</v>
      </c>
      <c r="AE679" s="14">
        <v>46357</v>
      </c>
      <c r="AF679" s="3"/>
    </row>
    <row r="680" spans="1:32" ht="105.6" hidden="1">
      <c r="A680" s="3" t="s">
        <v>4671</v>
      </c>
      <c r="B680" s="3" t="s">
        <v>4672</v>
      </c>
      <c r="C680" s="3" t="s">
        <v>4988</v>
      </c>
      <c r="D680" s="3" t="s">
        <v>132</v>
      </c>
      <c r="E680" s="3" t="s">
        <v>36</v>
      </c>
      <c r="F680" s="3" t="s">
        <v>221</v>
      </c>
      <c r="G680" s="3" t="s">
        <v>82</v>
      </c>
      <c r="H680" s="3" t="s">
        <v>73</v>
      </c>
      <c r="I680" s="3" t="s">
        <v>4674</v>
      </c>
      <c r="J680" s="3" t="s">
        <v>223</v>
      </c>
      <c r="K680" s="3" t="s">
        <v>41</v>
      </c>
      <c r="L680" s="3" t="s">
        <v>4675</v>
      </c>
      <c r="M680" s="3" t="s">
        <v>3627</v>
      </c>
      <c r="N680" s="3" t="s">
        <v>281</v>
      </c>
      <c r="O680" s="3" t="s">
        <v>3628</v>
      </c>
      <c r="P680" s="3" t="s">
        <v>4989</v>
      </c>
      <c r="Q680" s="3" t="s">
        <v>4990</v>
      </c>
      <c r="R680" s="3" t="s">
        <v>4112</v>
      </c>
      <c r="S680" s="3" t="s">
        <v>221</v>
      </c>
      <c r="T680" s="3" t="s">
        <v>82</v>
      </c>
      <c r="U680" s="3" t="s">
        <v>73</v>
      </c>
      <c r="V680" s="3" t="s">
        <v>4991</v>
      </c>
      <c r="W680" s="3" t="s">
        <v>223</v>
      </c>
      <c r="X680" s="3" t="s">
        <v>41</v>
      </c>
      <c r="Y680" s="3" t="s">
        <v>4992</v>
      </c>
      <c r="Z680" s="3" t="s">
        <v>4555</v>
      </c>
      <c r="AA680" s="3" t="s">
        <v>69</v>
      </c>
      <c r="AB680" s="3" t="s">
        <v>3628</v>
      </c>
      <c r="AC680" s="3" t="s">
        <v>4993</v>
      </c>
      <c r="AD680" s="14">
        <v>46048</v>
      </c>
      <c r="AE680" s="14">
        <v>46357</v>
      </c>
      <c r="AF680" s="3"/>
    </row>
    <row r="681" spans="1:32" ht="66">
      <c r="A681" s="3" t="s">
        <v>4518</v>
      </c>
      <c r="B681" s="3" t="s">
        <v>4519</v>
      </c>
      <c r="C681" s="3" t="s">
        <v>4994</v>
      </c>
      <c r="D681" s="3" t="s">
        <v>132</v>
      </c>
      <c r="E681" s="3" t="s">
        <v>36</v>
      </c>
      <c r="F681" s="3" t="s">
        <v>221</v>
      </c>
      <c r="G681" s="3" t="s">
        <v>82</v>
      </c>
      <c r="H681" s="3" t="s">
        <v>73</v>
      </c>
      <c r="I681" s="3" t="s">
        <v>4520</v>
      </c>
      <c r="J681" s="3" t="s">
        <v>223</v>
      </c>
      <c r="K681" s="3" t="s">
        <v>41</v>
      </c>
      <c r="L681" s="3" t="s">
        <v>982</v>
      </c>
      <c r="M681" s="3" t="s">
        <v>692</v>
      </c>
      <c r="N681" s="3" t="s">
        <v>281</v>
      </c>
      <c r="O681" s="3" t="s">
        <v>658</v>
      </c>
      <c r="P681" s="3" t="s">
        <v>4995</v>
      </c>
      <c r="Q681" s="3" t="s">
        <v>4996</v>
      </c>
      <c r="R681" s="3" t="s">
        <v>4112</v>
      </c>
      <c r="S681" s="3" t="s">
        <v>221</v>
      </c>
      <c r="T681" s="3" t="s">
        <v>37</v>
      </c>
      <c r="U681" s="3" t="s">
        <v>73</v>
      </c>
      <c r="V681" s="3" t="s">
        <v>4997</v>
      </c>
      <c r="W681" s="3" t="s">
        <v>223</v>
      </c>
      <c r="X681" s="3" t="s">
        <v>41</v>
      </c>
      <c r="Y681" s="3" t="s">
        <v>4565</v>
      </c>
      <c r="Z681" s="3" t="s">
        <v>4555</v>
      </c>
      <c r="AA681" s="3" t="s">
        <v>69</v>
      </c>
      <c r="AB681" s="3" t="s">
        <v>3628</v>
      </c>
      <c r="AC681" s="3" t="s">
        <v>4998</v>
      </c>
      <c r="AD681" s="14">
        <v>46051</v>
      </c>
      <c r="AE681" s="14"/>
      <c r="AF681" s="3"/>
    </row>
    <row r="682" spans="1:32" ht="79.150000000000006" hidden="1">
      <c r="A682" s="3" t="s">
        <v>4999</v>
      </c>
      <c r="B682" s="3" t="s">
        <v>5000</v>
      </c>
      <c r="C682" s="3" t="s">
        <v>5001</v>
      </c>
      <c r="D682" s="3" t="s">
        <v>132</v>
      </c>
      <c r="E682" s="3" t="s">
        <v>36</v>
      </c>
      <c r="F682" s="3" t="s">
        <v>221</v>
      </c>
      <c r="G682" s="3" t="s">
        <v>82</v>
      </c>
      <c r="H682" s="3" t="s">
        <v>73</v>
      </c>
      <c r="I682" s="3" t="s">
        <v>5002</v>
      </c>
      <c r="J682" s="3" t="s">
        <v>223</v>
      </c>
      <c r="K682" s="3" t="s">
        <v>41</v>
      </c>
      <c r="L682" s="3" t="s">
        <v>4571</v>
      </c>
      <c r="M682" s="3" t="s">
        <v>3627</v>
      </c>
      <c r="N682" s="3" t="s">
        <v>281</v>
      </c>
      <c r="O682" s="3" t="s">
        <v>3628</v>
      </c>
      <c r="P682" s="3" t="s">
        <v>5003</v>
      </c>
      <c r="Q682" s="3" t="s">
        <v>5004</v>
      </c>
      <c r="R682" s="3" t="s">
        <v>4112</v>
      </c>
      <c r="S682" s="3" t="s">
        <v>221</v>
      </c>
      <c r="T682" s="3" t="s">
        <v>82</v>
      </c>
      <c r="U682" s="3" t="s">
        <v>49</v>
      </c>
      <c r="V682" s="3" t="s">
        <v>5005</v>
      </c>
      <c r="W682" s="3" t="s">
        <v>223</v>
      </c>
      <c r="X682" s="3" t="s">
        <v>41</v>
      </c>
      <c r="Y682" s="3" t="s">
        <v>4565</v>
      </c>
      <c r="Z682" s="3" t="s">
        <v>4555</v>
      </c>
      <c r="AA682" s="3" t="s">
        <v>69</v>
      </c>
      <c r="AB682" s="3" t="s">
        <v>3628</v>
      </c>
      <c r="AC682" s="3" t="s">
        <v>5006</v>
      </c>
      <c r="AD682" s="14">
        <v>46050</v>
      </c>
      <c r="AE682" s="14">
        <v>46356</v>
      </c>
      <c r="AF682" s="3"/>
    </row>
    <row r="683" spans="1:32" ht="79.150000000000006" hidden="1">
      <c r="A683" s="3" t="s">
        <v>4952</v>
      </c>
      <c r="B683" s="3" t="s">
        <v>4953</v>
      </c>
      <c r="C683" s="3" t="s">
        <v>5007</v>
      </c>
      <c r="D683" s="3" t="s">
        <v>35</v>
      </c>
      <c r="E683" s="3" t="s">
        <v>36</v>
      </c>
      <c r="F683" s="3" t="s">
        <v>221</v>
      </c>
      <c r="G683" s="3" t="s">
        <v>37</v>
      </c>
      <c r="H683" s="3" t="s">
        <v>73</v>
      </c>
      <c r="I683" s="3" t="s">
        <v>4955</v>
      </c>
      <c r="J683" s="3" t="s">
        <v>223</v>
      </c>
      <c r="K683" s="3" t="s">
        <v>41</v>
      </c>
      <c r="L683" s="3" t="s">
        <v>4956</v>
      </c>
      <c r="M683" s="3" t="s">
        <v>3627</v>
      </c>
      <c r="N683" s="3" t="s">
        <v>281</v>
      </c>
      <c r="O683" s="3" t="s">
        <v>3628</v>
      </c>
      <c r="P683" s="3" t="s">
        <v>5008</v>
      </c>
      <c r="Q683" s="3" t="s">
        <v>5009</v>
      </c>
      <c r="R683" s="3" t="s">
        <v>4112</v>
      </c>
      <c r="S683" s="3" t="s">
        <v>221</v>
      </c>
      <c r="T683" s="3" t="s">
        <v>82</v>
      </c>
      <c r="U683" s="3" t="s">
        <v>73</v>
      </c>
      <c r="V683" s="3" t="s">
        <v>4822</v>
      </c>
      <c r="W683" s="3" t="s">
        <v>223</v>
      </c>
      <c r="X683" s="3" t="s">
        <v>41</v>
      </c>
      <c r="Y683" s="3" t="s">
        <v>4554</v>
      </c>
      <c r="Z683" s="3" t="s">
        <v>4555</v>
      </c>
      <c r="AA683" s="3" t="s">
        <v>69</v>
      </c>
      <c r="AB683" s="3" t="s">
        <v>3628</v>
      </c>
      <c r="AC683" s="3" t="s">
        <v>5010</v>
      </c>
      <c r="AD683" s="14">
        <v>46059</v>
      </c>
      <c r="AE683" s="14"/>
      <c r="AF683" s="3"/>
    </row>
    <row r="684" spans="1:32" ht="79.150000000000006" hidden="1">
      <c r="A684" s="3" t="s">
        <v>4999</v>
      </c>
      <c r="B684" s="3" t="s">
        <v>5000</v>
      </c>
      <c r="C684" s="3" t="s">
        <v>5011</v>
      </c>
      <c r="D684" s="3" t="s">
        <v>132</v>
      </c>
      <c r="E684" s="3" t="s">
        <v>36</v>
      </c>
      <c r="F684" s="3" t="s">
        <v>221</v>
      </c>
      <c r="G684" s="3" t="s">
        <v>82</v>
      </c>
      <c r="H684" s="3" t="s">
        <v>73</v>
      </c>
      <c r="I684" s="3" t="s">
        <v>5002</v>
      </c>
      <c r="J684" s="3" t="s">
        <v>223</v>
      </c>
      <c r="K684" s="3" t="s">
        <v>41</v>
      </c>
      <c r="L684" s="3" t="s">
        <v>4571</v>
      </c>
      <c r="M684" s="3" t="s">
        <v>3627</v>
      </c>
      <c r="N684" s="3" t="s">
        <v>281</v>
      </c>
      <c r="O684" s="3" t="s">
        <v>3628</v>
      </c>
      <c r="P684" s="3" t="s">
        <v>5012</v>
      </c>
      <c r="Q684" s="3" t="s">
        <v>5013</v>
      </c>
      <c r="R684" s="3" t="s">
        <v>4112</v>
      </c>
      <c r="S684" s="3" t="s">
        <v>221</v>
      </c>
      <c r="T684" s="3" t="s">
        <v>37</v>
      </c>
      <c r="U684" s="3" t="s">
        <v>73</v>
      </c>
      <c r="V684" s="3" t="s">
        <v>5014</v>
      </c>
      <c r="W684" s="3" t="s">
        <v>223</v>
      </c>
      <c r="X684" s="3" t="s">
        <v>41</v>
      </c>
      <c r="Y684" s="3" t="s">
        <v>4554</v>
      </c>
      <c r="Z684" s="3" t="s">
        <v>4555</v>
      </c>
      <c r="AA684" s="3" t="s">
        <v>69</v>
      </c>
      <c r="AB684" s="3" t="s">
        <v>3628</v>
      </c>
      <c r="AC684" s="3" t="s">
        <v>5015</v>
      </c>
      <c r="AD684" s="14">
        <v>46049</v>
      </c>
      <c r="AE684" s="14">
        <v>46295</v>
      </c>
      <c r="AF684" s="3"/>
    </row>
    <row r="685" spans="1:32" ht="39.6" hidden="1">
      <c r="A685" s="3" t="s">
        <v>5016</v>
      </c>
      <c r="B685" s="3" t="s">
        <v>5017</v>
      </c>
      <c r="C685" s="3" t="s">
        <v>5018</v>
      </c>
      <c r="D685" s="3" t="s">
        <v>59</v>
      </c>
      <c r="E685" s="3" t="s">
        <v>36</v>
      </c>
      <c r="F685" s="3" t="s">
        <v>221</v>
      </c>
      <c r="G685" s="3" t="s">
        <v>82</v>
      </c>
      <c r="H685" s="3" t="s">
        <v>73</v>
      </c>
      <c r="I685" s="3" t="s">
        <v>5019</v>
      </c>
      <c r="J685" s="3" t="s">
        <v>223</v>
      </c>
      <c r="K685" s="3" t="s">
        <v>41</v>
      </c>
      <c r="L685" s="3" t="s">
        <v>5020</v>
      </c>
      <c r="M685" s="3" t="s">
        <v>1000</v>
      </c>
      <c r="N685" s="3" t="s">
        <v>281</v>
      </c>
      <c r="O685" s="3" t="s">
        <v>308</v>
      </c>
      <c r="P685" s="3" t="s">
        <v>5021</v>
      </c>
      <c r="Q685" s="3" t="s">
        <v>5022</v>
      </c>
      <c r="R685" s="3" t="s">
        <v>4112</v>
      </c>
      <c r="S685" s="3" t="s">
        <v>221</v>
      </c>
      <c r="T685" s="3" t="s">
        <v>37</v>
      </c>
      <c r="U685" s="3" t="s">
        <v>73</v>
      </c>
      <c r="V685" s="3" t="s">
        <v>5023</v>
      </c>
      <c r="W685" s="3" t="s">
        <v>223</v>
      </c>
      <c r="X685" s="3" t="s">
        <v>41</v>
      </c>
      <c r="Y685" s="3" t="s">
        <v>4565</v>
      </c>
      <c r="Z685" s="3" t="s">
        <v>4555</v>
      </c>
      <c r="AA685" s="3" t="s">
        <v>69</v>
      </c>
      <c r="AB685" s="3" t="s">
        <v>3628</v>
      </c>
      <c r="AC685" s="3" t="s">
        <v>5024</v>
      </c>
      <c r="AD685" s="14">
        <v>46052</v>
      </c>
      <c r="AE685" s="14">
        <v>46356</v>
      </c>
      <c r="AF685" s="3"/>
    </row>
    <row r="686" spans="1:32" ht="52.9" hidden="1">
      <c r="A686" s="3" t="s">
        <v>5025</v>
      </c>
      <c r="B686" s="3" t="s">
        <v>5026</v>
      </c>
      <c r="C686" s="3" t="s">
        <v>5027</v>
      </c>
      <c r="D686" s="3" t="s">
        <v>132</v>
      </c>
      <c r="E686" s="3" t="s">
        <v>36</v>
      </c>
      <c r="F686" s="3" t="s">
        <v>221</v>
      </c>
      <c r="G686" s="3" t="s">
        <v>37</v>
      </c>
      <c r="H686" s="3" t="s">
        <v>73</v>
      </c>
      <c r="I686" s="3" t="s">
        <v>5028</v>
      </c>
      <c r="J686" s="3" t="s">
        <v>223</v>
      </c>
      <c r="K686" s="3" t="s">
        <v>41</v>
      </c>
      <c r="L686" s="3" t="s">
        <v>5029</v>
      </c>
      <c r="M686" s="3" t="s">
        <v>796</v>
      </c>
      <c r="N686" s="3" t="s">
        <v>281</v>
      </c>
      <c r="O686" s="3" t="s">
        <v>699</v>
      </c>
      <c r="P686" s="3" t="s">
        <v>5030</v>
      </c>
      <c r="Q686" s="3" t="s">
        <v>5031</v>
      </c>
      <c r="R686" s="3" t="s">
        <v>4112</v>
      </c>
      <c r="S686" s="3" t="s">
        <v>221</v>
      </c>
      <c r="T686" s="3" t="s">
        <v>37</v>
      </c>
      <c r="U686" s="3" t="s">
        <v>73</v>
      </c>
      <c r="V686" s="3" t="s">
        <v>5032</v>
      </c>
      <c r="W686" s="3" t="s">
        <v>223</v>
      </c>
      <c r="X686" s="3" t="s">
        <v>41</v>
      </c>
      <c r="Y686" s="3" t="s">
        <v>4565</v>
      </c>
      <c r="Z686" s="3" t="s">
        <v>4555</v>
      </c>
      <c r="AA686" s="3" t="s">
        <v>69</v>
      </c>
      <c r="AB686" s="3" t="s">
        <v>3628</v>
      </c>
      <c r="AC686" s="3" t="s">
        <v>5033</v>
      </c>
      <c r="AD686" s="14">
        <v>46049</v>
      </c>
      <c r="AE686" s="14">
        <v>46356</v>
      </c>
      <c r="AF686" s="3"/>
    </row>
    <row r="687" spans="1:32" ht="158.44999999999999" hidden="1">
      <c r="A687" s="3" t="s">
        <v>1865</v>
      </c>
      <c r="B687" s="3" t="s">
        <v>1866</v>
      </c>
      <c r="C687" s="3" t="s">
        <v>5034</v>
      </c>
      <c r="D687" s="3" t="s">
        <v>59</v>
      </c>
      <c r="E687" s="3" t="s">
        <v>36</v>
      </c>
      <c r="F687" s="3" t="s">
        <v>221</v>
      </c>
      <c r="G687" s="3" t="s">
        <v>82</v>
      </c>
      <c r="H687" s="3" t="s">
        <v>49</v>
      </c>
      <c r="I687" s="3" t="s">
        <v>1868</v>
      </c>
      <c r="J687" s="3" t="s">
        <v>223</v>
      </c>
      <c r="K687" s="3" t="s">
        <v>41</v>
      </c>
      <c r="L687" s="3" t="s">
        <v>1869</v>
      </c>
      <c r="M687" s="3" t="s">
        <v>1870</v>
      </c>
      <c r="N687" s="3" t="s">
        <v>79</v>
      </c>
      <c r="O687" s="3" t="s">
        <v>295</v>
      </c>
      <c r="P687" s="3" t="s">
        <v>5035</v>
      </c>
      <c r="Q687" s="3" t="s">
        <v>5036</v>
      </c>
      <c r="R687" s="3" t="s">
        <v>4112</v>
      </c>
      <c r="S687" s="3" t="s">
        <v>221</v>
      </c>
      <c r="T687" s="3" t="s">
        <v>37</v>
      </c>
      <c r="U687" s="3" t="s">
        <v>73</v>
      </c>
      <c r="V687" s="3" t="s">
        <v>5037</v>
      </c>
      <c r="W687" s="3" t="s">
        <v>223</v>
      </c>
      <c r="X687" s="3" t="s">
        <v>41</v>
      </c>
      <c r="Y687" s="3" t="s">
        <v>4565</v>
      </c>
      <c r="Z687" s="3" t="s">
        <v>4555</v>
      </c>
      <c r="AA687" s="3" t="s">
        <v>69</v>
      </c>
      <c r="AB687" s="3" t="s">
        <v>3628</v>
      </c>
      <c r="AC687" s="3" t="s">
        <v>5038</v>
      </c>
      <c r="AD687" s="14">
        <v>46055</v>
      </c>
      <c r="AE687" s="14">
        <v>46371</v>
      </c>
      <c r="AF687" s="3"/>
    </row>
    <row r="688" spans="1:32" ht="92.45" hidden="1">
      <c r="A688" s="3" t="s">
        <v>5025</v>
      </c>
      <c r="B688" s="3" t="s">
        <v>5026</v>
      </c>
      <c r="C688" s="3" t="s">
        <v>5039</v>
      </c>
      <c r="D688" s="3" t="s">
        <v>132</v>
      </c>
      <c r="E688" s="3" t="s">
        <v>36</v>
      </c>
      <c r="F688" s="3" t="s">
        <v>221</v>
      </c>
      <c r="G688" s="3" t="s">
        <v>37</v>
      </c>
      <c r="H688" s="3" t="s">
        <v>73</v>
      </c>
      <c r="I688" s="3" t="s">
        <v>5028</v>
      </c>
      <c r="J688" s="3" t="s">
        <v>223</v>
      </c>
      <c r="K688" s="3" t="s">
        <v>41</v>
      </c>
      <c r="L688" s="3" t="s">
        <v>5029</v>
      </c>
      <c r="M688" s="3" t="s">
        <v>796</v>
      </c>
      <c r="N688" s="3" t="s">
        <v>281</v>
      </c>
      <c r="O688" s="3" t="s">
        <v>699</v>
      </c>
      <c r="P688" s="3" t="s">
        <v>5040</v>
      </c>
      <c r="Q688" s="3" t="s">
        <v>5041</v>
      </c>
      <c r="R688" s="3" t="s">
        <v>4112</v>
      </c>
      <c r="S688" s="3" t="s">
        <v>221</v>
      </c>
      <c r="T688" s="3" t="s">
        <v>37</v>
      </c>
      <c r="U688" s="3" t="s">
        <v>73</v>
      </c>
      <c r="V688" s="3" t="s">
        <v>5042</v>
      </c>
      <c r="W688" s="3" t="s">
        <v>223</v>
      </c>
      <c r="X688" s="3" t="s">
        <v>41</v>
      </c>
      <c r="Y688" s="3" t="s">
        <v>4565</v>
      </c>
      <c r="Z688" s="3" t="s">
        <v>4555</v>
      </c>
      <c r="AA688" s="3" t="s">
        <v>69</v>
      </c>
      <c r="AB688" s="3" t="s">
        <v>3628</v>
      </c>
      <c r="AC688" s="3" t="s">
        <v>5043</v>
      </c>
      <c r="AD688" s="14">
        <v>46049</v>
      </c>
      <c r="AE688" s="14">
        <v>46356</v>
      </c>
      <c r="AF688" s="3"/>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E7C17-42DF-4AD9-A0BD-E7BEC561ADA8}">
  <dimension ref="A1:D64"/>
  <sheetViews>
    <sheetView workbookViewId="0"/>
  </sheetViews>
  <sheetFormatPr defaultRowHeight="13.15"/>
  <cols>
    <col min="1" max="1" width="23" bestFit="1" customWidth="1"/>
    <col min="2" max="2" width="30.28515625" bestFit="1" customWidth="1"/>
    <col min="3" max="3" width="21.7109375" customWidth="1"/>
    <col min="4" max="4" width="22.140625" customWidth="1"/>
  </cols>
  <sheetData>
    <row r="1" spans="1:4">
      <c r="A1" t="s">
        <v>1</v>
      </c>
      <c r="B1" t="s">
        <v>16</v>
      </c>
      <c r="C1" t="s">
        <v>5044</v>
      </c>
      <c r="D1" t="s">
        <v>5045</v>
      </c>
    </row>
    <row r="2" spans="1:4">
      <c r="A2" t="s">
        <v>5046</v>
      </c>
      <c r="B2" t="s">
        <v>5047</v>
      </c>
      <c r="C2" t="s">
        <v>5048</v>
      </c>
      <c r="D2" t="s">
        <v>5049</v>
      </c>
    </row>
    <row r="3" spans="1:4">
      <c r="A3" t="s">
        <v>5050</v>
      </c>
      <c r="B3" t="s">
        <v>5051</v>
      </c>
      <c r="C3" t="s">
        <v>5048</v>
      </c>
      <c r="D3" t="s">
        <v>5052</v>
      </c>
    </row>
    <row r="4" spans="1:4">
      <c r="A4" t="s">
        <v>5053</v>
      </c>
      <c r="B4" t="s">
        <v>5054</v>
      </c>
      <c r="C4" t="s">
        <v>5055</v>
      </c>
      <c r="D4" t="s">
        <v>5056</v>
      </c>
    </row>
    <row r="5" spans="1:4">
      <c r="A5" t="s">
        <v>5053</v>
      </c>
      <c r="B5" t="s">
        <v>5057</v>
      </c>
      <c r="C5" t="s">
        <v>5055</v>
      </c>
      <c r="D5" t="s">
        <v>5058</v>
      </c>
    </row>
    <row r="6" spans="1:4">
      <c r="A6" t="s">
        <v>5053</v>
      </c>
      <c r="B6" t="s">
        <v>5059</v>
      </c>
      <c r="C6" t="s">
        <v>5055</v>
      </c>
      <c r="D6" t="s">
        <v>5060</v>
      </c>
    </row>
    <row r="7" spans="1:4">
      <c r="A7" t="s">
        <v>5061</v>
      </c>
      <c r="B7" t="s">
        <v>5062</v>
      </c>
      <c r="C7" t="s">
        <v>5063</v>
      </c>
      <c r="D7" t="s">
        <v>5064</v>
      </c>
    </row>
    <row r="8" spans="1:4">
      <c r="A8" t="s">
        <v>5061</v>
      </c>
      <c r="B8" t="s">
        <v>5065</v>
      </c>
      <c r="C8" t="s">
        <v>5063</v>
      </c>
      <c r="D8" t="s">
        <v>5066</v>
      </c>
    </row>
    <row r="9" spans="1:4">
      <c r="A9" t="s">
        <v>5067</v>
      </c>
      <c r="B9" t="s">
        <v>5068</v>
      </c>
      <c r="C9" t="s">
        <v>5069</v>
      </c>
      <c r="D9" t="s">
        <v>5070</v>
      </c>
    </row>
    <row r="10" spans="1:4">
      <c r="A10" t="s">
        <v>5067</v>
      </c>
      <c r="B10" t="s">
        <v>5071</v>
      </c>
      <c r="C10" t="s">
        <v>5069</v>
      </c>
      <c r="D10" t="s">
        <v>5072</v>
      </c>
    </row>
    <row r="11" spans="1:4">
      <c r="A11" t="s">
        <v>5073</v>
      </c>
      <c r="B11" t="s">
        <v>5074</v>
      </c>
      <c r="C11" t="s">
        <v>5075</v>
      </c>
      <c r="D11" t="s">
        <v>5076</v>
      </c>
    </row>
    <row r="12" spans="1:4">
      <c r="A12" t="s">
        <v>5073</v>
      </c>
      <c r="B12" t="s">
        <v>5077</v>
      </c>
      <c r="C12" t="s">
        <v>5075</v>
      </c>
      <c r="D12" t="s">
        <v>5078</v>
      </c>
    </row>
    <row r="13" spans="1:4">
      <c r="A13" t="s">
        <v>5079</v>
      </c>
      <c r="B13" t="s">
        <v>5080</v>
      </c>
      <c r="C13" t="s">
        <v>5081</v>
      </c>
      <c r="D13" t="s">
        <v>5082</v>
      </c>
    </row>
    <row r="14" spans="1:4">
      <c r="A14" t="s">
        <v>5079</v>
      </c>
      <c r="B14" t="s">
        <v>5083</v>
      </c>
      <c r="C14" t="s">
        <v>5081</v>
      </c>
      <c r="D14" t="s">
        <v>5084</v>
      </c>
    </row>
    <row r="15" spans="1:4">
      <c r="A15" t="s">
        <v>5079</v>
      </c>
      <c r="B15" t="s">
        <v>5085</v>
      </c>
      <c r="C15" t="s">
        <v>5081</v>
      </c>
      <c r="D15" t="s">
        <v>5086</v>
      </c>
    </row>
    <row r="16" spans="1:4">
      <c r="A16" t="s">
        <v>5087</v>
      </c>
      <c r="B16" t="s">
        <v>5088</v>
      </c>
      <c r="C16" t="s">
        <v>5089</v>
      </c>
      <c r="D16" t="s">
        <v>5090</v>
      </c>
    </row>
    <row r="17" spans="1:4">
      <c r="A17" t="s">
        <v>5087</v>
      </c>
      <c r="B17" t="s">
        <v>5091</v>
      </c>
      <c r="C17" t="s">
        <v>5089</v>
      </c>
      <c r="D17" t="s">
        <v>5092</v>
      </c>
    </row>
    <row r="18" spans="1:4">
      <c r="A18" t="s">
        <v>5093</v>
      </c>
      <c r="B18" t="s">
        <v>5094</v>
      </c>
      <c r="C18" t="s">
        <v>5095</v>
      </c>
      <c r="D18" t="s">
        <v>5096</v>
      </c>
    </row>
    <row r="19" spans="1:4">
      <c r="A19" t="s">
        <v>5093</v>
      </c>
      <c r="B19" t="s">
        <v>5097</v>
      </c>
      <c r="C19" t="s">
        <v>5095</v>
      </c>
      <c r="D19" t="s">
        <v>5098</v>
      </c>
    </row>
    <row r="20" spans="1:4">
      <c r="A20" t="s">
        <v>5093</v>
      </c>
      <c r="B20" t="s">
        <v>5099</v>
      </c>
      <c r="C20" t="s">
        <v>5095</v>
      </c>
      <c r="D20" t="s">
        <v>5100</v>
      </c>
    </row>
    <row r="21" spans="1:4">
      <c r="A21" t="s">
        <v>5101</v>
      </c>
      <c r="B21" t="s">
        <v>5102</v>
      </c>
      <c r="C21" t="s">
        <v>5103</v>
      </c>
      <c r="D21" t="s">
        <v>5104</v>
      </c>
    </row>
    <row r="22" spans="1:4">
      <c r="A22" t="s">
        <v>5101</v>
      </c>
      <c r="B22" t="s">
        <v>5105</v>
      </c>
      <c r="C22" t="s">
        <v>5103</v>
      </c>
      <c r="D22" t="s">
        <v>5106</v>
      </c>
    </row>
    <row r="23" spans="1:4">
      <c r="A23" t="s">
        <v>5107</v>
      </c>
      <c r="B23" t="s">
        <v>5108</v>
      </c>
      <c r="C23" t="s">
        <v>5109</v>
      </c>
      <c r="D23" t="s">
        <v>5110</v>
      </c>
    </row>
    <row r="24" spans="1:4">
      <c r="A24" t="s">
        <v>5107</v>
      </c>
      <c r="B24" t="s">
        <v>5036</v>
      </c>
      <c r="C24" t="s">
        <v>5109</v>
      </c>
      <c r="D24" t="s">
        <v>5111</v>
      </c>
    </row>
    <row r="25" spans="1:4">
      <c r="A25" t="s">
        <v>5107</v>
      </c>
      <c r="B25" t="s">
        <v>5112</v>
      </c>
      <c r="C25" t="s">
        <v>5109</v>
      </c>
      <c r="D25" t="s">
        <v>5113</v>
      </c>
    </row>
    <row r="26" spans="1:4">
      <c r="A26" t="s">
        <v>5114</v>
      </c>
      <c r="B26" t="s">
        <v>5115</v>
      </c>
      <c r="C26" t="s">
        <v>5116</v>
      </c>
      <c r="D26" t="s">
        <v>5117</v>
      </c>
    </row>
    <row r="27" spans="1:4">
      <c r="A27" t="s">
        <v>5114</v>
      </c>
      <c r="B27" t="s">
        <v>4832</v>
      </c>
      <c r="C27" t="s">
        <v>5116</v>
      </c>
      <c r="D27" t="s">
        <v>5118</v>
      </c>
    </row>
    <row r="28" spans="1:4">
      <c r="A28" t="s">
        <v>5114</v>
      </c>
      <c r="B28" t="s">
        <v>5119</v>
      </c>
      <c r="C28" t="s">
        <v>5116</v>
      </c>
      <c r="D28" t="s">
        <v>5120</v>
      </c>
    </row>
    <row r="29" spans="1:4">
      <c r="A29" t="s">
        <v>5121</v>
      </c>
      <c r="B29" t="s">
        <v>5122</v>
      </c>
      <c r="C29" t="s">
        <v>5123</v>
      </c>
      <c r="D29" t="s">
        <v>5124</v>
      </c>
    </row>
    <row r="30" spans="1:4">
      <c r="A30" t="s">
        <v>5121</v>
      </c>
      <c r="B30" t="s">
        <v>5125</v>
      </c>
      <c r="C30" t="s">
        <v>5123</v>
      </c>
      <c r="D30" t="s">
        <v>5126</v>
      </c>
    </row>
    <row r="31" spans="1:4">
      <c r="A31" t="s">
        <v>5121</v>
      </c>
      <c r="B31" t="s">
        <v>5127</v>
      </c>
      <c r="C31" t="s">
        <v>5123</v>
      </c>
      <c r="D31" t="s">
        <v>5128</v>
      </c>
    </row>
    <row r="32" spans="1:4">
      <c r="A32" t="s">
        <v>5129</v>
      </c>
      <c r="B32" t="s">
        <v>5130</v>
      </c>
      <c r="C32" t="s">
        <v>5131</v>
      </c>
      <c r="D32" t="s">
        <v>5132</v>
      </c>
    </row>
    <row r="33" spans="1:4">
      <c r="A33" t="s">
        <v>5129</v>
      </c>
      <c r="B33" t="s">
        <v>5133</v>
      </c>
      <c r="C33" t="s">
        <v>5131</v>
      </c>
      <c r="D33" t="s">
        <v>5134</v>
      </c>
    </row>
    <row r="34" spans="1:4">
      <c r="A34" t="s">
        <v>5129</v>
      </c>
      <c r="B34" t="s">
        <v>5135</v>
      </c>
      <c r="C34" t="s">
        <v>5131</v>
      </c>
      <c r="D34" t="s">
        <v>5136</v>
      </c>
    </row>
    <row r="35" spans="1:4">
      <c r="A35" t="s">
        <v>5137</v>
      </c>
      <c r="B35" t="s">
        <v>5138</v>
      </c>
      <c r="C35" t="s">
        <v>5139</v>
      </c>
      <c r="D35" t="s">
        <v>5140</v>
      </c>
    </row>
    <row r="36" spans="1:4">
      <c r="A36" t="s">
        <v>5137</v>
      </c>
      <c r="B36" t="s">
        <v>5141</v>
      </c>
      <c r="C36" t="s">
        <v>5139</v>
      </c>
      <c r="D36" t="s">
        <v>5142</v>
      </c>
    </row>
    <row r="37" spans="1:4">
      <c r="A37" t="s">
        <v>5143</v>
      </c>
      <c r="B37" t="s">
        <v>5144</v>
      </c>
      <c r="C37" t="s">
        <v>5145</v>
      </c>
      <c r="D37" t="s">
        <v>5146</v>
      </c>
    </row>
    <row r="38" spans="1:4">
      <c r="A38" t="s">
        <v>5143</v>
      </c>
      <c r="B38" t="s">
        <v>5147</v>
      </c>
      <c r="C38" t="s">
        <v>5145</v>
      </c>
      <c r="D38" t="s">
        <v>5148</v>
      </c>
    </row>
    <row r="39" spans="1:4">
      <c r="A39" t="s">
        <v>5143</v>
      </c>
      <c r="B39" t="s">
        <v>5149</v>
      </c>
      <c r="C39" t="s">
        <v>5145</v>
      </c>
      <c r="D39" t="s">
        <v>5150</v>
      </c>
    </row>
    <row r="40" spans="1:4">
      <c r="A40" t="s">
        <v>5151</v>
      </c>
      <c r="B40" t="s">
        <v>5152</v>
      </c>
      <c r="C40" t="s">
        <v>5153</v>
      </c>
      <c r="D40" t="s">
        <v>5154</v>
      </c>
    </row>
    <row r="41" spans="1:4">
      <c r="A41" t="s">
        <v>5151</v>
      </c>
      <c r="B41" t="s">
        <v>5155</v>
      </c>
      <c r="C41" t="s">
        <v>5153</v>
      </c>
      <c r="D41" t="s">
        <v>5156</v>
      </c>
    </row>
    <row r="42" spans="1:4">
      <c r="A42" t="s">
        <v>5157</v>
      </c>
      <c r="B42" t="s">
        <v>5158</v>
      </c>
      <c r="C42" t="s">
        <v>5159</v>
      </c>
      <c r="D42" t="s">
        <v>5160</v>
      </c>
    </row>
    <row r="43" spans="1:4">
      <c r="A43" t="s">
        <v>5157</v>
      </c>
      <c r="B43" t="s">
        <v>5161</v>
      </c>
      <c r="C43" t="s">
        <v>5159</v>
      </c>
      <c r="D43" t="s">
        <v>5162</v>
      </c>
    </row>
    <row r="44" spans="1:4">
      <c r="A44" t="s">
        <v>5157</v>
      </c>
      <c r="B44" t="s">
        <v>5163</v>
      </c>
      <c r="C44" t="s">
        <v>5159</v>
      </c>
      <c r="D44" t="s">
        <v>5164</v>
      </c>
    </row>
    <row r="45" spans="1:4">
      <c r="A45" t="s">
        <v>5165</v>
      </c>
      <c r="B45" t="s">
        <v>5166</v>
      </c>
      <c r="C45" t="s">
        <v>5167</v>
      </c>
      <c r="D45" t="s">
        <v>5168</v>
      </c>
    </row>
    <row r="46" spans="1:4">
      <c r="A46" t="s">
        <v>5165</v>
      </c>
      <c r="B46" t="s">
        <v>5169</v>
      </c>
      <c r="C46" t="s">
        <v>5167</v>
      </c>
      <c r="D46" t="s">
        <v>5170</v>
      </c>
    </row>
    <row r="47" spans="1:4">
      <c r="A47" t="s">
        <v>5171</v>
      </c>
      <c r="B47" t="s">
        <v>5172</v>
      </c>
      <c r="C47" t="s">
        <v>5173</v>
      </c>
      <c r="D47" t="s">
        <v>5174</v>
      </c>
    </row>
    <row r="48" spans="1:4">
      <c r="A48" t="s">
        <v>5171</v>
      </c>
      <c r="B48" t="s">
        <v>5175</v>
      </c>
      <c r="C48" t="s">
        <v>5173</v>
      </c>
      <c r="D48" t="s">
        <v>5176</v>
      </c>
    </row>
    <row r="49" spans="1:4">
      <c r="A49" t="s">
        <v>5177</v>
      </c>
      <c r="B49" t="s">
        <v>5178</v>
      </c>
      <c r="C49" t="s">
        <v>5179</v>
      </c>
      <c r="D49" t="s">
        <v>5180</v>
      </c>
    </row>
    <row r="50" spans="1:4">
      <c r="A50" t="s">
        <v>5177</v>
      </c>
      <c r="B50" t="s">
        <v>4704</v>
      </c>
      <c r="C50" t="s">
        <v>5179</v>
      </c>
      <c r="D50" t="s">
        <v>5181</v>
      </c>
    </row>
    <row r="51" spans="1:4">
      <c r="A51" t="s">
        <v>5182</v>
      </c>
      <c r="B51" t="s">
        <v>4980</v>
      </c>
      <c r="C51" t="s">
        <v>5183</v>
      </c>
      <c r="D51" t="s">
        <v>5184</v>
      </c>
    </row>
    <row r="52" spans="1:4">
      <c r="A52" t="s">
        <v>5182</v>
      </c>
      <c r="B52" t="s">
        <v>4985</v>
      </c>
      <c r="C52" t="s">
        <v>5183</v>
      </c>
      <c r="D52" t="s">
        <v>5185</v>
      </c>
    </row>
    <row r="53" spans="1:4">
      <c r="A53" t="s">
        <v>5182</v>
      </c>
      <c r="B53" t="s">
        <v>5186</v>
      </c>
      <c r="C53" t="s">
        <v>5183</v>
      </c>
      <c r="D53" t="s">
        <v>5187</v>
      </c>
    </row>
    <row r="54" spans="1:4">
      <c r="A54" t="s">
        <v>5188</v>
      </c>
      <c r="B54" t="s">
        <v>5189</v>
      </c>
      <c r="C54" t="s">
        <v>5190</v>
      </c>
      <c r="D54" t="s">
        <v>5191</v>
      </c>
    </row>
    <row r="55" spans="1:4">
      <c r="A55" t="s">
        <v>5188</v>
      </c>
      <c r="B55" t="s">
        <v>5192</v>
      </c>
      <c r="C55" t="s">
        <v>5190</v>
      </c>
      <c r="D55" t="s">
        <v>5193</v>
      </c>
    </row>
    <row r="56" spans="1:4">
      <c r="A56" t="s">
        <v>5194</v>
      </c>
      <c r="B56" t="s">
        <v>5195</v>
      </c>
      <c r="C56" t="s">
        <v>5196</v>
      </c>
      <c r="D56" t="s">
        <v>5197</v>
      </c>
    </row>
    <row r="57" spans="1:4">
      <c r="A57" t="s">
        <v>5194</v>
      </c>
      <c r="B57" t="s">
        <v>5198</v>
      </c>
      <c r="C57" t="s">
        <v>5196</v>
      </c>
      <c r="D57" t="s">
        <v>5199</v>
      </c>
    </row>
    <row r="58" spans="1:4">
      <c r="A58" t="s">
        <v>5200</v>
      </c>
      <c r="B58" t="s">
        <v>5201</v>
      </c>
      <c r="C58" t="s">
        <v>5202</v>
      </c>
      <c r="D58" t="s">
        <v>5203</v>
      </c>
    </row>
    <row r="59" spans="1:4">
      <c r="A59" t="s">
        <v>5200</v>
      </c>
      <c r="B59" t="s">
        <v>5204</v>
      </c>
      <c r="C59" t="s">
        <v>5202</v>
      </c>
      <c r="D59" t="s">
        <v>5205</v>
      </c>
    </row>
    <row r="60" spans="1:4">
      <c r="A60" t="s">
        <v>5200</v>
      </c>
      <c r="B60" t="s">
        <v>5206</v>
      </c>
      <c r="C60" t="s">
        <v>5202</v>
      </c>
      <c r="D60" t="s">
        <v>5207</v>
      </c>
    </row>
    <row r="61" spans="1:4">
      <c r="A61" t="s">
        <v>5208</v>
      </c>
      <c r="B61" t="s">
        <v>5209</v>
      </c>
      <c r="C61" t="s">
        <v>5210</v>
      </c>
      <c r="D61" t="s">
        <v>5211</v>
      </c>
    </row>
    <row r="62" spans="1:4">
      <c r="A62" t="s">
        <v>5208</v>
      </c>
      <c r="B62" t="s">
        <v>5212</v>
      </c>
      <c r="C62" t="s">
        <v>5210</v>
      </c>
      <c r="D62" t="s">
        <v>5213</v>
      </c>
    </row>
    <row r="63" spans="1:4">
      <c r="A63" t="s">
        <v>5214</v>
      </c>
      <c r="B63" t="s">
        <v>5215</v>
      </c>
      <c r="C63" t="s">
        <v>5216</v>
      </c>
      <c r="D63" t="s">
        <v>5217</v>
      </c>
    </row>
    <row r="64" spans="1:4">
      <c r="A64" t="s">
        <v>5214</v>
      </c>
      <c r="B64" t="s">
        <v>5218</v>
      </c>
      <c r="C64" t="s">
        <v>5216</v>
      </c>
      <c r="D64" t="s">
        <v>5219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66101-9CA9-42BC-9328-1D854023A5B2}">
  <dimension ref="A2:M54"/>
  <sheetViews>
    <sheetView topLeftCell="C1" zoomScale="81" zoomScaleNormal="90" workbookViewId="0">
      <selection activeCell="I6" sqref="I6"/>
    </sheetView>
  </sheetViews>
  <sheetFormatPr defaultRowHeight="13.15"/>
  <cols>
    <col min="1" max="1" width="27" bestFit="1" customWidth="1"/>
    <col min="2" max="2" width="15.85546875" bestFit="1" customWidth="1"/>
    <col min="3" max="3" width="17" bestFit="1" customWidth="1"/>
    <col min="5" max="5" width="23" bestFit="1" customWidth="1"/>
    <col min="6" max="6" width="15.42578125" bestFit="1" customWidth="1"/>
    <col min="8" max="8" width="20.7109375" bestFit="1" customWidth="1"/>
    <col min="9" max="9" width="20.7109375" customWidth="1"/>
    <col min="12" max="12" width="27.5703125" bestFit="1" customWidth="1"/>
    <col min="13" max="13" width="19.28515625" bestFit="1" customWidth="1"/>
  </cols>
  <sheetData>
    <row r="2" spans="1:13">
      <c r="A2" t="s">
        <v>5220</v>
      </c>
      <c r="E2" t="s">
        <v>5221</v>
      </c>
      <c r="H2" t="s">
        <v>5222</v>
      </c>
      <c r="L2" s="5" t="s">
        <v>5223</v>
      </c>
      <c r="M2" t="s">
        <v>5224</v>
      </c>
    </row>
    <row r="3" spans="1:13">
      <c r="L3" s="6" t="s">
        <v>5046</v>
      </c>
      <c r="M3">
        <v>1</v>
      </c>
    </row>
    <row r="4" spans="1:13">
      <c r="L4" s="6" t="s">
        <v>5000</v>
      </c>
      <c r="M4">
        <v>1</v>
      </c>
    </row>
    <row r="5" spans="1:13">
      <c r="A5" s="5" t="s">
        <v>5223</v>
      </c>
      <c r="B5" t="s">
        <v>5225</v>
      </c>
      <c r="C5" s="7" t="s">
        <v>5226</v>
      </c>
      <c r="E5" s="5" t="s">
        <v>5223</v>
      </c>
      <c r="F5" t="s">
        <v>5225</v>
      </c>
      <c r="H5" s="10" t="s">
        <v>5227</v>
      </c>
      <c r="I5" s="10" t="s">
        <v>5228</v>
      </c>
      <c r="L5" s="6" t="s">
        <v>4547</v>
      </c>
      <c r="M5">
        <v>1</v>
      </c>
    </row>
    <row r="6" spans="1:13">
      <c r="A6" s="6" t="s">
        <v>4767</v>
      </c>
      <c r="B6">
        <v>1</v>
      </c>
      <c r="C6">
        <v>1</v>
      </c>
      <c r="E6" s="8" t="s">
        <v>5046</v>
      </c>
      <c r="F6" s="9">
        <v>1</v>
      </c>
      <c r="H6" s="11" t="s">
        <v>5053</v>
      </c>
      <c r="I6" s="11" t="str">
        <f>_xlfn.XLOOKUP(H6,Table3[Mentor],Table3[Mentor Email address],0,,)</f>
        <v>F8870687@fnb.co.za</v>
      </c>
      <c r="J6" s="12">
        <v>3</v>
      </c>
      <c r="L6" s="6" t="s">
        <v>4558</v>
      </c>
      <c r="M6">
        <v>1</v>
      </c>
    </row>
    <row r="7" spans="1:13">
      <c r="A7" s="6" t="s">
        <v>4875</v>
      </c>
      <c r="B7">
        <v>1</v>
      </c>
      <c r="C7">
        <v>2</v>
      </c>
      <c r="E7" s="8" t="s">
        <v>5050</v>
      </c>
      <c r="F7" s="9">
        <v>1</v>
      </c>
      <c r="H7" s="11" t="s">
        <v>5061</v>
      </c>
      <c r="I7" s="11" t="str">
        <f>_xlfn.XLOOKUP(H7,Table3[Mentor],Table3[Mentor Email address],0,,)</f>
        <v>F8872220@fnb.co.za</v>
      </c>
      <c r="J7" s="12">
        <v>2</v>
      </c>
      <c r="L7" s="6" t="s">
        <v>4899</v>
      </c>
      <c r="M7">
        <v>1</v>
      </c>
    </row>
    <row r="8" spans="1:13">
      <c r="A8" s="6" t="s">
        <v>4812</v>
      </c>
      <c r="B8">
        <v>1</v>
      </c>
      <c r="C8">
        <v>1</v>
      </c>
      <c r="E8" s="8" t="s">
        <v>5053</v>
      </c>
      <c r="F8" s="9">
        <v>3</v>
      </c>
      <c r="H8" s="11" t="s">
        <v>5067</v>
      </c>
      <c r="I8" s="11" t="str">
        <f>_xlfn.XLOOKUP(H8,Table3[Mentor],Table3[Mentor Email address],0,,)</f>
        <v>F8876998@fnb.co.za</v>
      </c>
      <c r="J8" s="12">
        <v>2</v>
      </c>
      <c r="L8" s="6" t="s">
        <v>4632</v>
      </c>
      <c r="M8">
        <v>1</v>
      </c>
    </row>
    <row r="9" spans="1:13">
      <c r="A9" s="6" t="s">
        <v>4899</v>
      </c>
      <c r="B9">
        <v>1</v>
      </c>
      <c r="C9">
        <v>2</v>
      </c>
      <c r="E9" s="8" t="s">
        <v>5061</v>
      </c>
      <c r="F9" s="9">
        <v>2</v>
      </c>
      <c r="H9" s="11" t="s">
        <v>5087</v>
      </c>
      <c r="I9" s="11" t="str">
        <f>_xlfn.XLOOKUP(H9,Table3[Mentor],Table3[Mentor Email address],0,,)</f>
        <v>F8876543@fnb.co.za</v>
      </c>
      <c r="J9" s="12">
        <v>2</v>
      </c>
      <c r="L9" s="6" t="s">
        <v>4568</v>
      </c>
      <c r="M9">
        <v>1</v>
      </c>
    </row>
    <row r="10" spans="1:13">
      <c r="A10" s="6" t="s">
        <v>3631</v>
      </c>
      <c r="B10">
        <v>1</v>
      </c>
      <c r="C10">
        <v>0</v>
      </c>
      <c r="E10" s="8" t="s">
        <v>5067</v>
      </c>
      <c r="F10" s="9">
        <v>2</v>
      </c>
      <c r="H10" s="11" t="s">
        <v>5114</v>
      </c>
      <c r="I10" s="11" t="str">
        <f>_xlfn.XLOOKUP(H10,Table3[Mentor],Table3[Mentor Email address],0,,)</f>
        <v>f8875752@fnb.co.za</v>
      </c>
      <c r="J10" s="12">
        <v>3</v>
      </c>
      <c r="L10" s="6" t="s">
        <v>4681</v>
      </c>
      <c r="M10">
        <v>1</v>
      </c>
    </row>
    <row r="11" spans="1:13">
      <c r="A11" s="6" t="s">
        <v>4717</v>
      </c>
      <c r="B11">
        <v>1</v>
      </c>
      <c r="C11">
        <v>0</v>
      </c>
      <c r="E11" s="8" t="s">
        <v>5073</v>
      </c>
      <c r="F11" s="9">
        <v>2</v>
      </c>
      <c r="H11" s="11" t="s">
        <v>5121</v>
      </c>
      <c r="I11" s="11" t="str">
        <f>_xlfn.XLOOKUP(H11,Table3[Mentor],Table3[Mentor Email address],0,,)</f>
        <v>F8870829@fnb.co.za</v>
      </c>
      <c r="J11" s="12">
        <v>3</v>
      </c>
      <c r="L11" s="6" t="s">
        <v>4609</v>
      </c>
      <c r="M11">
        <v>1</v>
      </c>
    </row>
    <row r="12" spans="1:13">
      <c r="A12" s="6" t="s">
        <v>5017</v>
      </c>
      <c r="B12">
        <v>1</v>
      </c>
      <c r="C12">
        <v>0</v>
      </c>
      <c r="E12" s="8" t="s">
        <v>5079</v>
      </c>
      <c r="F12" s="9">
        <v>3</v>
      </c>
      <c r="H12" s="11" t="s">
        <v>5151</v>
      </c>
      <c r="I12" s="11" t="str">
        <f>_xlfn.XLOOKUP(H12,Table3[Mentor],Table3[Mentor Email address],0,,)</f>
        <v>F8877384@fnb.co.za</v>
      </c>
      <c r="J12" s="12">
        <v>2</v>
      </c>
      <c r="L12" s="6" t="s">
        <v>5073</v>
      </c>
      <c r="M12">
        <v>1</v>
      </c>
    </row>
    <row r="13" spans="1:13">
      <c r="A13" s="6" t="s">
        <v>4886</v>
      </c>
      <c r="B13">
        <v>1</v>
      </c>
      <c r="C13">
        <v>1</v>
      </c>
      <c r="E13" s="8" t="s">
        <v>5087</v>
      </c>
      <c r="F13" s="9">
        <v>2</v>
      </c>
      <c r="H13" s="11" t="s">
        <v>5182</v>
      </c>
      <c r="I13" s="11" t="str">
        <f>_xlfn.XLOOKUP(H13,Table3[Mentor],Table3[Mentor Email address],0,,)</f>
        <v>F5666961@fnb.co.za</v>
      </c>
      <c r="J13" s="12">
        <v>3</v>
      </c>
      <c r="L13" s="6" t="s">
        <v>5079</v>
      </c>
      <c r="M13">
        <v>1</v>
      </c>
    </row>
    <row r="14" spans="1:13">
      <c r="A14" s="6" t="s">
        <v>4759</v>
      </c>
      <c r="B14">
        <v>1</v>
      </c>
      <c r="C14">
        <v>1</v>
      </c>
      <c r="E14" s="8" t="s">
        <v>5093</v>
      </c>
      <c r="F14" s="9">
        <v>3</v>
      </c>
      <c r="H14" s="11" t="s">
        <v>5200</v>
      </c>
      <c r="I14" s="11" t="str">
        <f>_xlfn.XLOOKUP(H14,Table3[Mentor],Table3[Mentor Email address],0,,)</f>
        <v>F8871831@fnb.co.za</v>
      </c>
      <c r="J14" s="12">
        <v>3</v>
      </c>
      <c r="L14" s="6" t="s">
        <v>4623</v>
      </c>
      <c r="M14">
        <v>1</v>
      </c>
    </row>
    <row r="15" spans="1:13">
      <c r="A15" s="6" t="s">
        <v>4609</v>
      </c>
      <c r="B15">
        <v>1</v>
      </c>
      <c r="C15">
        <v>0</v>
      </c>
      <c r="E15" s="8" t="s">
        <v>5101</v>
      </c>
      <c r="F15" s="9">
        <v>2</v>
      </c>
      <c r="H15" s="11" t="s">
        <v>5208</v>
      </c>
      <c r="I15" s="11" t="str">
        <f>_xlfn.XLOOKUP(H15,Table3[Mentor],Table3[Mentor Email address],0,,)</f>
        <v>F8877430@fnb.co.za</v>
      </c>
      <c r="J15" s="12">
        <v>2</v>
      </c>
      <c r="L15" s="6" t="s">
        <v>4672</v>
      </c>
      <c r="M15">
        <v>1</v>
      </c>
    </row>
    <row r="16" spans="1:13">
      <c r="A16" s="6" t="s">
        <v>4962</v>
      </c>
      <c r="B16">
        <v>1</v>
      </c>
      <c r="C16">
        <v>1</v>
      </c>
      <c r="E16" s="8" t="s">
        <v>5107</v>
      </c>
      <c r="F16" s="9">
        <v>3</v>
      </c>
      <c r="L16" s="6" t="s">
        <v>4601</v>
      </c>
      <c r="M16">
        <v>1</v>
      </c>
    </row>
    <row r="17" spans="1:13">
      <c r="A17" s="6" t="s">
        <v>4547</v>
      </c>
      <c r="B17">
        <v>1</v>
      </c>
      <c r="C17">
        <v>1</v>
      </c>
      <c r="E17" s="8" t="s">
        <v>5114</v>
      </c>
      <c r="F17" s="9">
        <v>3</v>
      </c>
      <c r="L17" s="6" t="s">
        <v>4788</v>
      </c>
      <c r="M17">
        <v>1</v>
      </c>
    </row>
    <row r="18" spans="1:13">
      <c r="A18" s="6" t="s">
        <v>4917</v>
      </c>
      <c r="B18">
        <v>1</v>
      </c>
      <c r="C18">
        <v>0</v>
      </c>
      <c r="E18" s="8" t="s">
        <v>5121</v>
      </c>
      <c r="F18" s="9">
        <v>3</v>
      </c>
      <c r="L18" s="6" t="s">
        <v>4514</v>
      </c>
      <c r="M18">
        <v>1</v>
      </c>
    </row>
    <row r="19" spans="1:13">
      <c r="A19" s="6" t="s">
        <v>4663</v>
      </c>
      <c r="B19">
        <v>1</v>
      </c>
      <c r="C19">
        <v>1</v>
      </c>
      <c r="E19" s="8" t="s">
        <v>5129</v>
      </c>
      <c r="F19" s="9">
        <v>3</v>
      </c>
      <c r="H19" s="12" t="s">
        <v>5229</v>
      </c>
      <c r="I19" s="12"/>
      <c r="J19">
        <v>51</v>
      </c>
      <c r="L19" s="6" t="s">
        <v>4717</v>
      </c>
      <c r="M19">
        <v>1</v>
      </c>
    </row>
    <row r="20" spans="1:13">
      <c r="A20" s="6" t="s">
        <v>4749</v>
      </c>
      <c r="B20">
        <v>1</v>
      </c>
      <c r="C20">
        <v>1</v>
      </c>
      <c r="E20" s="8" t="s">
        <v>5137</v>
      </c>
      <c r="F20" s="9">
        <v>2</v>
      </c>
      <c r="H20" s="12" t="s">
        <v>5230</v>
      </c>
      <c r="I20" s="12"/>
      <c r="J20">
        <v>10</v>
      </c>
      <c r="L20" s="6" t="s">
        <v>5093</v>
      </c>
      <c r="M20">
        <v>1</v>
      </c>
    </row>
    <row r="21" spans="1:13">
      <c r="A21" s="6" t="s">
        <v>4740</v>
      </c>
      <c r="B21">
        <v>2</v>
      </c>
      <c r="C21">
        <v>2</v>
      </c>
      <c r="E21" s="8" t="s">
        <v>5143</v>
      </c>
      <c r="F21" s="9">
        <v>3</v>
      </c>
      <c r="H21" s="11" t="s">
        <v>5231</v>
      </c>
      <c r="I21" s="11"/>
      <c r="J21">
        <v>36</v>
      </c>
      <c r="L21" s="6" t="s">
        <v>5232</v>
      </c>
      <c r="M21">
        <v>1</v>
      </c>
    </row>
    <row r="22" spans="1:13">
      <c r="A22" s="6" t="s">
        <v>4689</v>
      </c>
      <c r="B22">
        <v>2</v>
      </c>
      <c r="C22">
        <v>-2</v>
      </c>
      <c r="E22" s="8" t="s">
        <v>5151</v>
      </c>
      <c r="F22" s="9">
        <v>2</v>
      </c>
      <c r="H22" s="11" t="s">
        <v>5233</v>
      </c>
      <c r="I22" s="11"/>
      <c r="J22">
        <v>27</v>
      </c>
      <c r="L22" s="6" t="s">
        <v>4663</v>
      </c>
      <c r="M22">
        <v>1</v>
      </c>
    </row>
    <row r="23" spans="1:13">
      <c r="A23" s="6" t="s">
        <v>4623</v>
      </c>
      <c r="B23">
        <v>2</v>
      </c>
      <c r="C23">
        <v>1</v>
      </c>
      <c r="E23" s="8" t="s">
        <v>5157</v>
      </c>
      <c r="F23" s="9">
        <v>3</v>
      </c>
      <c r="H23" s="13" t="s">
        <v>5234</v>
      </c>
      <c r="I23" s="13"/>
      <c r="J23" s="13">
        <v>63</v>
      </c>
      <c r="L23" s="6" t="s">
        <v>5235</v>
      </c>
      <c r="M23">
        <v>1</v>
      </c>
    </row>
    <row r="24" spans="1:13">
      <c r="A24" s="6" t="s">
        <v>5000</v>
      </c>
      <c r="B24">
        <v>2</v>
      </c>
      <c r="C24">
        <v>1</v>
      </c>
      <c r="E24" s="8" t="s">
        <v>5165</v>
      </c>
      <c r="F24" s="9">
        <v>2</v>
      </c>
      <c r="L24" s="6" t="s">
        <v>4886</v>
      </c>
      <c r="M24">
        <v>1</v>
      </c>
    </row>
    <row r="25" spans="1:13">
      <c r="A25" s="6" t="s">
        <v>4931</v>
      </c>
      <c r="B25">
        <v>2</v>
      </c>
      <c r="C25">
        <v>0</v>
      </c>
      <c r="E25" s="8" t="s">
        <v>5171</v>
      </c>
      <c r="F25" s="9">
        <v>2</v>
      </c>
      <c r="L25" s="6" t="s">
        <v>4519</v>
      </c>
      <c r="M25">
        <v>1</v>
      </c>
    </row>
    <row r="26" spans="1:13">
      <c r="A26" s="6" t="s">
        <v>4953</v>
      </c>
      <c r="B26">
        <v>2</v>
      </c>
      <c r="C26">
        <v>1</v>
      </c>
      <c r="E26" s="8" t="s">
        <v>5177</v>
      </c>
      <c r="F26" s="9">
        <v>2</v>
      </c>
      <c r="L26" s="6" t="s">
        <v>4740</v>
      </c>
      <c r="M26">
        <v>1</v>
      </c>
    </row>
    <row r="27" spans="1:13">
      <c r="A27" s="6" t="s">
        <v>4649</v>
      </c>
      <c r="B27">
        <v>2</v>
      </c>
      <c r="C27">
        <v>0</v>
      </c>
      <c r="E27" s="8" t="s">
        <v>5182</v>
      </c>
      <c r="F27" s="9">
        <v>3</v>
      </c>
      <c r="L27" s="6" t="s">
        <v>5129</v>
      </c>
      <c r="M27">
        <v>1</v>
      </c>
    </row>
    <row r="28" spans="1:13">
      <c r="A28" s="6" t="s">
        <v>4656</v>
      </c>
      <c r="B28">
        <v>2</v>
      </c>
      <c r="C28">
        <v>1</v>
      </c>
      <c r="E28" s="8" t="s">
        <v>5188</v>
      </c>
      <c r="F28" s="9">
        <v>2</v>
      </c>
      <c r="L28" s="6" t="s">
        <v>5137</v>
      </c>
      <c r="M28">
        <v>1</v>
      </c>
    </row>
    <row r="29" spans="1:13">
      <c r="A29" s="6" t="s">
        <v>4601</v>
      </c>
      <c r="B29">
        <v>2</v>
      </c>
      <c r="C29">
        <v>0</v>
      </c>
      <c r="E29" s="8" t="s">
        <v>5194</v>
      </c>
      <c r="F29" s="9">
        <v>2</v>
      </c>
      <c r="L29" s="6" t="s">
        <v>4767</v>
      </c>
      <c r="M29">
        <v>1</v>
      </c>
    </row>
    <row r="30" spans="1:13">
      <c r="A30" s="6" t="s">
        <v>4641</v>
      </c>
      <c r="B30">
        <v>2</v>
      </c>
      <c r="C30">
        <v>2</v>
      </c>
      <c r="E30" s="8" t="s">
        <v>5200</v>
      </c>
      <c r="F30" s="9">
        <v>3</v>
      </c>
      <c r="L30" s="6" t="s">
        <v>4953</v>
      </c>
      <c r="M30">
        <v>1</v>
      </c>
    </row>
    <row r="31" spans="1:13">
      <c r="A31" s="6" t="s">
        <v>4788</v>
      </c>
      <c r="B31">
        <v>2</v>
      </c>
      <c r="C31">
        <v>2</v>
      </c>
      <c r="E31" s="8" t="s">
        <v>5208</v>
      </c>
      <c r="F31" s="9">
        <v>2</v>
      </c>
      <c r="L31" s="6" t="s">
        <v>4592</v>
      </c>
      <c r="M31">
        <v>1</v>
      </c>
    </row>
    <row r="32" spans="1:13">
      <c r="A32" s="6" t="s">
        <v>4592</v>
      </c>
      <c r="B32">
        <v>2</v>
      </c>
      <c r="C32">
        <v>1</v>
      </c>
      <c r="E32" s="8" t="s">
        <v>5214</v>
      </c>
      <c r="F32" s="9">
        <v>2</v>
      </c>
      <c r="L32" s="6" t="s">
        <v>4656</v>
      </c>
      <c r="M32">
        <v>1</v>
      </c>
    </row>
    <row r="33" spans="1:13">
      <c r="A33" s="6" t="s">
        <v>4825</v>
      </c>
      <c r="B33">
        <v>2</v>
      </c>
      <c r="C33">
        <v>1</v>
      </c>
      <c r="E33" s="6" t="s">
        <v>5236</v>
      </c>
      <c r="F33">
        <v>63</v>
      </c>
      <c r="L33" s="6" t="s">
        <v>5026</v>
      </c>
      <c r="M33">
        <v>1</v>
      </c>
    </row>
    <row r="34" spans="1:13">
      <c r="A34" s="6" t="s">
        <v>4558</v>
      </c>
      <c r="B34">
        <v>2</v>
      </c>
      <c r="C34">
        <v>2</v>
      </c>
      <c r="L34" s="6" t="s">
        <v>5143</v>
      </c>
      <c r="M34">
        <v>1</v>
      </c>
    </row>
    <row r="35" spans="1:13">
      <c r="A35" s="6" t="s">
        <v>4632</v>
      </c>
      <c r="B35">
        <v>2</v>
      </c>
      <c r="C35">
        <v>2</v>
      </c>
      <c r="L35" s="6" t="s">
        <v>4689</v>
      </c>
      <c r="M35">
        <v>1</v>
      </c>
    </row>
    <row r="36" spans="1:13">
      <c r="A36" s="6" t="s">
        <v>5026</v>
      </c>
      <c r="B36">
        <v>2</v>
      </c>
      <c r="C36">
        <v>2</v>
      </c>
      <c r="L36" s="6" t="s">
        <v>4812</v>
      </c>
      <c r="M36">
        <v>1</v>
      </c>
    </row>
    <row r="37" spans="1:13">
      <c r="A37" s="6" t="s">
        <v>4681</v>
      </c>
      <c r="B37">
        <v>2</v>
      </c>
      <c r="C37">
        <v>0</v>
      </c>
      <c r="L37" s="6" t="s">
        <v>3631</v>
      </c>
      <c r="M37">
        <v>1</v>
      </c>
    </row>
    <row r="38" spans="1:13">
      <c r="A38" s="6" t="s">
        <v>4672</v>
      </c>
      <c r="B38">
        <v>3</v>
      </c>
      <c r="C38">
        <v>1</v>
      </c>
      <c r="L38" s="6" t="s">
        <v>4931</v>
      </c>
      <c r="M38">
        <v>1</v>
      </c>
    </row>
    <row r="39" spans="1:13">
      <c r="A39" s="6" t="s">
        <v>4514</v>
      </c>
      <c r="B39">
        <v>3</v>
      </c>
      <c r="C39">
        <v>1</v>
      </c>
      <c r="L39" s="6" t="s">
        <v>4649</v>
      </c>
      <c r="M39">
        <v>1</v>
      </c>
    </row>
    <row r="40" spans="1:13">
      <c r="A40" s="6" t="s">
        <v>4568</v>
      </c>
      <c r="B40">
        <v>3</v>
      </c>
      <c r="C40">
        <v>2</v>
      </c>
      <c r="L40" s="6" t="s">
        <v>5157</v>
      </c>
      <c r="M40">
        <v>1</v>
      </c>
    </row>
    <row r="41" spans="1:13">
      <c r="A41" s="6" t="s">
        <v>4519</v>
      </c>
      <c r="B41">
        <v>5</v>
      </c>
      <c r="C41">
        <v>1</v>
      </c>
      <c r="L41" s="6" t="s">
        <v>5017</v>
      </c>
      <c r="M41">
        <v>1</v>
      </c>
    </row>
    <row r="42" spans="1:13">
      <c r="A42" s="6" t="s">
        <v>5236</v>
      </c>
      <c r="B42">
        <v>63</v>
      </c>
      <c r="C42">
        <f>SUM(C6:C41)</f>
        <v>33</v>
      </c>
      <c r="L42" s="6" t="s">
        <v>5165</v>
      </c>
      <c r="M42">
        <v>1</v>
      </c>
    </row>
    <row r="43" spans="1:13">
      <c r="L43" s="6" t="s">
        <v>5171</v>
      </c>
      <c r="M43">
        <v>1</v>
      </c>
    </row>
    <row r="44" spans="1:13">
      <c r="L44" s="6" t="s">
        <v>4759</v>
      </c>
      <c r="M44">
        <v>1</v>
      </c>
    </row>
    <row r="45" spans="1:13">
      <c r="L45" s="6" t="s">
        <v>4962</v>
      </c>
      <c r="M45">
        <v>1</v>
      </c>
    </row>
    <row r="46" spans="1:13">
      <c r="L46" s="6" t="s">
        <v>4825</v>
      </c>
      <c r="M46">
        <v>1</v>
      </c>
    </row>
    <row r="47" spans="1:13">
      <c r="L47" s="6" t="s">
        <v>4917</v>
      </c>
      <c r="M47">
        <v>1</v>
      </c>
    </row>
    <row r="48" spans="1:13">
      <c r="L48" s="6" t="s">
        <v>4749</v>
      </c>
      <c r="M48">
        <v>1</v>
      </c>
    </row>
    <row r="49" spans="1:13">
      <c r="A49" t="s">
        <v>5237</v>
      </c>
      <c r="L49" s="6" t="s">
        <v>5188</v>
      </c>
      <c r="M49">
        <v>1</v>
      </c>
    </row>
    <row r="50" spans="1:13">
      <c r="A50">
        <f>C42+G71</f>
        <v>33</v>
      </c>
      <c r="L50" s="6" t="s">
        <v>4875</v>
      </c>
      <c r="M50">
        <v>1</v>
      </c>
    </row>
    <row r="51" spans="1:13">
      <c r="A51" t="s">
        <v>5238</v>
      </c>
      <c r="L51" s="6" t="s">
        <v>5194</v>
      </c>
      <c r="M51">
        <v>1</v>
      </c>
    </row>
    <row r="52" spans="1:13">
      <c r="A52">
        <f>162-GETPIVOTDATA("Mentee",$A$5)</f>
        <v>99</v>
      </c>
      <c r="L52" s="6" t="s">
        <v>4641</v>
      </c>
      <c r="M52">
        <v>1</v>
      </c>
    </row>
    <row r="53" spans="1:13">
      <c r="L53" s="6" t="s">
        <v>5214</v>
      </c>
      <c r="M53">
        <v>1</v>
      </c>
    </row>
    <row r="54" spans="1:13">
      <c r="L54" s="6" t="s">
        <v>5236</v>
      </c>
      <c r="M54">
        <v>51</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Workday</dc:creator>
  <cp:keywords/>
  <dc:description/>
  <cp:lastModifiedBy/>
  <cp:revision/>
  <dcterms:created xsi:type="dcterms:W3CDTF">2026-02-03T13:32:57Z</dcterms:created>
  <dcterms:modified xsi:type="dcterms:W3CDTF">2026-03-04T21:21:21Z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mon Request ID">
    <vt:lpwstr>F5S|29D33B14|6981F8FD</vt:lpwstr>
  </property>
  <property fmtid="{D5CDD505-2E9C-101B-9397-08002B2CF9AE}" pid="3" name="MSIP_Label_216eec4e-c7b8-491d-b7d8-90a69632743d_Enabled">
    <vt:lpwstr>true</vt:lpwstr>
  </property>
  <property fmtid="{D5CDD505-2E9C-101B-9397-08002B2CF9AE}" pid="4" name="MSIP_Label_216eec4e-c7b8-491d-b7d8-90a69632743d_SetDate">
    <vt:lpwstr>2026-02-03T13:34:04Z</vt:lpwstr>
  </property>
  <property fmtid="{D5CDD505-2E9C-101B-9397-08002B2CF9AE}" pid="5" name="MSIP_Label_216eec4e-c7b8-491d-b7d8-90a69632743d_Method">
    <vt:lpwstr>Standard</vt:lpwstr>
  </property>
  <property fmtid="{D5CDD505-2E9C-101B-9397-08002B2CF9AE}" pid="6" name="MSIP_Label_216eec4e-c7b8-491d-b7d8-90a69632743d_Name">
    <vt:lpwstr>216eec4e-c7b8-491d-b7d8-90a69632743d</vt:lpwstr>
  </property>
  <property fmtid="{D5CDD505-2E9C-101B-9397-08002B2CF9AE}" pid="7" name="MSIP_Label_216eec4e-c7b8-491d-b7d8-90a69632743d_SiteId">
    <vt:lpwstr>4032514a-830a-4f20-9539-81bbc35b3cd9</vt:lpwstr>
  </property>
  <property fmtid="{D5CDD505-2E9C-101B-9397-08002B2CF9AE}" pid="8" name="MSIP_Label_216eec4e-c7b8-491d-b7d8-90a69632743d_ActionId">
    <vt:lpwstr>1d1f7a3d-faed-499a-b644-98a109fe210e</vt:lpwstr>
  </property>
  <property fmtid="{D5CDD505-2E9C-101B-9397-08002B2CF9AE}" pid="9" name="MSIP_Label_216eec4e-c7b8-491d-b7d8-90a69632743d_ContentBits">
    <vt:lpwstr>0</vt:lpwstr>
  </property>
  <property fmtid="{D5CDD505-2E9C-101B-9397-08002B2CF9AE}" pid="10" name="MSIP_Label_216eec4e-c7b8-491d-b7d8-90a69632743d_Tag">
    <vt:lpwstr>10, 3, 0, 1</vt:lpwstr>
  </property>
</Properties>
</file>